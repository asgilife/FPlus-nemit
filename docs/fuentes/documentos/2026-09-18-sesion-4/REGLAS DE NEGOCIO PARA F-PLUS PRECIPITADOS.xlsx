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olescommx-my.sharepoint.com/personal/christian_luna_fresnilloplc_com/Documents/Documentos/CORPORATIVO/PROFORMA LIQUIDACIONES/"/>
    </mc:Choice>
  </mc:AlternateContent>
  <xr:revisionPtr revIDLastSave="21" documentId="8_{2C69EEBB-F7ED-4BDA-B898-385650082236}" xr6:coauthVersionLast="47" xr6:coauthVersionMax="47" xr10:uidLastSave="{9BA14668-8C7C-47B2-B80F-7B3AAF49F889}"/>
  <bookViews>
    <workbookView xWindow="-28920" yWindow="1770" windowWidth="29040" windowHeight="15720" xr2:uid="{319F53C0-ED11-4B0F-AAC8-00F362C6D71D}"/>
  </bookViews>
  <sheets>
    <sheet name="ENSAYES EN CONJUNTO SJ" sheetId="2" r:id="rId1"/>
    <sheet name="Remuestreo 2026 (2)" sheetId="3" r:id="rId2"/>
    <sheet name="Hoja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3" l="1"/>
  <c r="I8" i="3"/>
  <c r="L8" i="3"/>
  <c r="M8" i="3"/>
  <c r="N8" i="3"/>
  <c r="O8" i="3"/>
  <c r="P8" i="3" s="1"/>
  <c r="Q8" i="3" s="1"/>
  <c r="T8" i="3"/>
  <c r="U8" i="3"/>
  <c r="V8" i="3"/>
  <c r="W8" i="3"/>
  <c r="X8" i="3" s="1"/>
  <c r="Y8" i="3" s="1"/>
  <c r="F9" i="3"/>
  <c r="G9" i="3"/>
  <c r="H9" i="3"/>
  <c r="I9" i="3"/>
  <c r="L9" i="3"/>
  <c r="M9" i="3"/>
  <c r="N9" i="3"/>
  <c r="O9" i="3"/>
  <c r="P9" i="3"/>
  <c r="Q9" i="3"/>
  <c r="T9" i="3"/>
  <c r="U9" i="3"/>
  <c r="V9" i="3"/>
  <c r="W9" i="3"/>
  <c r="X9" i="3"/>
  <c r="Y9" i="3"/>
  <c r="H10" i="3"/>
  <c r="I10" i="3"/>
  <c r="L10" i="3"/>
  <c r="M10" i="3"/>
  <c r="N10" i="3"/>
  <c r="O10" i="3"/>
  <c r="P10" i="3" s="1"/>
  <c r="Q10" i="3" s="1"/>
  <c r="T10" i="3"/>
  <c r="U10" i="3"/>
  <c r="V10" i="3"/>
  <c r="W10" i="3"/>
  <c r="X10" i="3"/>
  <c r="Y10" i="3"/>
  <c r="H11" i="3"/>
  <c r="I11" i="3"/>
  <c r="L11" i="3"/>
  <c r="M11" i="3"/>
  <c r="N11" i="3"/>
  <c r="O11" i="3"/>
  <c r="P11" i="3" s="1"/>
  <c r="Q11" i="3"/>
  <c r="T11" i="3"/>
  <c r="U11" i="3" s="1"/>
  <c r="V11" i="3"/>
  <c r="W11" i="3"/>
  <c r="X11" i="3"/>
  <c r="Y11" i="3"/>
  <c r="F12" i="3"/>
  <c r="V12" i="3" s="1"/>
  <c r="G12" i="3"/>
  <c r="L12" i="3"/>
  <c r="M12" i="3"/>
  <c r="N12" i="3"/>
  <c r="O12" i="3"/>
  <c r="P12" i="3"/>
  <c r="Q12" i="3" s="1"/>
  <c r="T12" i="3"/>
  <c r="U12" i="3"/>
  <c r="W12" i="3"/>
  <c r="H13" i="3"/>
  <c r="I13" i="3"/>
  <c r="L13" i="3"/>
  <c r="M13" i="3"/>
  <c r="N13" i="3"/>
  <c r="O13" i="3"/>
  <c r="P13" i="3"/>
  <c r="Q13" i="3" s="1"/>
  <c r="T13" i="3"/>
  <c r="U13" i="3"/>
  <c r="V13" i="3"/>
  <c r="W13" i="3"/>
  <c r="X13" i="3" s="1"/>
  <c r="Y13" i="3" s="1"/>
  <c r="H14" i="3"/>
  <c r="I14" i="3"/>
  <c r="L14" i="3"/>
  <c r="M14" i="3"/>
  <c r="N14" i="3"/>
  <c r="O14" i="3"/>
  <c r="T14" i="3"/>
  <c r="U14" i="3"/>
  <c r="V14" i="3"/>
  <c r="W14" i="3"/>
  <c r="X14" i="3" s="1"/>
  <c r="Y14" i="3"/>
  <c r="F15" i="3"/>
  <c r="N15" i="3" s="1"/>
  <c r="G15" i="3"/>
  <c r="H15" i="3"/>
  <c r="I15" i="3"/>
  <c r="L15" i="3"/>
  <c r="M15" i="3"/>
  <c r="T15" i="3"/>
  <c r="U15" i="3"/>
  <c r="V15" i="3"/>
  <c r="H16" i="3"/>
  <c r="I16" i="3" s="1"/>
  <c r="L16" i="3"/>
  <c r="M16" i="3"/>
  <c r="N16" i="3"/>
  <c r="O16" i="3"/>
  <c r="P16" i="3"/>
  <c r="Q16" i="3"/>
  <c r="T16" i="3"/>
  <c r="U16" i="3" s="1"/>
  <c r="V16" i="3"/>
  <c r="W16" i="3"/>
  <c r="X16" i="3"/>
  <c r="Y16" i="3"/>
  <c r="H17" i="3"/>
  <c r="I17" i="3"/>
  <c r="L17" i="3"/>
  <c r="M17" i="3"/>
  <c r="N17" i="3"/>
  <c r="O17" i="3"/>
  <c r="P17" i="3" s="1"/>
  <c r="Q17" i="3" s="1"/>
  <c r="T17" i="3"/>
  <c r="U17" i="3"/>
  <c r="V17" i="3"/>
  <c r="W17" i="3"/>
  <c r="X17" i="3" s="1"/>
  <c r="Y17" i="3" s="1"/>
  <c r="H18" i="3"/>
  <c r="I18" i="3"/>
  <c r="L18" i="3"/>
  <c r="M18" i="3"/>
  <c r="N18" i="3"/>
  <c r="O18" i="3"/>
  <c r="P18" i="3"/>
  <c r="Q18" i="3" s="1"/>
  <c r="T18" i="3"/>
  <c r="U18" i="3"/>
  <c r="V18" i="3"/>
  <c r="W18" i="3"/>
  <c r="X18" i="3" s="1"/>
  <c r="Y18" i="3"/>
  <c r="H19" i="3"/>
  <c r="I19" i="3"/>
  <c r="L19" i="3"/>
  <c r="M19" i="3"/>
  <c r="N19" i="3"/>
  <c r="O19" i="3"/>
  <c r="P19" i="3" s="1"/>
  <c r="Q19" i="3"/>
  <c r="T19" i="3"/>
  <c r="U19" i="3"/>
  <c r="V19" i="3"/>
  <c r="W19" i="3"/>
  <c r="X19" i="3" s="1"/>
  <c r="Y19" i="3" s="1"/>
  <c r="H20" i="3"/>
  <c r="I20" i="3"/>
  <c r="L20" i="3"/>
  <c r="M20" i="3" s="1"/>
  <c r="N20" i="3"/>
  <c r="O20" i="3"/>
  <c r="P20" i="3" s="1"/>
  <c r="Q20" i="3" s="1"/>
  <c r="T20" i="3"/>
  <c r="U20" i="3"/>
  <c r="V20" i="3"/>
  <c r="W20" i="3"/>
  <c r="X20" i="3" s="1"/>
  <c r="Y20" i="3" s="1"/>
  <c r="H21" i="3"/>
  <c r="I21" i="3"/>
  <c r="L21" i="3"/>
  <c r="M21" i="3"/>
  <c r="N21" i="3"/>
  <c r="O21" i="3"/>
  <c r="P21" i="3" s="1"/>
  <c r="Q21" i="3"/>
  <c r="T21" i="3"/>
  <c r="U21" i="3"/>
  <c r="V21" i="3"/>
  <c r="X21" i="3" s="1"/>
  <c r="Y21" i="3" s="1"/>
  <c r="W21" i="3"/>
  <c r="H22" i="3"/>
  <c r="I22" i="3"/>
  <c r="L22" i="3"/>
  <c r="M22" i="3"/>
  <c r="N22" i="3"/>
  <c r="O22" i="3"/>
  <c r="P22" i="3" s="1"/>
  <c r="Q22" i="3" s="1"/>
  <c r="T22" i="3"/>
  <c r="U22" i="3" s="1"/>
  <c r="V22" i="3"/>
  <c r="W22" i="3"/>
  <c r="X22" i="3"/>
  <c r="Y22" i="3"/>
  <c r="H23" i="3"/>
  <c r="I23" i="3"/>
  <c r="L23" i="3"/>
  <c r="M23" i="3"/>
  <c r="N23" i="3"/>
  <c r="O23" i="3"/>
  <c r="P23" i="3"/>
  <c r="Q23" i="3" s="1"/>
  <c r="T23" i="3"/>
  <c r="U23" i="3"/>
  <c r="V23" i="3"/>
  <c r="W23" i="3"/>
  <c r="X23" i="3" s="1"/>
  <c r="Y23" i="3" s="1"/>
  <c r="H24" i="3"/>
  <c r="I24" i="3"/>
  <c r="L24" i="3"/>
  <c r="M24" i="3"/>
  <c r="N24" i="3"/>
  <c r="O24" i="3"/>
  <c r="P24" i="3" s="1"/>
  <c r="Q24" i="3" s="1"/>
  <c r="T24" i="3"/>
  <c r="U24" i="3"/>
  <c r="V24" i="3"/>
  <c r="W24" i="3"/>
  <c r="X24" i="3" s="1"/>
  <c r="Y24" i="3" s="1"/>
  <c r="H25" i="3"/>
  <c r="I25" i="3"/>
  <c r="L25" i="3"/>
  <c r="M25" i="3"/>
  <c r="N25" i="3"/>
  <c r="O25" i="3"/>
  <c r="P25" i="3" s="1"/>
  <c r="Q25" i="3" s="1"/>
  <c r="T25" i="3"/>
  <c r="U25" i="3"/>
  <c r="V25" i="3"/>
  <c r="W25" i="3"/>
  <c r="X25" i="3" s="1"/>
  <c r="Y25" i="3"/>
  <c r="H26" i="3"/>
  <c r="I26" i="3"/>
  <c r="L26" i="3"/>
  <c r="M26" i="3"/>
  <c r="N26" i="3"/>
  <c r="O26" i="3"/>
  <c r="P26" i="3" s="1"/>
  <c r="Q26" i="3" s="1"/>
  <c r="T26" i="3"/>
  <c r="U26" i="3"/>
  <c r="V26" i="3"/>
  <c r="W26" i="3"/>
  <c r="X26" i="3" s="1"/>
  <c r="Y26" i="3"/>
  <c r="H27" i="3"/>
  <c r="I27" i="3" s="1"/>
  <c r="L27" i="3"/>
  <c r="M27" i="3"/>
  <c r="N27" i="3"/>
  <c r="O27" i="3"/>
  <c r="P27" i="3" s="1"/>
  <c r="Q27" i="3"/>
  <c r="T27" i="3"/>
  <c r="U27" i="3"/>
  <c r="V27" i="3"/>
  <c r="W27" i="3"/>
  <c r="X27" i="3"/>
  <c r="Y27" i="3"/>
  <c r="H28" i="3"/>
  <c r="I28" i="3"/>
  <c r="L28" i="3"/>
  <c r="M28" i="3"/>
  <c r="N28" i="3"/>
  <c r="O28" i="3"/>
  <c r="P28" i="3"/>
  <c r="Q28" i="3"/>
  <c r="T28" i="3"/>
  <c r="U28" i="3" s="1"/>
  <c r="V28" i="3"/>
  <c r="W28" i="3"/>
  <c r="X28" i="3"/>
  <c r="Y28" i="3" s="1"/>
  <c r="H29" i="3"/>
  <c r="I29" i="3"/>
  <c r="L29" i="3"/>
  <c r="M29" i="3"/>
  <c r="N29" i="3"/>
  <c r="O29" i="3"/>
  <c r="P29" i="3"/>
  <c r="Q29" i="3" s="1"/>
  <c r="T29" i="3"/>
  <c r="U29" i="3"/>
  <c r="V29" i="3"/>
  <c r="W29" i="3"/>
  <c r="X29" i="3" s="1"/>
  <c r="Y29" i="3" s="1"/>
  <c r="H30" i="3"/>
  <c r="I30" i="3"/>
  <c r="L30" i="3"/>
  <c r="M30" i="3"/>
  <c r="N30" i="3"/>
  <c r="O30" i="3"/>
  <c r="P30" i="3" s="1"/>
  <c r="Q30" i="3" s="1"/>
  <c r="T30" i="3"/>
  <c r="U30" i="3"/>
  <c r="V30" i="3"/>
  <c r="W30" i="3"/>
  <c r="X30" i="3" s="1"/>
  <c r="Y30" i="3"/>
  <c r="H31" i="3"/>
  <c r="I31" i="3"/>
  <c r="L31" i="3"/>
  <c r="M31" i="3"/>
  <c r="N31" i="3"/>
  <c r="O31" i="3"/>
  <c r="P31" i="3" s="1"/>
  <c r="Q31" i="3" s="1"/>
  <c r="T31" i="3"/>
  <c r="U31" i="3"/>
  <c r="V31" i="3"/>
  <c r="W31" i="3"/>
  <c r="X31" i="3" s="1"/>
  <c r="Y31" i="3" s="1"/>
  <c r="H32" i="3"/>
  <c r="I32" i="3"/>
  <c r="L32" i="3"/>
  <c r="M32" i="3"/>
  <c r="N32" i="3"/>
  <c r="O32" i="3"/>
  <c r="P32" i="3" s="1"/>
  <c r="Q32" i="3" s="1"/>
  <c r="T32" i="3"/>
  <c r="U32" i="3"/>
  <c r="V32" i="3"/>
  <c r="W32" i="3"/>
  <c r="X32" i="3" s="1"/>
  <c r="Y32" i="3" s="1"/>
  <c r="H33" i="3"/>
  <c r="I33" i="3"/>
  <c r="L33" i="3"/>
  <c r="M33" i="3" s="1"/>
  <c r="N33" i="3"/>
  <c r="O33" i="3"/>
  <c r="P33" i="3" s="1"/>
  <c r="Q33" i="3"/>
  <c r="T33" i="3"/>
  <c r="U33" i="3"/>
  <c r="V33" i="3"/>
  <c r="X33" i="3" s="1"/>
  <c r="Y33" i="3" s="1"/>
  <c r="W33" i="3"/>
  <c r="H34" i="3"/>
  <c r="I34" i="3"/>
  <c r="L34" i="3"/>
  <c r="M34" i="3"/>
  <c r="O34" i="3"/>
  <c r="P34" i="3"/>
  <c r="Q34" i="3"/>
  <c r="T34" i="3"/>
  <c r="U34" i="3"/>
  <c r="V34" i="3"/>
  <c r="W34" i="3"/>
  <c r="X34" i="3"/>
  <c r="Y34" i="3"/>
  <c r="H35" i="3"/>
  <c r="I35" i="3" s="1"/>
  <c r="L35" i="3"/>
  <c r="M35" i="3" s="1"/>
  <c r="N35" i="3"/>
  <c r="O35" i="3"/>
  <c r="P35" i="3"/>
  <c r="Q35" i="3"/>
  <c r="T35" i="3"/>
  <c r="U35" i="3"/>
  <c r="V35" i="3"/>
  <c r="W35" i="3"/>
  <c r="X35" i="3"/>
  <c r="Y35" i="3" s="1"/>
  <c r="H36" i="3"/>
  <c r="I36" i="3" s="1"/>
  <c r="L36" i="3"/>
  <c r="M36" i="3"/>
  <c r="N36" i="3"/>
  <c r="O36" i="3"/>
  <c r="P36" i="3"/>
  <c r="Q36" i="3"/>
  <c r="T36" i="3"/>
  <c r="U36" i="3"/>
  <c r="V36" i="3"/>
  <c r="X36" i="3" s="1"/>
  <c r="Y36" i="3" s="1"/>
  <c r="W36" i="3"/>
  <c r="H37" i="3"/>
  <c r="I37" i="3"/>
  <c r="L37" i="3"/>
  <c r="M37" i="3"/>
  <c r="O37" i="3"/>
  <c r="P37" i="3"/>
  <c r="Q37" i="3"/>
  <c r="T37" i="3"/>
  <c r="U37" i="3"/>
  <c r="V37" i="3"/>
  <c r="W37" i="3"/>
  <c r="X37" i="3" s="1"/>
  <c r="Y37" i="3"/>
  <c r="H38" i="3"/>
  <c r="I38" i="3"/>
  <c r="L38" i="3"/>
  <c r="M38" i="3"/>
  <c r="N38" i="3"/>
  <c r="O38" i="3"/>
  <c r="P38" i="3"/>
  <c r="Q38" i="3"/>
  <c r="T38" i="3"/>
  <c r="U38" i="3"/>
  <c r="V38" i="3"/>
  <c r="W38" i="3"/>
  <c r="X38" i="3"/>
  <c r="Y38" i="3"/>
  <c r="H39" i="3"/>
  <c r="I39" i="3"/>
  <c r="L39" i="3"/>
  <c r="M39" i="3"/>
  <c r="N39" i="3"/>
  <c r="O39" i="3"/>
  <c r="P39" i="3" s="1"/>
  <c r="Q39" i="3" s="1"/>
  <c r="T39" i="3"/>
  <c r="U39" i="3"/>
  <c r="V39" i="3"/>
  <c r="W39" i="3"/>
  <c r="X39" i="3"/>
  <c r="Y39" i="3"/>
  <c r="H40" i="3"/>
  <c r="I40" i="3"/>
  <c r="L40" i="3"/>
  <c r="M40" i="3"/>
  <c r="O40" i="3"/>
  <c r="P40" i="3"/>
  <c r="Q40" i="3" s="1"/>
  <c r="T40" i="3"/>
  <c r="U40" i="3"/>
  <c r="V40" i="3"/>
  <c r="W40" i="3"/>
  <c r="X40" i="3"/>
  <c r="Y40" i="3"/>
  <c r="H41" i="3"/>
  <c r="I41" i="3"/>
  <c r="L41" i="3"/>
  <c r="M41" i="3" s="1"/>
  <c r="N41" i="3"/>
  <c r="O41" i="3"/>
  <c r="P41" i="3"/>
  <c r="Q41" i="3"/>
  <c r="T41" i="3"/>
  <c r="U41" i="3" s="1"/>
  <c r="V41" i="3"/>
  <c r="W41" i="3"/>
  <c r="X41" i="3"/>
  <c r="Y41" i="3"/>
  <c r="H42" i="3"/>
  <c r="I42" i="3" s="1"/>
  <c r="L42" i="3"/>
  <c r="M42" i="3" s="1"/>
  <c r="N42" i="3"/>
  <c r="P42" i="3" s="1"/>
  <c r="Q42" i="3" s="1"/>
  <c r="O42" i="3"/>
  <c r="T42" i="3"/>
  <c r="U42" i="3" s="1"/>
  <c r="V42" i="3"/>
  <c r="W42" i="3"/>
  <c r="X42" i="3"/>
  <c r="Y42" i="3" s="1"/>
  <c r="H43" i="3"/>
  <c r="I43" i="3" s="1"/>
  <c r="L43" i="3"/>
  <c r="M43" i="3" s="1"/>
  <c r="O43" i="3"/>
  <c r="P43" i="3"/>
  <c r="Q43" i="3"/>
  <c r="T43" i="3"/>
  <c r="U43" i="3"/>
  <c r="V43" i="3"/>
  <c r="W43" i="3"/>
  <c r="X43" i="3" s="1"/>
  <c r="Y43" i="3" s="1"/>
  <c r="H44" i="3"/>
  <c r="I44" i="3"/>
  <c r="L44" i="3"/>
  <c r="M44" i="3"/>
  <c r="N44" i="3"/>
  <c r="O44" i="3"/>
  <c r="P44" i="3"/>
  <c r="Q44" i="3"/>
  <c r="T44" i="3"/>
  <c r="U44" i="3"/>
  <c r="V44" i="3"/>
  <c r="W44" i="3"/>
  <c r="X44" i="3" s="1"/>
  <c r="Y44" i="3"/>
  <c r="H45" i="3"/>
  <c r="I45" i="3"/>
  <c r="L45" i="3"/>
  <c r="M45" i="3" s="1"/>
  <c r="N45" i="3"/>
  <c r="O45" i="3"/>
  <c r="P45" i="3"/>
  <c r="Q45" i="3"/>
  <c r="T45" i="3"/>
  <c r="U45" i="3"/>
  <c r="V45" i="3"/>
  <c r="W45" i="3"/>
  <c r="X45" i="3"/>
  <c r="Y45" i="3"/>
  <c r="H46" i="3"/>
  <c r="I46" i="3" s="1"/>
  <c r="L46" i="3"/>
  <c r="M46" i="3"/>
  <c r="O46" i="3"/>
  <c r="P46" i="3"/>
  <c r="Q46" i="3" s="1"/>
  <c r="T46" i="3"/>
  <c r="U46" i="3" s="1"/>
  <c r="V46" i="3"/>
  <c r="W46" i="3"/>
  <c r="X46" i="3"/>
  <c r="Y46" i="3"/>
  <c r="H47" i="3"/>
  <c r="I47" i="3"/>
  <c r="L47" i="3"/>
  <c r="M47" i="3"/>
  <c r="N47" i="3"/>
  <c r="P47" i="3" s="1"/>
  <c r="Q47" i="3" s="1"/>
  <c r="O47" i="3"/>
  <c r="T47" i="3"/>
  <c r="U47" i="3"/>
  <c r="V47" i="3"/>
  <c r="W47" i="3"/>
  <c r="X47" i="3"/>
  <c r="Y47" i="3"/>
  <c r="H48" i="3"/>
  <c r="I48" i="3"/>
  <c r="L48" i="3"/>
  <c r="M48" i="3" s="1"/>
  <c r="N48" i="3"/>
  <c r="O48" i="3"/>
  <c r="P48" i="3"/>
  <c r="Q48" i="3"/>
  <c r="T48" i="3"/>
  <c r="U48" i="3" s="1"/>
  <c r="V48" i="3"/>
  <c r="W48" i="3"/>
  <c r="X48" i="3"/>
  <c r="Y48" i="3"/>
  <c r="H49" i="3"/>
  <c r="I49" i="3" s="1"/>
  <c r="L49" i="3"/>
  <c r="M49" i="3" s="1"/>
  <c r="N49" i="3"/>
  <c r="O49" i="3"/>
  <c r="P49" i="3"/>
  <c r="Q49" i="3"/>
  <c r="T49" i="3"/>
  <c r="U49" i="3" s="1"/>
  <c r="V49" i="3"/>
  <c r="W49" i="3"/>
  <c r="X49" i="3"/>
  <c r="Y49" i="3" s="1"/>
  <c r="H50" i="3"/>
  <c r="I50" i="3" s="1"/>
  <c r="L50" i="3"/>
  <c r="M50" i="3" s="1"/>
  <c r="N50" i="3"/>
  <c r="O50" i="3"/>
  <c r="P50" i="3" s="1"/>
  <c r="Q50" i="3" s="1"/>
  <c r="T50" i="3"/>
  <c r="U50" i="3" s="1"/>
  <c r="V50" i="3"/>
  <c r="X50" i="3" s="1"/>
  <c r="Y50" i="3" s="1"/>
  <c r="W50" i="3"/>
  <c r="H51" i="3"/>
  <c r="I51" i="3"/>
  <c r="L51" i="3"/>
  <c r="M51" i="3" s="1"/>
  <c r="N51" i="3"/>
  <c r="O51" i="3"/>
  <c r="P51" i="3"/>
  <c r="Q51" i="3"/>
  <c r="T51" i="3"/>
  <c r="U51" i="3" s="1"/>
  <c r="V51" i="3"/>
  <c r="W51" i="3"/>
  <c r="X51" i="3"/>
  <c r="Y51" i="3"/>
  <c r="H52" i="3"/>
  <c r="I52" i="3" s="1"/>
  <c r="L52" i="3"/>
  <c r="M52" i="3"/>
  <c r="O52" i="3"/>
  <c r="P52" i="3"/>
  <c r="Q52" i="3"/>
  <c r="T52" i="3"/>
  <c r="U52" i="3"/>
  <c r="V52" i="3"/>
  <c r="W52" i="3"/>
  <c r="X52" i="3"/>
  <c r="Y52" i="3"/>
  <c r="H53" i="3"/>
  <c r="I53" i="3" s="1"/>
  <c r="L53" i="3"/>
  <c r="M53" i="3"/>
  <c r="O53" i="3"/>
  <c r="P53" i="3"/>
  <c r="Q53" i="3" s="1"/>
  <c r="T53" i="3"/>
  <c r="U53" i="3" s="1"/>
  <c r="V53" i="3"/>
  <c r="W53" i="3"/>
  <c r="X53" i="3"/>
  <c r="Y53" i="3"/>
  <c r="H54" i="3"/>
  <c r="I54" i="3"/>
  <c r="L54" i="3"/>
  <c r="M54" i="3"/>
  <c r="O54" i="3"/>
  <c r="P54" i="3" s="1"/>
  <c r="Q54" i="3" s="1"/>
  <c r="T54" i="3"/>
  <c r="U54" i="3"/>
  <c r="V54" i="3"/>
  <c r="W54" i="3"/>
  <c r="X54" i="3"/>
  <c r="Y54" i="3"/>
  <c r="H55" i="3"/>
  <c r="I55" i="3"/>
  <c r="L55" i="3"/>
  <c r="M55" i="3" s="1"/>
  <c r="O55" i="3"/>
  <c r="P55" i="3"/>
  <c r="Q55" i="3" s="1"/>
  <c r="T55" i="3"/>
  <c r="U55" i="3"/>
  <c r="V55" i="3"/>
  <c r="W55" i="3"/>
  <c r="X55" i="3"/>
  <c r="Y55" i="3"/>
  <c r="H56" i="3"/>
  <c r="I56" i="3"/>
  <c r="L56" i="3"/>
  <c r="M56" i="3" s="1"/>
  <c r="O56" i="3"/>
  <c r="P56" i="3" s="1"/>
  <c r="Q56" i="3"/>
  <c r="T56" i="3"/>
  <c r="U56" i="3"/>
  <c r="V56" i="3"/>
  <c r="W56" i="3"/>
  <c r="X56" i="3" s="1"/>
  <c r="Y56" i="3" s="1"/>
  <c r="H57" i="3"/>
  <c r="I57" i="3"/>
  <c r="L57" i="3"/>
  <c r="M57" i="3"/>
  <c r="O57" i="3"/>
  <c r="P57" i="3"/>
  <c r="Q57" i="3"/>
  <c r="T57" i="3"/>
  <c r="U57" i="3"/>
  <c r="V57" i="3"/>
  <c r="W57" i="3"/>
  <c r="X57" i="3"/>
  <c r="Y57" i="3"/>
  <c r="H58" i="3"/>
  <c r="I58" i="3" s="1"/>
  <c r="L58" i="3"/>
  <c r="M58" i="3" s="1"/>
  <c r="O58" i="3"/>
  <c r="P58" i="3" s="1"/>
  <c r="Q58" i="3"/>
  <c r="T58" i="3"/>
  <c r="U58" i="3"/>
  <c r="V58" i="3"/>
  <c r="W58" i="3"/>
  <c r="X58" i="3" s="1"/>
  <c r="Y58" i="3" s="1"/>
  <c r="H59" i="3"/>
  <c r="I59" i="3"/>
  <c r="L59" i="3"/>
  <c r="M59" i="3"/>
  <c r="O59" i="3"/>
  <c r="P59" i="3"/>
  <c r="Q59" i="3"/>
  <c r="T59" i="3"/>
  <c r="U59" i="3"/>
  <c r="V59" i="3"/>
  <c r="W59" i="3"/>
  <c r="X59" i="3"/>
  <c r="Y59" i="3" s="1"/>
  <c r="H60" i="3"/>
  <c r="I60" i="3" s="1"/>
  <c r="L60" i="3"/>
  <c r="M60" i="3"/>
  <c r="O60" i="3"/>
  <c r="P60" i="3" s="1"/>
  <c r="Q60" i="3" s="1"/>
  <c r="T60" i="3"/>
  <c r="U60" i="3"/>
  <c r="V60" i="3"/>
  <c r="W60" i="3"/>
  <c r="X60" i="3" s="1"/>
  <c r="Y60" i="3" s="1"/>
  <c r="H61" i="3"/>
  <c r="I61" i="3"/>
  <c r="L61" i="3"/>
  <c r="M61" i="3"/>
  <c r="O61" i="3"/>
  <c r="P61" i="3" s="1"/>
  <c r="Q61" i="3"/>
  <c r="T61" i="3"/>
  <c r="U61" i="3" s="1"/>
  <c r="V61" i="3"/>
  <c r="W61" i="3"/>
  <c r="X61" i="3"/>
  <c r="Y61" i="3" s="1"/>
  <c r="H62" i="3"/>
  <c r="I62" i="3"/>
  <c r="L62" i="3"/>
  <c r="M62" i="3"/>
  <c r="O62" i="3"/>
  <c r="P62" i="3" s="1"/>
  <c r="Q62" i="3"/>
  <c r="T62" i="3"/>
  <c r="U62" i="3"/>
  <c r="V62" i="3"/>
  <c r="W62" i="3"/>
  <c r="X62" i="3" s="1"/>
  <c r="Y62" i="3" s="1"/>
  <c r="H63" i="3"/>
  <c r="I63" i="3"/>
  <c r="L63" i="3"/>
  <c r="M63" i="3"/>
  <c r="O63" i="3"/>
  <c r="P63" i="3" s="1"/>
  <c r="Q63" i="3"/>
  <c r="T63" i="3"/>
  <c r="U63" i="3" s="1"/>
  <c r="V63" i="3"/>
  <c r="W63" i="3"/>
  <c r="X63" i="3"/>
  <c r="Y63" i="3" s="1"/>
  <c r="H64" i="3"/>
  <c r="I64" i="3"/>
  <c r="L64" i="3"/>
  <c r="M64" i="3"/>
  <c r="O64" i="3"/>
  <c r="P64" i="3" s="1"/>
  <c r="Q64" i="3"/>
  <c r="T64" i="3"/>
  <c r="U64" i="3"/>
  <c r="V64" i="3"/>
  <c r="W64" i="3"/>
  <c r="X64" i="3" s="1"/>
  <c r="Y64" i="3" s="1"/>
  <c r="H65" i="3"/>
  <c r="I65" i="3"/>
  <c r="L65" i="3"/>
  <c r="M65" i="3"/>
  <c r="O65" i="3"/>
  <c r="P65" i="3"/>
  <c r="Q65" i="3" s="1"/>
  <c r="T65" i="3"/>
  <c r="U65" i="3" s="1"/>
  <c r="V65" i="3"/>
  <c r="W65" i="3"/>
  <c r="X65" i="3"/>
  <c r="Y65" i="3" s="1"/>
  <c r="H66" i="3"/>
  <c r="I66" i="3"/>
  <c r="L66" i="3"/>
  <c r="M66" i="3"/>
  <c r="O66" i="3"/>
  <c r="P66" i="3" s="1"/>
  <c r="Q66" i="3" s="1"/>
  <c r="T66" i="3"/>
  <c r="U66" i="3"/>
  <c r="V66" i="3"/>
  <c r="W66" i="3"/>
  <c r="X66" i="3"/>
  <c r="Y66" i="3" s="1"/>
  <c r="H67" i="3"/>
  <c r="I67" i="3"/>
  <c r="L67" i="3"/>
  <c r="M67" i="3"/>
  <c r="O67" i="3"/>
  <c r="P67" i="3"/>
  <c r="Q67" i="3" s="1"/>
  <c r="T67" i="3"/>
  <c r="U67" i="3"/>
  <c r="V67" i="3"/>
  <c r="W67" i="3"/>
  <c r="X67" i="3"/>
  <c r="Y67" i="3" s="1"/>
  <c r="H68" i="3"/>
  <c r="I68" i="3"/>
  <c r="L68" i="3"/>
  <c r="M68" i="3" s="1"/>
  <c r="O68" i="3"/>
  <c r="P68" i="3" s="1"/>
  <c r="Q68" i="3"/>
  <c r="T68" i="3"/>
  <c r="U68" i="3"/>
  <c r="V68" i="3"/>
  <c r="W68" i="3"/>
  <c r="X68" i="3" s="1"/>
  <c r="Y68" i="3" s="1"/>
  <c r="H69" i="3"/>
  <c r="I69" i="3"/>
  <c r="L69" i="3"/>
  <c r="M69" i="3"/>
  <c r="O69" i="3"/>
  <c r="P69" i="3"/>
  <c r="Q69" i="3" s="1"/>
  <c r="T69" i="3"/>
  <c r="U69" i="3"/>
  <c r="V69" i="3"/>
  <c r="W69" i="3"/>
  <c r="X69" i="3" s="1"/>
  <c r="Y69" i="3" s="1"/>
  <c r="H70" i="3"/>
  <c r="I70" i="3" s="1"/>
  <c r="L70" i="3"/>
  <c r="M70" i="3" s="1"/>
  <c r="O70" i="3"/>
  <c r="P70" i="3"/>
  <c r="Q70" i="3"/>
  <c r="T70" i="3"/>
  <c r="U70" i="3"/>
  <c r="V70" i="3"/>
  <c r="W70" i="3"/>
  <c r="X70" i="3" s="1"/>
  <c r="Y70" i="3" s="1"/>
  <c r="H71" i="3"/>
  <c r="I71" i="3"/>
  <c r="L71" i="3"/>
  <c r="M71" i="3"/>
  <c r="O71" i="3"/>
  <c r="P71" i="3"/>
  <c r="Q71" i="3" s="1"/>
  <c r="T71" i="3"/>
  <c r="U71" i="3"/>
  <c r="V71" i="3"/>
  <c r="W71" i="3"/>
  <c r="X71" i="3" s="1"/>
  <c r="Y71" i="3" s="1"/>
  <c r="H72" i="3"/>
  <c r="I72" i="3" s="1"/>
  <c r="L72" i="3"/>
  <c r="M72" i="3" s="1"/>
  <c r="O72" i="3"/>
  <c r="P72" i="3"/>
  <c r="Q72" i="3"/>
  <c r="T72" i="3"/>
  <c r="U72" i="3"/>
  <c r="V72" i="3"/>
  <c r="W72" i="3"/>
  <c r="X72" i="3" s="1"/>
  <c r="Y72" i="3"/>
  <c r="H73" i="3"/>
  <c r="I73" i="3"/>
  <c r="L73" i="3"/>
  <c r="M73" i="3" s="1"/>
  <c r="O73" i="3"/>
  <c r="P73" i="3"/>
  <c r="Q73" i="3"/>
  <c r="T73" i="3"/>
  <c r="U73" i="3"/>
  <c r="V73" i="3"/>
  <c r="W73" i="3"/>
  <c r="X73" i="3"/>
  <c r="Y73" i="3" s="1"/>
  <c r="H74" i="3"/>
  <c r="I74" i="3" s="1"/>
  <c r="L74" i="3"/>
  <c r="M74" i="3" s="1"/>
  <c r="O74" i="3"/>
  <c r="P74" i="3"/>
  <c r="Q74" i="3" s="1"/>
  <c r="T74" i="3"/>
  <c r="U74" i="3"/>
  <c r="V74" i="3"/>
  <c r="W74" i="3"/>
  <c r="X74" i="3" s="1"/>
  <c r="Y74" i="3"/>
  <c r="H75" i="3"/>
  <c r="I75" i="3" s="1"/>
  <c r="L75" i="3"/>
  <c r="M75" i="3" s="1"/>
  <c r="O75" i="3"/>
  <c r="P75" i="3"/>
  <c r="Q75" i="3" s="1"/>
  <c r="T75" i="3"/>
  <c r="U75" i="3" s="1"/>
  <c r="V75" i="3"/>
  <c r="W75" i="3"/>
  <c r="X75" i="3"/>
  <c r="Y75" i="3"/>
  <c r="H76" i="3"/>
  <c r="I76" i="3" s="1"/>
  <c r="L76" i="3"/>
  <c r="M76" i="3" s="1"/>
  <c r="O76" i="3"/>
  <c r="P76" i="3"/>
  <c r="Q76" i="3"/>
  <c r="T76" i="3"/>
  <c r="U76" i="3"/>
  <c r="V76" i="3"/>
  <c r="W76" i="3"/>
  <c r="X76" i="3"/>
  <c r="Y76" i="3"/>
  <c r="H77" i="3"/>
  <c r="I77" i="3"/>
  <c r="L77" i="3"/>
  <c r="M77" i="3"/>
  <c r="O77" i="3"/>
  <c r="P77" i="3"/>
  <c r="Q77" i="3" s="1"/>
  <c r="T77" i="3"/>
  <c r="U77" i="3" s="1"/>
  <c r="V77" i="3"/>
  <c r="W77" i="3"/>
  <c r="X77" i="3" s="1"/>
  <c r="Y77" i="3" s="1"/>
  <c r="H78" i="3"/>
  <c r="I78" i="3" s="1"/>
  <c r="L78" i="3"/>
  <c r="M78" i="3" s="1"/>
  <c r="O78" i="3"/>
  <c r="P78" i="3" s="1"/>
  <c r="Q78" i="3"/>
  <c r="T78" i="3"/>
  <c r="U78" i="3"/>
  <c r="V78" i="3"/>
  <c r="W78" i="3"/>
  <c r="X78" i="3" s="1"/>
  <c r="Y78" i="3" s="1"/>
  <c r="H79" i="3"/>
  <c r="I79" i="3" s="1"/>
  <c r="L79" i="3"/>
  <c r="M79" i="3" s="1"/>
  <c r="O79" i="3"/>
  <c r="P79" i="3"/>
  <c r="Q79" i="3" s="1"/>
  <c r="T79" i="3"/>
  <c r="U79" i="3" s="1"/>
  <c r="V79" i="3"/>
  <c r="W79" i="3"/>
  <c r="X79" i="3"/>
  <c r="Y79" i="3"/>
  <c r="H80" i="3"/>
  <c r="I80" i="3" s="1"/>
  <c r="L80" i="3"/>
  <c r="M80" i="3" s="1"/>
  <c r="O80" i="3"/>
  <c r="P80" i="3" s="1"/>
  <c r="Q80" i="3"/>
  <c r="T80" i="3"/>
  <c r="U80" i="3"/>
  <c r="V80" i="3"/>
  <c r="W80" i="3"/>
  <c r="X80" i="3"/>
  <c r="Y80" i="3"/>
  <c r="H81" i="3"/>
  <c r="I81" i="3"/>
  <c r="L81" i="3"/>
  <c r="M81" i="3"/>
  <c r="O81" i="3"/>
  <c r="P81" i="3"/>
  <c r="Q81" i="3"/>
  <c r="T81" i="3"/>
  <c r="U81" i="3" s="1"/>
  <c r="V81" i="3"/>
  <c r="W81" i="3"/>
  <c r="X81" i="3"/>
  <c r="Y81" i="3"/>
  <c r="H82" i="3"/>
  <c r="I82" i="3" s="1"/>
  <c r="L82" i="3"/>
  <c r="M82" i="3" s="1"/>
  <c r="O82" i="3"/>
  <c r="P82" i="3" s="1"/>
  <c r="Q82" i="3" s="1"/>
  <c r="T82" i="3"/>
  <c r="U82" i="3"/>
  <c r="V82" i="3"/>
  <c r="W82" i="3"/>
  <c r="X82" i="3"/>
  <c r="Y82" i="3" s="1"/>
  <c r="H83" i="3"/>
  <c r="I83" i="3"/>
  <c r="L83" i="3"/>
  <c r="M83" i="3"/>
  <c r="O83" i="3"/>
  <c r="P83" i="3"/>
  <c r="Q83" i="3"/>
  <c r="T83" i="3"/>
  <c r="U83" i="3" s="1"/>
  <c r="V83" i="3"/>
  <c r="W83" i="3"/>
  <c r="X83" i="3"/>
  <c r="Y83" i="3" s="1"/>
  <c r="H84" i="3"/>
  <c r="I84" i="3" s="1"/>
  <c r="L84" i="3"/>
  <c r="M84" i="3" s="1"/>
  <c r="O84" i="3"/>
  <c r="P84" i="3" s="1"/>
  <c r="Q84" i="3"/>
  <c r="T84" i="3"/>
  <c r="U84" i="3"/>
  <c r="V84" i="3"/>
  <c r="W84" i="3"/>
  <c r="X84" i="3" s="1"/>
  <c r="Y84" i="3"/>
  <c r="H85" i="3"/>
  <c r="I85" i="3"/>
  <c r="L85" i="3"/>
  <c r="M85" i="3" s="1"/>
  <c r="O85" i="3"/>
  <c r="P85" i="3" s="1"/>
  <c r="Q85" i="3"/>
  <c r="T85" i="3"/>
  <c r="U85" i="3"/>
  <c r="V85" i="3"/>
  <c r="W85" i="3"/>
  <c r="X85" i="3"/>
  <c r="Y85" i="3" s="1"/>
  <c r="H86" i="3"/>
  <c r="I86" i="3"/>
  <c r="L86" i="3"/>
  <c r="M86" i="3" s="1"/>
  <c r="O86" i="3"/>
  <c r="P86" i="3" s="1"/>
  <c r="Q86" i="3"/>
  <c r="T86" i="3"/>
  <c r="U86" i="3"/>
  <c r="V86" i="3"/>
  <c r="W86" i="3"/>
  <c r="X86" i="3" s="1"/>
  <c r="Y86" i="3"/>
  <c r="H87" i="3"/>
  <c r="I87" i="3" s="1"/>
  <c r="L87" i="3"/>
  <c r="M87" i="3" s="1"/>
  <c r="O87" i="3"/>
  <c r="P87" i="3" s="1"/>
  <c r="Q87" i="3"/>
  <c r="T87" i="3"/>
  <c r="U87" i="3" s="1"/>
  <c r="V87" i="3"/>
  <c r="W87" i="3"/>
  <c r="X87" i="3"/>
  <c r="Y87" i="3"/>
  <c r="H88" i="3"/>
  <c r="I88" i="3"/>
  <c r="L88" i="3"/>
  <c r="M88" i="3" s="1"/>
  <c r="O88" i="3"/>
  <c r="P88" i="3" s="1"/>
  <c r="Q88" i="3"/>
  <c r="T88" i="3"/>
  <c r="U88" i="3"/>
  <c r="V88" i="3"/>
  <c r="W88" i="3"/>
  <c r="X88" i="3" s="1"/>
  <c r="Y88" i="3" s="1"/>
  <c r="H89" i="3"/>
  <c r="I89" i="3"/>
  <c r="L89" i="3"/>
  <c r="M89" i="3"/>
  <c r="O89" i="3"/>
  <c r="P89" i="3"/>
  <c r="Q89" i="3" s="1"/>
  <c r="T89" i="3"/>
  <c r="U89" i="3" s="1"/>
  <c r="V89" i="3"/>
  <c r="W89" i="3"/>
  <c r="X89" i="3"/>
  <c r="Y89" i="3" s="1"/>
  <c r="H90" i="3"/>
  <c r="I90" i="3"/>
  <c r="L90" i="3"/>
  <c r="M90" i="3" s="1"/>
  <c r="O90" i="3"/>
  <c r="P90" i="3" s="1"/>
  <c r="Q90" i="3" s="1"/>
  <c r="T90" i="3"/>
  <c r="U90" i="3"/>
  <c r="V90" i="3"/>
  <c r="W90" i="3"/>
  <c r="X90" i="3"/>
  <c r="Y90" i="3"/>
  <c r="H91" i="3"/>
  <c r="I91" i="3" s="1"/>
  <c r="L91" i="3"/>
  <c r="M91" i="3" s="1"/>
  <c r="O91" i="3"/>
  <c r="P91" i="3"/>
  <c r="Q91" i="3" s="1"/>
  <c r="T91" i="3"/>
  <c r="U91" i="3"/>
  <c r="V91" i="3"/>
  <c r="W91" i="3"/>
  <c r="X91" i="3"/>
  <c r="Y91" i="3"/>
  <c r="H92" i="3"/>
  <c r="I92" i="3"/>
  <c r="L92" i="3"/>
  <c r="M92" i="3" s="1"/>
  <c r="O92" i="3"/>
  <c r="P92" i="3" s="1"/>
  <c r="Q92" i="3"/>
  <c r="T92" i="3"/>
  <c r="U92" i="3"/>
  <c r="V92" i="3"/>
  <c r="W92" i="3"/>
  <c r="X92" i="3" s="1"/>
  <c r="Y92" i="3"/>
  <c r="H93" i="3"/>
  <c r="I93" i="3"/>
  <c r="L93" i="3"/>
  <c r="M93" i="3"/>
  <c r="O93" i="3"/>
  <c r="P93" i="3"/>
  <c r="Q93" i="3" s="1"/>
  <c r="T93" i="3"/>
  <c r="U93" i="3"/>
  <c r="V93" i="3"/>
  <c r="W93" i="3"/>
  <c r="X93" i="3"/>
  <c r="Y93" i="3"/>
  <c r="H94" i="3"/>
  <c r="I94" i="3" s="1"/>
  <c r="L94" i="3"/>
  <c r="M94" i="3" s="1"/>
  <c r="O94" i="3"/>
  <c r="P94" i="3" s="1"/>
  <c r="Q94" i="3" s="1"/>
  <c r="T94" i="3"/>
  <c r="U94" i="3"/>
  <c r="V94" i="3"/>
  <c r="W94" i="3"/>
  <c r="X94" i="3" s="1"/>
  <c r="Y94" i="3"/>
  <c r="H95" i="3"/>
  <c r="I95" i="3"/>
  <c r="L95" i="3"/>
  <c r="M95" i="3"/>
  <c r="O95" i="3"/>
  <c r="P95" i="3"/>
  <c r="Q95" i="3" s="1"/>
  <c r="T95" i="3"/>
  <c r="U95" i="3"/>
  <c r="V95" i="3"/>
  <c r="W95" i="3"/>
  <c r="X95" i="3"/>
  <c r="Y95" i="3" s="1"/>
  <c r="H96" i="3"/>
  <c r="I96" i="3" s="1"/>
  <c r="L96" i="3"/>
  <c r="M96" i="3"/>
  <c r="O96" i="3"/>
  <c r="P96" i="3" s="1"/>
  <c r="Q96" i="3" s="1"/>
  <c r="T96" i="3"/>
  <c r="U96" i="3"/>
  <c r="V96" i="3"/>
  <c r="W96" i="3"/>
  <c r="X96" i="3" s="1"/>
  <c r="Y96" i="3" s="1"/>
  <c r="H97" i="3"/>
  <c r="I97" i="3"/>
  <c r="L97" i="3"/>
  <c r="M97" i="3"/>
  <c r="O97" i="3"/>
  <c r="P97" i="3" s="1"/>
  <c r="Q97" i="3" s="1"/>
  <c r="T97" i="3"/>
  <c r="U97" i="3"/>
  <c r="V97" i="3"/>
  <c r="W97" i="3"/>
  <c r="X97" i="3"/>
  <c r="Y97" i="3" s="1"/>
  <c r="H98" i="3"/>
  <c r="I98" i="3"/>
  <c r="L98" i="3"/>
  <c r="M98" i="3" s="1"/>
  <c r="O98" i="3"/>
  <c r="P98" i="3" s="1"/>
  <c r="Q98" i="3" s="1"/>
  <c r="T98" i="3"/>
  <c r="U98" i="3"/>
  <c r="V98" i="3"/>
  <c r="W98" i="3"/>
  <c r="X98" i="3" s="1"/>
  <c r="Y98" i="3" s="1"/>
  <c r="H99" i="3"/>
  <c r="I99" i="3"/>
  <c r="L99" i="3"/>
  <c r="M99" i="3"/>
  <c r="O99" i="3"/>
  <c r="P99" i="3" s="1"/>
  <c r="Q99" i="3" s="1"/>
  <c r="T99" i="3"/>
  <c r="U99" i="3" s="1"/>
  <c r="V99" i="3"/>
  <c r="W99" i="3"/>
  <c r="X99" i="3"/>
  <c r="Y99" i="3"/>
  <c r="H100" i="3"/>
  <c r="I100" i="3" s="1"/>
  <c r="L100" i="3"/>
  <c r="M100" i="3"/>
  <c r="O100" i="3"/>
  <c r="P100" i="3" s="1"/>
  <c r="Q100" i="3" s="1"/>
  <c r="T100" i="3"/>
  <c r="U100" i="3"/>
  <c r="V100" i="3"/>
  <c r="W100" i="3"/>
  <c r="X100" i="3"/>
  <c r="Y100" i="3"/>
  <c r="H101" i="3"/>
  <c r="I101" i="3"/>
  <c r="L101" i="3"/>
  <c r="M101" i="3"/>
  <c r="O101" i="3"/>
  <c r="P101" i="3"/>
  <c r="Q101" i="3" s="1"/>
  <c r="T101" i="3"/>
  <c r="U101" i="3" s="1"/>
  <c r="V101" i="3"/>
  <c r="W101" i="3"/>
  <c r="X101" i="3"/>
  <c r="Y101" i="3"/>
  <c r="H102" i="3"/>
  <c r="I102" i="3"/>
  <c r="L102" i="3"/>
  <c r="M102" i="3" s="1"/>
  <c r="O102" i="3"/>
  <c r="P102" i="3" s="1"/>
  <c r="Q102" i="3" s="1"/>
  <c r="T102" i="3"/>
  <c r="U102" i="3"/>
  <c r="V102" i="3"/>
  <c r="W102" i="3"/>
  <c r="X102" i="3" s="1"/>
  <c r="Y102" i="3" s="1"/>
  <c r="H103" i="3"/>
  <c r="I103" i="3"/>
  <c r="L103" i="3"/>
  <c r="M103" i="3"/>
  <c r="O103" i="3"/>
  <c r="P103" i="3"/>
  <c r="Q103" i="3" s="1"/>
  <c r="T103" i="3"/>
  <c r="U103" i="3" s="1"/>
  <c r="V103" i="3"/>
  <c r="W103" i="3"/>
  <c r="X103" i="3"/>
  <c r="Y103" i="3" s="1"/>
  <c r="H104" i="3"/>
  <c r="I104" i="3"/>
  <c r="L104" i="3"/>
  <c r="M104" i="3" s="1"/>
  <c r="O104" i="3"/>
  <c r="P104" i="3" s="1"/>
  <c r="Q104" i="3"/>
  <c r="T104" i="3"/>
  <c r="U104" i="3"/>
  <c r="V104" i="3"/>
  <c r="W104" i="3"/>
  <c r="X104" i="3"/>
  <c r="Y104" i="3"/>
  <c r="H105" i="3"/>
  <c r="I105" i="3"/>
  <c r="L105" i="3"/>
  <c r="M105" i="3"/>
  <c r="O105" i="3"/>
  <c r="P105" i="3"/>
  <c r="Q105" i="3" s="1"/>
  <c r="T105" i="3"/>
  <c r="U105" i="3" s="1"/>
  <c r="V105" i="3"/>
  <c r="W105" i="3"/>
  <c r="X105" i="3"/>
  <c r="Y105" i="3"/>
  <c r="H106" i="3"/>
  <c r="I106" i="3" s="1"/>
  <c r="L106" i="3"/>
  <c r="M106" i="3" s="1"/>
  <c r="O106" i="3"/>
  <c r="P106" i="3"/>
  <c r="Q106" i="3"/>
  <c r="T106" i="3"/>
  <c r="U106" i="3"/>
  <c r="V106" i="3"/>
  <c r="W106" i="3"/>
  <c r="X106" i="3" s="1"/>
  <c r="Y106" i="3" s="1"/>
  <c r="H107" i="3"/>
  <c r="I107" i="3"/>
  <c r="L107" i="3"/>
  <c r="M107" i="3"/>
  <c r="O107" i="3"/>
  <c r="P107" i="3"/>
  <c r="Q107" i="3" s="1"/>
  <c r="T107" i="3"/>
  <c r="U107" i="3" s="1"/>
  <c r="V107" i="3"/>
  <c r="W107" i="3"/>
  <c r="X107" i="3"/>
  <c r="Y107" i="3" s="1"/>
  <c r="H108" i="3"/>
  <c r="I108" i="3" s="1"/>
  <c r="L108" i="3"/>
  <c r="M108" i="3"/>
  <c r="O108" i="3"/>
  <c r="P108" i="3" s="1"/>
  <c r="Q108" i="3" s="1"/>
  <c r="T108" i="3"/>
  <c r="U108" i="3"/>
  <c r="V108" i="3"/>
  <c r="W108" i="3"/>
  <c r="X108" i="3" s="1"/>
  <c r="Y108" i="3" s="1"/>
  <c r="H109" i="3"/>
  <c r="I109" i="3"/>
  <c r="L109" i="3"/>
  <c r="M109" i="3"/>
  <c r="O109" i="3"/>
  <c r="P109" i="3" s="1"/>
  <c r="Q109" i="3" s="1"/>
  <c r="T109" i="3"/>
  <c r="U109" i="3"/>
  <c r="V109" i="3"/>
  <c r="W109" i="3"/>
  <c r="X109" i="3"/>
  <c r="Y109" i="3" s="1"/>
  <c r="H110" i="3"/>
  <c r="I110" i="3"/>
  <c r="L110" i="3"/>
  <c r="M110" i="3"/>
  <c r="O110" i="3"/>
  <c r="P110" i="3" s="1"/>
  <c r="Q110" i="3" s="1"/>
  <c r="T110" i="3"/>
  <c r="U110" i="3"/>
  <c r="V110" i="3"/>
  <c r="W110" i="3"/>
  <c r="X110" i="3" s="1"/>
  <c r="Y110" i="3" s="1"/>
  <c r="H111" i="3"/>
  <c r="I111" i="3"/>
  <c r="L111" i="3"/>
  <c r="M111" i="3"/>
  <c r="O111" i="3"/>
  <c r="P111" i="3" s="1"/>
  <c r="Q111" i="3" s="1"/>
  <c r="T111" i="3"/>
  <c r="U111" i="3" s="1"/>
  <c r="V111" i="3"/>
  <c r="W111" i="3"/>
  <c r="X111" i="3"/>
  <c r="Y111" i="3" s="1"/>
  <c r="H112" i="3"/>
  <c r="I112" i="3" s="1"/>
  <c r="L112" i="3"/>
  <c r="M112" i="3"/>
  <c r="O112" i="3"/>
  <c r="P112" i="3" s="1"/>
  <c r="Q112" i="3" s="1"/>
  <c r="T112" i="3"/>
  <c r="U112" i="3"/>
  <c r="V112" i="3"/>
  <c r="W112" i="3"/>
  <c r="X112" i="3" s="1"/>
  <c r="Y112" i="3" s="1"/>
  <c r="H113" i="3"/>
  <c r="I113" i="3"/>
  <c r="L113" i="3"/>
  <c r="M113" i="3"/>
  <c r="O113" i="3"/>
  <c r="P113" i="3"/>
  <c r="Q113" i="3" s="1"/>
  <c r="T113" i="3"/>
  <c r="U113" i="3" s="1"/>
  <c r="V113" i="3"/>
  <c r="W113" i="3"/>
  <c r="X113" i="3"/>
  <c r="Y113" i="3" s="1"/>
  <c r="H114" i="3"/>
  <c r="I114" i="3" s="1"/>
  <c r="L114" i="3"/>
  <c r="M114" i="3"/>
  <c r="O114" i="3"/>
  <c r="P114" i="3" s="1"/>
  <c r="Q114" i="3" s="1"/>
  <c r="T114" i="3"/>
  <c r="U114" i="3"/>
  <c r="V114" i="3"/>
  <c r="W114" i="3"/>
  <c r="X114" i="3"/>
  <c r="Y114" i="3" s="1"/>
  <c r="H115" i="3"/>
  <c r="I115" i="3" s="1"/>
  <c r="L115" i="3"/>
  <c r="M115" i="3"/>
  <c r="O115" i="3"/>
  <c r="P115" i="3"/>
  <c r="Q115" i="3" s="1"/>
  <c r="T115" i="3"/>
  <c r="U115" i="3" s="1"/>
  <c r="V115" i="3"/>
  <c r="W115" i="3"/>
  <c r="X115" i="3"/>
  <c r="Y115" i="3"/>
  <c r="H116" i="3"/>
  <c r="I116" i="3"/>
  <c r="L116" i="3"/>
  <c r="M116" i="3" s="1"/>
  <c r="O116" i="3"/>
  <c r="P116" i="3" s="1"/>
  <c r="Q116" i="3"/>
  <c r="T116" i="3"/>
  <c r="U116" i="3" s="1"/>
  <c r="V116" i="3"/>
  <c r="W116" i="3"/>
  <c r="X116" i="3" s="1"/>
  <c r="Y116" i="3"/>
  <c r="H117" i="3"/>
  <c r="I117" i="3"/>
  <c r="L117" i="3"/>
  <c r="M117" i="3"/>
  <c r="O117" i="3"/>
  <c r="P117" i="3"/>
  <c r="Q117" i="3"/>
  <c r="T117" i="3"/>
  <c r="U117" i="3" s="1"/>
  <c r="V117" i="3"/>
  <c r="W117" i="3"/>
  <c r="X117" i="3"/>
  <c r="Y117" i="3"/>
  <c r="H118" i="3"/>
  <c r="I118" i="3" s="1"/>
  <c r="L118" i="3"/>
  <c r="M118" i="3" s="1"/>
  <c r="O118" i="3"/>
  <c r="P118" i="3"/>
  <c r="Q118" i="3" s="1"/>
  <c r="T118" i="3"/>
  <c r="U118" i="3"/>
  <c r="V118" i="3"/>
  <c r="W118" i="3"/>
  <c r="X118" i="3" s="1"/>
  <c r="Y118" i="3"/>
  <c r="H119" i="3"/>
  <c r="I119" i="3"/>
  <c r="L119" i="3"/>
  <c r="M119" i="3"/>
  <c r="O119" i="3"/>
  <c r="P119" i="3"/>
  <c r="Q119" i="3" s="1"/>
  <c r="T119" i="3"/>
  <c r="U119" i="3" s="1"/>
  <c r="V119" i="3"/>
  <c r="W119" i="3"/>
  <c r="X119" i="3"/>
  <c r="Y119" i="3" s="1"/>
  <c r="H120" i="3"/>
  <c r="I120" i="3" s="1"/>
  <c r="L120" i="3"/>
  <c r="M120" i="3"/>
  <c r="O120" i="3"/>
  <c r="P120" i="3"/>
  <c r="Q120" i="3" s="1"/>
  <c r="T120" i="3"/>
  <c r="U120" i="3" s="1"/>
  <c r="V120" i="3"/>
  <c r="W120" i="3"/>
  <c r="X120" i="3" s="1"/>
  <c r="Y120" i="3" s="1"/>
  <c r="H121" i="3"/>
  <c r="I121" i="3"/>
  <c r="L121" i="3"/>
  <c r="M121" i="3"/>
  <c r="O121" i="3"/>
  <c r="P121" i="3"/>
  <c r="Q121" i="3"/>
  <c r="T121" i="3"/>
  <c r="U121" i="3"/>
  <c r="V121" i="3"/>
  <c r="W121" i="3"/>
  <c r="X121" i="3"/>
  <c r="Y121" i="3" s="1"/>
  <c r="H122" i="3"/>
  <c r="I122" i="3" s="1"/>
  <c r="L122" i="3"/>
  <c r="M122" i="3"/>
  <c r="O122" i="3"/>
  <c r="P122" i="3"/>
  <c r="Q122" i="3"/>
  <c r="T122" i="3"/>
  <c r="U122" i="3"/>
  <c r="V122" i="3"/>
  <c r="W122" i="3"/>
  <c r="X122" i="3" s="1"/>
  <c r="Y122" i="3" s="1"/>
  <c r="H123" i="3"/>
  <c r="I123" i="3"/>
  <c r="L123" i="3"/>
  <c r="M123" i="3"/>
  <c r="O123" i="3"/>
  <c r="P123" i="3"/>
  <c r="Q123" i="3"/>
  <c r="T123" i="3"/>
  <c r="U123" i="3" s="1"/>
  <c r="V123" i="3"/>
  <c r="W123" i="3"/>
  <c r="X123" i="3"/>
  <c r="Y123" i="3" s="1"/>
  <c r="H124" i="3"/>
  <c r="I124" i="3"/>
  <c r="L124" i="3"/>
  <c r="M124" i="3" s="1"/>
  <c r="O124" i="3"/>
  <c r="P124" i="3"/>
  <c r="Q124" i="3"/>
  <c r="T124" i="3"/>
  <c r="U124" i="3"/>
  <c r="V124" i="3"/>
  <c r="W124" i="3"/>
  <c r="X124" i="3" s="1"/>
  <c r="Y124" i="3" s="1"/>
  <c r="H125" i="3"/>
  <c r="I125" i="3"/>
  <c r="L125" i="3"/>
  <c r="M125" i="3" s="1"/>
  <c r="O125" i="3"/>
  <c r="P125" i="3"/>
  <c r="Q125" i="3" s="1"/>
  <c r="T125" i="3"/>
  <c r="U125" i="3" s="1"/>
  <c r="V125" i="3"/>
  <c r="W125" i="3"/>
  <c r="X125" i="3"/>
  <c r="Y125" i="3" s="1"/>
  <c r="H126" i="3"/>
  <c r="I126" i="3" s="1"/>
  <c r="L126" i="3"/>
  <c r="M126" i="3"/>
  <c r="O126" i="3"/>
  <c r="P126" i="3" s="1"/>
  <c r="Q126" i="3" s="1"/>
  <c r="T126" i="3"/>
  <c r="U126" i="3"/>
  <c r="V126" i="3"/>
  <c r="W126" i="3"/>
  <c r="X126" i="3"/>
  <c r="Y126" i="3" s="1"/>
  <c r="H127" i="3"/>
  <c r="I127" i="3"/>
  <c r="L127" i="3"/>
  <c r="M127" i="3"/>
  <c r="O127" i="3"/>
  <c r="P127" i="3"/>
  <c r="Q127" i="3" s="1"/>
  <c r="T127" i="3"/>
  <c r="U127" i="3"/>
  <c r="V127" i="3"/>
  <c r="W127" i="3"/>
  <c r="X127" i="3"/>
  <c r="Y127" i="3" s="1"/>
  <c r="H128" i="3"/>
  <c r="I128" i="3" s="1"/>
  <c r="L128" i="3"/>
  <c r="M128" i="3" s="1"/>
  <c r="O128" i="3"/>
  <c r="P128" i="3" s="1"/>
  <c r="Q128" i="3"/>
  <c r="T128" i="3"/>
  <c r="U128" i="3"/>
  <c r="V128" i="3"/>
  <c r="W128" i="3"/>
  <c r="X128" i="3" s="1"/>
  <c r="Y128" i="3" s="1"/>
  <c r="H129" i="3"/>
  <c r="I129" i="3"/>
  <c r="L129" i="3"/>
  <c r="M129" i="3"/>
  <c r="O129" i="3"/>
  <c r="P129" i="3"/>
  <c r="Q129" i="3" s="1"/>
  <c r="T129" i="3"/>
  <c r="U129" i="3"/>
  <c r="V129" i="3"/>
  <c r="W129" i="3"/>
  <c r="X129" i="3"/>
  <c r="Y129" i="3" s="1"/>
  <c r="H130" i="3"/>
  <c r="I130" i="3" s="1"/>
  <c r="L130" i="3"/>
  <c r="M130" i="3" s="1"/>
  <c r="O130" i="3"/>
  <c r="P130" i="3"/>
  <c r="Q130" i="3" s="1"/>
  <c r="T130" i="3"/>
  <c r="U130" i="3" s="1"/>
  <c r="V130" i="3"/>
  <c r="W130" i="3"/>
  <c r="X130" i="3" s="1"/>
  <c r="Y130" i="3" s="1"/>
  <c r="H131" i="3"/>
  <c r="I131" i="3"/>
  <c r="L131" i="3"/>
  <c r="M131" i="3"/>
  <c r="O131" i="3"/>
  <c r="P131" i="3"/>
  <c r="Q131" i="3"/>
  <c r="T131" i="3"/>
  <c r="U131" i="3"/>
  <c r="V131" i="3"/>
  <c r="W131" i="3"/>
  <c r="X131" i="3"/>
  <c r="Y131" i="3" s="1"/>
  <c r="H132" i="3"/>
  <c r="I132" i="3" s="1"/>
  <c r="L132" i="3"/>
  <c r="M132" i="3"/>
  <c r="O132" i="3"/>
  <c r="P132" i="3"/>
  <c r="Q132" i="3"/>
  <c r="T132" i="3"/>
  <c r="U132" i="3" s="1"/>
  <c r="V132" i="3"/>
  <c r="W132" i="3"/>
  <c r="X132" i="3" s="1"/>
  <c r="Y132" i="3" s="1"/>
  <c r="H133" i="3"/>
  <c r="I133" i="3"/>
  <c r="L133" i="3"/>
  <c r="M133" i="3" s="1"/>
  <c r="O133" i="3"/>
  <c r="P133" i="3"/>
  <c r="Q133" i="3"/>
  <c r="T133" i="3"/>
  <c r="U133" i="3"/>
  <c r="V133" i="3"/>
  <c r="W133" i="3"/>
  <c r="X133" i="3"/>
  <c r="Y133" i="3" s="1"/>
  <c r="H134" i="3"/>
  <c r="I134" i="3" s="1"/>
  <c r="L134" i="3"/>
  <c r="M134" i="3"/>
  <c r="O134" i="3"/>
  <c r="P134" i="3"/>
  <c r="Q134" i="3"/>
  <c r="T134" i="3"/>
  <c r="U134" i="3"/>
  <c r="V134" i="3"/>
  <c r="W134" i="3"/>
  <c r="X134" i="3" s="1"/>
  <c r="Y134" i="3" s="1"/>
  <c r="H135" i="3"/>
  <c r="I135" i="3" s="1"/>
  <c r="L135" i="3"/>
  <c r="M135" i="3"/>
  <c r="O135" i="3"/>
  <c r="P135" i="3"/>
  <c r="Q135" i="3" s="1"/>
  <c r="T135" i="3"/>
  <c r="U135" i="3" s="1"/>
  <c r="V135" i="3"/>
  <c r="W135" i="3"/>
  <c r="X135" i="3"/>
  <c r="Y135" i="3" s="1"/>
  <c r="H136" i="3"/>
  <c r="I136" i="3" s="1"/>
  <c r="L136" i="3"/>
  <c r="M136" i="3"/>
  <c r="O136" i="3"/>
  <c r="P136" i="3"/>
  <c r="Q136" i="3"/>
  <c r="T136" i="3"/>
  <c r="U136" i="3"/>
  <c r="V136" i="3"/>
  <c r="W136" i="3"/>
  <c r="X136" i="3" s="1"/>
  <c r="Y136" i="3" s="1"/>
  <c r="H137" i="3"/>
  <c r="I137" i="3"/>
  <c r="L137" i="3"/>
  <c r="M137" i="3" s="1"/>
  <c r="O137" i="3"/>
  <c r="P137" i="3" s="1"/>
  <c r="Q137" i="3" s="1"/>
  <c r="T137" i="3"/>
  <c r="U137" i="3" s="1"/>
  <c r="V137" i="3"/>
  <c r="W137" i="3"/>
  <c r="X137" i="3" s="1"/>
  <c r="Y137" i="3" s="1"/>
  <c r="H138" i="3"/>
  <c r="I138" i="3" s="1"/>
  <c r="L138" i="3"/>
  <c r="M138" i="3"/>
  <c r="O138" i="3"/>
  <c r="P138" i="3" s="1"/>
  <c r="Q138" i="3"/>
  <c r="T138" i="3"/>
  <c r="U138" i="3"/>
  <c r="V138" i="3"/>
  <c r="W138" i="3"/>
  <c r="X138" i="3"/>
  <c r="Y138" i="3" s="1"/>
  <c r="H139" i="3"/>
  <c r="I139" i="3" s="1"/>
  <c r="L139" i="3"/>
  <c r="M139" i="3"/>
  <c r="O139" i="3"/>
  <c r="P139" i="3"/>
  <c r="Q139" i="3" s="1"/>
  <c r="T139" i="3"/>
  <c r="U139" i="3"/>
  <c r="V139" i="3"/>
  <c r="W139" i="3"/>
  <c r="X139" i="3" s="1"/>
  <c r="Y139" i="3" s="1"/>
  <c r="H140" i="3"/>
  <c r="I140" i="3" s="1"/>
  <c r="L140" i="3"/>
  <c r="M140" i="3" s="1"/>
  <c r="O140" i="3"/>
  <c r="P140" i="3" s="1"/>
  <c r="Q140" i="3" s="1"/>
  <c r="T140" i="3"/>
  <c r="U140" i="3"/>
  <c r="V140" i="3"/>
  <c r="W140" i="3"/>
  <c r="X140" i="3"/>
  <c r="Y140" i="3" s="1"/>
  <c r="H141" i="3"/>
  <c r="I141" i="3"/>
  <c r="L141" i="3"/>
  <c r="M141" i="3"/>
  <c r="O141" i="3"/>
  <c r="P141" i="3"/>
  <c r="Q141" i="3"/>
  <c r="T141" i="3"/>
  <c r="U141" i="3"/>
  <c r="V141" i="3"/>
  <c r="W141" i="3"/>
  <c r="X141" i="3" s="1"/>
  <c r="Y141" i="3" s="1"/>
  <c r="H142" i="3"/>
  <c r="I142" i="3" s="1"/>
  <c r="L142" i="3"/>
  <c r="M142" i="3" s="1"/>
  <c r="O142" i="3"/>
  <c r="P142" i="3"/>
  <c r="Q142" i="3"/>
  <c r="T142" i="3"/>
  <c r="U142" i="3"/>
  <c r="V142" i="3"/>
  <c r="W142" i="3"/>
  <c r="X142" i="3"/>
  <c r="Y142" i="3"/>
  <c r="H143" i="3"/>
  <c r="I143" i="3"/>
  <c r="L143" i="3"/>
  <c r="M143" i="3"/>
  <c r="O143" i="3"/>
  <c r="P143" i="3"/>
  <c r="Q143" i="3" s="1"/>
  <c r="T143" i="3"/>
  <c r="U143" i="3"/>
  <c r="V143" i="3"/>
  <c r="W143" i="3"/>
  <c r="X143" i="3"/>
  <c r="Y143" i="3" s="1"/>
  <c r="H144" i="3"/>
  <c r="I144" i="3" s="1"/>
  <c r="L144" i="3"/>
  <c r="M144" i="3" s="1"/>
  <c r="O144" i="3"/>
  <c r="P144" i="3"/>
  <c r="Q144" i="3"/>
  <c r="T144" i="3"/>
  <c r="U144" i="3" s="1"/>
  <c r="V144" i="3"/>
  <c r="W144" i="3"/>
  <c r="X144" i="3" s="1"/>
  <c r="Y144" i="3"/>
  <c r="H145" i="3"/>
  <c r="I145" i="3"/>
  <c r="L145" i="3"/>
  <c r="M145" i="3" s="1"/>
  <c r="O145" i="3"/>
  <c r="P145" i="3" s="1"/>
  <c r="Q145" i="3" s="1"/>
  <c r="T145" i="3"/>
  <c r="U145" i="3"/>
  <c r="V145" i="3"/>
  <c r="W145" i="3"/>
  <c r="X145" i="3"/>
  <c r="Y145" i="3" s="1"/>
  <c r="H146" i="3"/>
  <c r="I146" i="3" s="1"/>
  <c r="L146" i="3"/>
  <c r="M146" i="3" s="1"/>
  <c r="O146" i="3"/>
  <c r="P146" i="3" s="1"/>
  <c r="Q146" i="3" s="1"/>
  <c r="T146" i="3"/>
  <c r="U146" i="3"/>
  <c r="V146" i="3"/>
  <c r="W146" i="3"/>
  <c r="X146" i="3" s="1"/>
  <c r="Y146" i="3" s="1"/>
  <c r="H147" i="3"/>
  <c r="I147" i="3" s="1"/>
  <c r="L147" i="3"/>
  <c r="M147" i="3" s="1"/>
  <c r="O147" i="3"/>
  <c r="P147" i="3"/>
  <c r="Q147" i="3"/>
  <c r="T147" i="3"/>
  <c r="U147" i="3" s="1"/>
  <c r="V147" i="3"/>
  <c r="W147" i="3"/>
  <c r="X147" i="3"/>
  <c r="Y147" i="3"/>
  <c r="H148" i="3"/>
  <c r="I148" i="3" s="1"/>
  <c r="L148" i="3"/>
  <c r="M148" i="3" s="1"/>
  <c r="O148" i="3"/>
  <c r="P148" i="3"/>
  <c r="Q148" i="3"/>
  <c r="T148" i="3"/>
  <c r="U148" i="3"/>
  <c r="V148" i="3"/>
  <c r="W148" i="3"/>
  <c r="X148" i="3" s="1"/>
  <c r="Y148" i="3" s="1"/>
  <c r="H149" i="3"/>
  <c r="I149" i="3"/>
  <c r="L149" i="3"/>
  <c r="M149" i="3"/>
  <c r="O149" i="3"/>
  <c r="P149" i="3"/>
  <c r="Q149" i="3" s="1"/>
  <c r="T149" i="3"/>
  <c r="U149" i="3" s="1"/>
  <c r="V149" i="3"/>
  <c r="W149" i="3"/>
  <c r="X149" i="3"/>
  <c r="Y149" i="3" s="1"/>
  <c r="H150" i="3"/>
  <c r="I150" i="3" s="1"/>
  <c r="L150" i="3"/>
  <c r="M150" i="3" s="1"/>
  <c r="O150" i="3"/>
  <c r="P150" i="3" s="1"/>
  <c r="Q150" i="3" s="1"/>
  <c r="T150" i="3"/>
  <c r="U150" i="3"/>
  <c r="V150" i="3"/>
  <c r="W150" i="3"/>
  <c r="X150" i="3"/>
  <c r="Y150" i="3" s="1"/>
  <c r="H151" i="3"/>
  <c r="I151" i="3" s="1"/>
  <c r="L151" i="3"/>
  <c r="M151" i="3" s="1"/>
  <c r="O151" i="3"/>
  <c r="P151" i="3"/>
  <c r="Q151" i="3" s="1"/>
  <c r="T151" i="3"/>
  <c r="U151" i="3" s="1"/>
  <c r="V151" i="3"/>
  <c r="W151" i="3"/>
  <c r="X151" i="3"/>
  <c r="Y151" i="3"/>
  <c r="H152" i="3"/>
  <c r="I152" i="3" s="1"/>
  <c r="L152" i="3"/>
  <c r="M152" i="3" s="1"/>
  <c r="O152" i="3"/>
  <c r="P152" i="3" s="1"/>
  <c r="Q152" i="3"/>
  <c r="T152" i="3"/>
  <c r="U152" i="3"/>
  <c r="V152" i="3"/>
  <c r="W152" i="3"/>
  <c r="X152" i="3"/>
  <c r="Y152" i="3"/>
  <c r="H153" i="3"/>
  <c r="I153" i="3"/>
  <c r="L153" i="3"/>
  <c r="M153" i="3"/>
  <c r="O153" i="3"/>
  <c r="P153" i="3"/>
  <c r="Q153" i="3"/>
  <c r="T153" i="3"/>
  <c r="U153" i="3"/>
  <c r="V153" i="3"/>
  <c r="W153" i="3"/>
  <c r="X153" i="3"/>
  <c r="Y153" i="3"/>
  <c r="H154" i="3"/>
  <c r="I154" i="3" s="1"/>
  <c r="L154" i="3"/>
  <c r="M154" i="3" s="1"/>
  <c r="O154" i="3"/>
  <c r="P154" i="3" s="1"/>
  <c r="Q154" i="3"/>
  <c r="T154" i="3"/>
  <c r="U154" i="3"/>
  <c r="V154" i="3"/>
  <c r="W154" i="3"/>
  <c r="X154" i="3" s="1"/>
  <c r="Y154" i="3" s="1"/>
  <c r="H155" i="3"/>
  <c r="I155" i="3"/>
  <c r="L155" i="3"/>
  <c r="M155" i="3"/>
  <c r="O155" i="3"/>
  <c r="P155" i="3"/>
  <c r="Q155" i="3" s="1"/>
  <c r="T155" i="3"/>
  <c r="U155" i="3"/>
  <c r="V155" i="3"/>
  <c r="W155" i="3"/>
  <c r="X155" i="3"/>
  <c r="Y155" i="3" s="1"/>
  <c r="H156" i="3"/>
  <c r="I156" i="3"/>
  <c r="L156" i="3"/>
  <c r="M156" i="3"/>
  <c r="O156" i="3"/>
  <c r="P156" i="3"/>
  <c r="Q156" i="3" s="1"/>
  <c r="T156" i="3"/>
  <c r="U156" i="3"/>
  <c r="V156" i="3"/>
  <c r="W156" i="3"/>
  <c r="X156" i="3" s="1"/>
  <c r="Y156" i="3"/>
  <c r="H157" i="3"/>
  <c r="I157" i="3"/>
  <c r="L157" i="3"/>
  <c r="M157" i="3"/>
  <c r="O157" i="3"/>
  <c r="P157" i="3"/>
  <c r="Q157" i="3" s="1"/>
  <c r="T157" i="3"/>
  <c r="U157" i="3"/>
  <c r="V157" i="3"/>
  <c r="W157" i="3"/>
  <c r="X157" i="3"/>
  <c r="Y157" i="3"/>
  <c r="H158" i="3"/>
  <c r="I158" i="3" s="1"/>
  <c r="L158" i="3"/>
  <c r="M158" i="3" s="1"/>
  <c r="O158" i="3"/>
  <c r="P158" i="3" s="1"/>
  <c r="Q158" i="3" s="1"/>
  <c r="T158" i="3"/>
  <c r="U158" i="3"/>
  <c r="V158" i="3"/>
  <c r="W158" i="3"/>
  <c r="X158" i="3" s="1"/>
  <c r="Y158" i="3" s="1"/>
  <c r="H159" i="3"/>
  <c r="I159" i="3"/>
  <c r="L159" i="3"/>
  <c r="M159" i="3"/>
  <c r="O159" i="3"/>
  <c r="P159" i="3"/>
  <c r="Q159" i="3" s="1"/>
  <c r="T159" i="3"/>
  <c r="U159" i="3"/>
  <c r="V159" i="3"/>
  <c r="W159" i="3"/>
  <c r="X159" i="3"/>
  <c r="Y159" i="3" s="1"/>
  <c r="H160" i="3"/>
  <c r="I160" i="3" s="1"/>
  <c r="L160" i="3"/>
  <c r="M160" i="3"/>
  <c r="O160" i="3"/>
  <c r="P160" i="3" s="1"/>
  <c r="Q160" i="3" s="1"/>
  <c r="T160" i="3"/>
  <c r="U160" i="3"/>
  <c r="V160" i="3"/>
  <c r="W160" i="3"/>
  <c r="X160" i="3" s="1"/>
  <c r="Y160" i="3" s="1"/>
  <c r="H161" i="3"/>
  <c r="I161" i="3"/>
  <c r="L161" i="3"/>
  <c r="M161" i="3"/>
  <c r="O161" i="3"/>
  <c r="P161" i="3"/>
  <c r="Q161" i="3" s="1"/>
  <c r="T161" i="3"/>
  <c r="U161" i="3" s="1"/>
  <c r="V161" i="3"/>
  <c r="W161" i="3"/>
  <c r="X161" i="3"/>
  <c r="Y161" i="3" s="1"/>
  <c r="H162" i="3"/>
  <c r="I162" i="3"/>
  <c r="L162" i="3"/>
  <c r="M162" i="3"/>
  <c r="O162" i="3"/>
  <c r="P162" i="3"/>
  <c r="Q162" i="3" s="1"/>
  <c r="T162" i="3"/>
  <c r="U162" i="3" s="1"/>
  <c r="V162" i="3"/>
  <c r="W162" i="3"/>
  <c r="X162" i="3" s="1"/>
  <c r="Y162" i="3"/>
  <c r="H163" i="3"/>
  <c r="I163" i="3"/>
  <c r="L163" i="3"/>
  <c r="M163" i="3"/>
  <c r="O163" i="3"/>
  <c r="P163" i="3"/>
  <c r="Q163" i="3" s="1"/>
  <c r="T163" i="3"/>
  <c r="U163" i="3" s="1"/>
  <c r="V163" i="3"/>
  <c r="W163" i="3"/>
  <c r="X163" i="3"/>
  <c r="Y163" i="3"/>
  <c r="H164" i="3"/>
  <c r="I164" i="3"/>
  <c r="L164" i="3"/>
  <c r="M164" i="3"/>
  <c r="O164" i="3"/>
  <c r="P164" i="3"/>
  <c r="Q164" i="3" s="1"/>
  <c r="T164" i="3"/>
  <c r="U164" i="3"/>
  <c r="V164" i="3"/>
  <c r="W164" i="3"/>
  <c r="X164" i="3"/>
  <c r="Y164" i="3" s="1"/>
  <c r="H165" i="3"/>
  <c r="I165" i="3"/>
  <c r="J165" i="3"/>
  <c r="L165" i="3"/>
  <c r="M165" i="3"/>
  <c r="O165" i="3"/>
  <c r="P165" i="3" s="1"/>
  <c r="Q165" i="3" s="1"/>
  <c r="T165" i="3"/>
  <c r="U165" i="3"/>
  <c r="V165" i="3"/>
  <c r="W165" i="3"/>
  <c r="X165" i="3"/>
  <c r="Y165" i="3" s="1"/>
  <c r="H166" i="3"/>
  <c r="I166" i="3"/>
  <c r="J166" i="3"/>
  <c r="L166" i="3"/>
  <c r="M166" i="3" s="1"/>
  <c r="O166" i="3"/>
  <c r="P166" i="3" s="1"/>
  <c r="Q166" i="3" s="1"/>
  <c r="T166" i="3"/>
  <c r="U166" i="3" s="1"/>
  <c r="V166" i="3"/>
  <c r="W166" i="3"/>
  <c r="X166" i="3"/>
  <c r="Y166" i="3" s="1"/>
  <c r="H167" i="3"/>
  <c r="I167" i="3"/>
  <c r="L167" i="3"/>
  <c r="M167" i="3"/>
  <c r="O167" i="3"/>
  <c r="P167" i="3"/>
  <c r="Q167" i="3"/>
  <c r="T167" i="3"/>
  <c r="U167" i="3"/>
  <c r="V167" i="3"/>
  <c r="W167" i="3"/>
  <c r="X167" i="3" s="1"/>
  <c r="Y167" i="3" s="1"/>
  <c r="H168" i="3"/>
  <c r="I168" i="3" s="1"/>
  <c r="J168" i="3"/>
  <c r="L168" i="3"/>
  <c r="M168" i="3"/>
  <c r="O168" i="3"/>
  <c r="P168" i="3"/>
  <c r="Q168" i="3" s="1"/>
  <c r="T168" i="3"/>
  <c r="U168" i="3"/>
  <c r="V168" i="3"/>
  <c r="W168" i="3"/>
  <c r="X168" i="3"/>
  <c r="Y168" i="3" s="1"/>
  <c r="H169" i="3"/>
  <c r="I169" i="3" s="1"/>
  <c r="J169" i="3"/>
  <c r="L169" i="3"/>
  <c r="M169" i="3"/>
  <c r="O169" i="3"/>
  <c r="P169" i="3"/>
  <c r="Q169" i="3" s="1"/>
  <c r="T169" i="3"/>
  <c r="U169" i="3"/>
  <c r="V169" i="3"/>
  <c r="W169" i="3"/>
  <c r="X169" i="3"/>
  <c r="Y169" i="3" s="1"/>
  <c r="H170" i="3"/>
  <c r="I170" i="3"/>
  <c r="L170" i="3"/>
  <c r="M170" i="3"/>
  <c r="O170" i="3"/>
  <c r="P170" i="3"/>
  <c r="Q170" i="3" s="1"/>
  <c r="T170" i="3"/>
  <c r="U170" i="3"/>
  <c r="V170" i="3"/>
  <c r="W170" i="3"/>
  <c r="X170" i="3" s="1"/>
  <c r="Y170" i="3"/>
  <c r="H171" i="3"/>
  <c r="I171" i="3"/>
  <c r="J171" i="3"/>
  <c r="L171" i="3"/>
  <c r="M171" i="3" s="1"/>
  <c r="O171" i="3"/>
  <c r="P171" i="3" s="1"/>
  <c r="Q171" i="3" s="1"/>
  <c r="T171" i="3"/>
  <c r="U171" i="3"/>
  <c r="V171" i="3"/>
  <c r="W171" i="3"/>
  <c r="X171" i="3"/>
  <c r="Y171" i="3"/>
  <c r="H172" i="3"/>
  <c r="I172" i="3"/>
  <c r="J172" i="3"/>
  <c r="L172" i="3"/>
  <c r="M172" i="3" s="1"/>
  <c r="O172" i="3"/>
  <c r="P172" i="3" s="1"/>
  <c r="Q172" i="3" s="1"/>
  <c r="T172" i="3"/>
  <c r="U172" i="3"/>
  <c r="V172" i="3"/>
  <c r="W172" i="3"/>
  <c r="X172" i="3"/>
  <c r="Y172" i="3"/>
  <c r="H173" i="3"/>
  <c r="I173" i="3"/>
  <c r="L173" i="3"/>
  <c r="M173" i="3"/>
  <c r="O173" i="3"/>
  <c r="P173" i="3"/>
  <c r="Q173" i="3" s="1"/>
  <c r="T173" i="3"/>
  <c r="U173" i="3"/>
  <c r="V173" i="3"/>
  <c r="W173" i="3"/>
  <c r="X173" i="3"/>
  <c r="Y173" i="3"/>
  <c r="H174" i="3"/>
  <c r="I174" i="3"/>
  <c r="J174" i="3"/>
  <c r="L174" i="3"/>
  <c r="M174" i="3"/>
  <c r="O174" i="3"/>
  <c r="P174" i="3"/>
  <c r="Q174" i="3"/>
  <c r="T174" i="3"/>
  <c r="U174" i="3"/>
  <c r="V174" i="3"/>
  <c r="W174" i="3"/>
  <c r="X174" i="3"/>
  <c r="Y174" i="3"/>
  <c r="H175" i="3"/>
  <c r="I175" i="3" s="1"/>
  <c r="J175" i="3"/>
  <c r="L175" i="3"/>
  <c r="M175" i="3"/>
  <c r="O175" i="3"/>
  <c r="P175" i="3"/>
  <c r="Q175" i="3" s="1"/>
  <c r="T175" i="3"/>
  <c r="U175" i="3"/>
  <c r="V175" i="3"/>
  <c r="W175" i="3"/>
  <c r="X175" i="3"/>
  <c r="Y175" i="3" s="1"/>
  <c r="H176" i="3"/>
  <c r="I176" i="3" s="1"/>
  <c r="L176" i="3"/>
  <c r="M176" i="3" s="1"/>
  <c r="O176" i="3"/>
  <c r="P176" i="3"/>
  <c r="Q176" i="3"/>
  <c r="T176" i="3"/>
  <c r="U176" i="3"/>
  <c r="V176" i="3"/>
  <c r="W176" i="3"/>
  <c r="X176" i="3" s="1"/>
  <c r="Y176" i="3"/>
  <c r="H177" i="3"/>
  <c r="I177" i="3"/>
  <c r="J177" i="3"/>
  <c r="L177" i="3"/>
  <c r="M177" i="3"/>
  <c r="O177" i="3"/>
  <c r="P177" i="3"/>
  <c r="Q177" i="3" s="1"/>
  <c r="T177" i="3"/>
  <c r="U177" i="3"/>
  <c r="V177" i="3"/>
  <c r="W177" i="3"/>
  <c r="X177" i="3" s="1"/>
  <c r="Y177" i="3"/>
  <c r="H178" i="3"/>
  <c r="I178" i="3"/>
  <c r="J178" i="3"/>
  <c r="L178" i="3"/>
  <c r="M178" i="3"/>
  <c r="O178" i="3"/>
  <c r="P178" i="3" s="1"/>
  <c r="Q178" i="3" s="1"/>
  <c r="T178" i="3"/>
  <c r="U178" i="3"/>
  <c r="V178" i="3"/>
  <c r="W178" i="3"/>
  <c r="X178" i="3" s="1"/>
  <c r="Y178" i="3" s="1"/>
  <c r="H179" i="3"/>
  <c r="I179" i="3"/>
  <c r="L179" i="3"/>
  <c r="M179" i="3"/>
  <c r="O179" i="3"/>
  <c r="P179" i="3"/>
  <c r="Q179" i="3" s="1"/>
  <c r="T179" i="3"/>
  <c r="U179" i="3" s="1"/>
  <c r="V179" i="3"/>
  <c r="W179" i="3"/>
  <c r="X179" i="3"/>
  <c r="Y179" i="3" s="1"/>
  <c r="H180" i="3"/>
  <c r="I180" i="3" s="1"/>
  <c r="J180" i="3"/>
  <c r="L180" i="3"/>
  <c r="M180" i="3"/>
  <c r="O180" i="3"/>
  <c r="P180" i="3"/>
  <c r="Q180" i="3" s="1"/>
  <c r="T180" i="3"/>
  <c r="U180" i="3"/>
  <c r="V180" i="3"/>
  <c r="W180" i="3"/>
  <c r="X180" i="3" s="1"/>
  <c r="Y180" i="3" s="1"/>
  <c r="H181" i="3"/>
  <c r="I181" i="3"/>
  <c r="J181" i="3"/>
  <c r="L181" i="3"/>
  <c r="M181" i="3"/>
  <c r="O181" i="3"/>
  <c r="P181" i="3"/>
  <c r="Q181" i="3"/>
  <c r="T181" i="3"/>
  <c r="U181" i="3"/>
  <c r="V181" i="3"/>
  <c r="W181" i="3"/>
  <c r="X181" i="3" s="1"/>
  <c r="Y181" i="3" s="1"/>
  <c r="H182" i="3"/>
  <c r="I182" i="3" s="1"/>
  <c r="L182" i="3"/>
  <c r="M182" i="3" s="1"/>
  <c r="O182" i="3"/>
  <c r="P182" i="3"/>
  <c r="Q182" i="3"/>
  <c r="T182" i="3"/>
  <c r="U182" i="3"/>
  <c r="V182" i="3"/>
  <c r="W182" i="3"/>
  <c r="X182" i="3"/>
  <c r="Y182" i="3" s="1"/>
  <c r="H183" i="3"/>
  <c r="I183" i="3"/>
  <c r="J183" i="3"/>
  <c r="L183" i="3"/>
  <c r="M183" i="3"/>
  <c r="O183" i="3"/>
  <c r="P183" i="3"/>
  <c r="Q183" i="3"/>
  <c r="T183" i="3"/>
  <c r="U183" i="3" s="1"/>
  <c r="V183" i="3"/>
  <c r="W183" i="3"/>
  <c r="X183" i="3" s="1"/>
  <c r="Y183" i="3"/>
  <c r="H184" i="3"/>
  <c r="I184" i="3"/>
  <c r="J184" i="3"/>
  <c r="L184" i="3"/>
  <c r="M184" i="3"/>
  <c r="O184" i="3"/>
  <c r="P184" i="3"/>
  <c r="Q184" i="3"/>
  <c r="T184" i="3"/>
  <c r="U184" i="3"/>
  <c r="V184" i="3"/>
  <c r="W184" i="3"/>
  <c r="X184" i="3" s="1"/>
  <c r="Y184" i="3"/>
  <c r="H185" i="3"/>
  <c r="I185" i="3" s="1"/>
  <c r="L185" i="3"/>
  <c r="M185" i="3"/>
  <c r="O185" i="3"/>
  <c r="P185" i="3"/>
  <c r="Q185" i="3"/>
  <c r="T185" i="3"/>
  <c r="U185" i="3" s="1"/>
  <c r="V185" i="3"/>
  <c r="W185" i="3"/>
  <c r="X185" i="3"/>
  <c r="Y185" i="3"/>
  <c r="H186" i="3"/>
  <c r="I186" i="3" s="1"/>
  <c r="J186" i="3"/>
  <c r="L186" i="3"/>
  <c r="M186" i="3"/>
  <c r="O186" i="3"/>
  <c r="P186" i="3"/>
  <c r="Q186" i="3" s="1"/>
  <c r="T186" i="3"/>
  <c r="U186" i="3" s="1"/>
  <c r="V186" i="3"/>
  <c r="W186" i="3"/>
  <c r="X186" i="3"/>
  <c r="Y186" i="3"/>
  <c r="H187" i="3"/>
  <c r="I187" i="3" s="1"/>
  <c r="J187" i="3"/>
  <c r="L187" i="3"/>
  <c r="M187" i="3"/>
  <c r="O187" i="3"/>
  <c r="P187" i="3"/>
  <c r="Q187" i="3" s="1"/>
  <c r="T187" i="3"/>
  <c r="U187" i="3"/>
  <c r="V187" i="3"/>
  <c r="W187" i="3"/>
  <c r="X187" i="3"/>
  <c r="Y187" i="3"/>
  <c r="H188" i="3"/>
  <c r="I188" i="3"/>
  <c r="L188" i="3"/>
  <c r="M188" i="3" s="1"/>
  <c r="O188" i="3"/>
  <c r="P188" i="3" s="1"/>
  <c r="Q188" i="3"/>
  <c r="T188" i="3"/>
  <c r="U188" i="3" s="1"/>
  <c r="V188" i="3"/>
  <c r="W188" i="3"/>
  <c r="X188" i="3"/>
  <c r="Y188" i="3"/>
  <c r="H189" i="3"/>
  <c r="I189" i="3" s="1"/>
  <c r="J189" i="3"/>
  <c r="L189" i="3"/>
  <c r="M189" i="3" s="1"/>
  <c r="O189" i="3"/>
  <c r="P189" i="3"/>
  <c r="Q189" i="3"/>
  <c r="T189" i="3"/>
  <c r="U189" i="3"/>
  <c r="V189" i="3"/>
  <c r="W189" i="3"/>
  <c r="X189" i="3"/>
  <c r="Y189" i="3"/>
  <c r="H190" i="3"/>
  <c r="I190" i="3"/>
  <c r="J190" i="3"/>
  <c r="L190" i="3"/>
  <c r="M190" i="3"/>
  <c r="O190" i="3"/>
  <c r="P190" i="3" s="1"/>
  <c r="Q190" i="3" s="1"/>
  <c r="T190" i="3"/>
  <c r="U190" i="3"/>
  <c r="V190" i="3"/>
  <c r="W190" i="3"/>
  <c r="X190" i="3" s="1"/>
  <c r="Y190" i="3" s="1"/>
  <c r="H191" i="3"/>
  <c r="I191" i="3"/>
  <c r="L191" i="3"/>
  <c r="M191" i="3"/>
  <c r="O191" i="3"/>
  <c r="P191" i="3" s="1"/>
  <c r="Q191" i="3" s="1"/>
  <c r="T191" i="3"/>
  <c r="U191" i="3"/>
  <c r="V191" i="3"/>
  <c r="W191" i="3"/>
  <c r="X191" i="3"/>
  <c r="Y191" i="3" s="1"/>
  <c r="H192" i="3"/>
  <c r="I192" i="3"/>
  <c r="J192" i="3"/>
  <c r="L192" i="3"/>
  <c r="M192" i="3"/>
  <c r="O192" i="3"/>
  <c r="P192" i="3"/>
  <c r="Q192" i="3" s="1"/>
  <c r="T192" i="3"/>
  <c r="U192" i="3" s="1"/>
  <c r="V192" i="3"/>
  <c r="W192" i="3"/>
  <c r="X192" i="3"/>
  <c r="Y192" i="3"/>
  <c r="H193" i="3"/>
  <c r="I193" i="3"/>
  <c r="J193" i="3"/>
  <c r="L193" i="3"/>
  <c r="M193" i="3" s="1"/>
  <c r="O193" i="3"/>
  <c r="P193" i="3" s="1"/>
  <c r="Q193" i="3" s="1"/>
  <c r="T193" i="3"/>
  <c r="U193" i="3" s="1"/>
  <c r="V193" i="3"/>
  <c r="W193" i="3"/>
  <c r="X193" i="3" s="1"/>
  <c r="Y193" i="3" s="1"/>
  <c r="H194" i="3"/>
  <c r="I194" i="3"/>
  <c r="L194" i="3"/>
  <c r="M194" i="3"/>
  <c r="O194" i="3"/>
  <c r="P194" i="3" s="1"/>
  <c r="Q194" i="3"/>
  <c r="T194" i="3"/>
  <c r="U194" i="3"/>
  <c r="V194" i="3"/>
  <c r="W194" i="3"/>
  <c r="X194" i="3" s="1"/>
  <c r="Y194" i="3" s="1"/>
  <c r="H195" i="3"/>
  <c r="I195" i="3"/>
  <c r="J195" i="3"/>
  <c r="L195" i="3"/>
  <c r="M195" i="3" s="1"/>
  <c r="O195" i="3"/>
  <c r="P195" i="3" s="1"/>
  <c r="Q195" i="3"/>
  <c r="T195" i="3"/>
  <c r="U195" i="3"/>
  <c r="V195" i="3"/>
  <c r="W195" i="3"/>
  <c r="X195" i="3" s="1"/>
  <c r="Y195" i="3" s="1"/>
  <c r="H196" i="3"/>
  <c r="I196" i="3"/>
  <c r="J196" i="3"/>
  <c r="L196" i="3"/>
  <c r="M196" i="3" s="1"/>
  <c r="O196" i="3"/>
  <c r="P196" i="3"/>
  <c r="Q196" i="3" s="1"/>
  <c r="T196" i="3"/>
  <c r="U196" i="3"/>
  <c r="V196" i="3"/>
  <c r="W196" i="3"/>
  <c r="X196" i="3"/>
  <c r="Y196" i="3"/>
  <c r="H197" i="3"/>
  <c r="I197" i="3"/>
  <c r="L197" i="3"/>
  <c r="M197" i="3"/>
  <c r="O197" i="3"/>
  <c r="P197" i="3" s="1"/>
  <c r="Q197" i="3" s="1"/>
  <c r="T197" i="3"/>
  <c r="U197" i="3"/>
  <c r="V197" i="3"/>
  <c r="W197" i="3"/>
  <c r="X197" i="3"/>
  <c r="Y197" i="3" s="1"/>
  <c r="H198" i="3"/>
  <c r="I198" i="3" s="1"/>
  <c r="J198" i="3"/>
  <c r="L198" i="3"/>
  <c r="M198" i="3" s="1"/>
  <c r="O198" i="3"/>
  <c r="P198" i="3" s="1"/>
  <c r="Q198" i="3" s="1"/>
  <c r="T198" i="3"/>
  <c r="U198" i="3"/>
  <c r="V198" i="3"/>
  <c r="W198" i="3"/>
  <c r="X198" i="3"/>
  <c r="Y198" i="3" s="1"/>
  <c r="H199" i="3"/>
  <c r="I199" i="3"/>
  <c r="J199" i="3"/>
  <c r="L199" i="3"/>
  <c r="M199" i="3"/>
  <c r="O199" i="3"/>
  <c r="P199" i="3"/>
  <c r="Q199" i="3"/>
  <c r="T199" i="3"/>
  <c r="U199" i="3" s="1"/>
  <c r="V199" i="3"/>
  <c r="W199" i="3"/>
  <c r="X199" i="3"/>
  <c r="Y199" i="3"/>
  <c r="H200" i="3"/>
  <c r="I200" i="3"/>
  <c r="L200" i="3"/>
  <c r="M200" i="3"/>
  <c r="O200" i="3"/>
  <c r="P200" i="3"/>
  <c r="Q200" i="3"/>
  <c r="T200" i="3"/>
  <c r="U200" i="3"/>
  <c r="V200" i="3"/>
  <c r="W200" i="3"/>
  <c r="X200" i="3"/>
  <c r="Y200" i="3"/>
  <c r="H201" i="3"/>
  <c r="I201" i="3" s="1"/>
  <c r="J201" i="3"/>
  <c r="L201" i="3"/>
  <c r="M201" i="3"/>
  <c r="O201" i="3"/>
  <c r="P201" i="3" s="1"/>
  <c r="Q201" i="3"/>
  <c r="T201" i="3"/>
  <c r="U201" i="3"/>
  <c r="V201" i="3"/>
  <c r="W201" i="3"/>
  <c r="X201" i="3"/>
  <c r="Y201" i="3"/>
  <c r="H202" i="3"/>
  <c r="I202" i="3"/>
  <c r="J202" i="3"/>
  <c r="L202" i="3"/>
  <c r="M202" i="3" s="1"/>
  <c r="O202" i="3"/>
  <c r="P202" i="3" s="1"/>
  <c r="Q202" i="3"/>
  <c r="T202" i="3"/>
  <c r="U202" i="3"/>
  <c r="V202" i="3"/>
  <c r="W202" i="3"/>
  <c r="X202" i="3"/>
  <c r="Y202" i="3"/>
  <c r="H203" i="3"/>
  <c r="I203" i="3"/>
  <c r="L203" i="3"/>
  <c r="M203" i="3"/>
  <c r="O203" i="3"/>
  <c r="P203" i="3"/>
  <c r="Q203" i="3" s="1"/>
  <c r="T203" i="3"/>
  <c r="U203" i="3"/>
  <c r="V203" i="3"/>
  <c r="W203" i="3"/>
  <c r="X203" i="3"/>
  <c r="Y203" i="3" s="1"/>
  <c r="H204" i="3"/>
  <c r="I204" i="3" s="1"/>
  <c r="J204" i="3"/>
  <c r="L204" i="3"/>
  <c r="M204" i="3"/>
  <c r="O204" i="3"/>
  <c r="P204" i="3" s="1"/>
  <c r="Q204" i="3" s="1"/>
  <c r="T204" i="3"/>
  <c r="U204" i="3"/>
  <c r="V204" i="3"/>
  <c r="W204" i="3"/>
  <c r="X204" i="3" s="1"/>
  <c r="Y204" i="3" s="1"/>
  <c r="H205" i="3"/>
  <c r="I205" i="3" s="1"/>
  <c r="J205" i="3"/>
  <c r="L205" i="3"/>
  <c r="M205" i="3"/>
  <c r="O205" i="3"/>
  <c r="P205" i="3" s="1"/>
  <c r="Q205" i="3" s="1"/>
  <c r="T205" i="3"/>
  <c r="U205" i="3"/>
  <c r="V205" i="3"/>
  <c r="W205" i="3"/>
  <c r="X205" i="3"/>
  <c r="Y205" i="3" s="1"/>
  <c r="H206" i="3"/>
  <c r="I206" i="3" s="1"/>
  <c r="L206" i="3"/>
  <c r="M206" i="3"/>
  <c r="O206" i="3"/>
  <c r="P206" i="3" s="1"/>
  <c r="Q206" i="3" s="1"/>
  <c r="T206" i="3"/>
  <c r="U206" i="3"/>
  <c r="V206" i="3"/>
  <c r="W206" i="3"/>
  <c r="X206" i="3" s="1"/>
  <c r="Y206" i="3" s="1"/>
  <c r="H207" i="3"/>
  <c r="I207" i="3" s="1"/>
  <c r="J207" i="3"/>
  <c r="L207" i="3"/>
  <c r="M207" i="3"/>
  <c r="O207" i="3"/>
  <c r="P207" i="3"/>
  <c r="Q207" i="3"/>
  <c r="T207" i="3"/>
  <c r="U207" i="3"/>
  <c r="V207" i="3"/>
  <c r="W207" i="3"/>
  <c r="X207" i="3"/>
  <c r="Y207" i="3" s="1"/>
  <c r="H208" i="3"/>
  <c r="I208" i="3"/>
  <c r="J208" i="3"/>
  <c r="L208" i="3"/>
  <c r="M208" i="3"/>
  <c r="O208" i="3"/>
  <c r="P208" i="3" s="1"/>
  <c r="Q208" i="3"/>
  <c r="T208" i="3"/>
  <c r="U208" i="3"/>
  <c r="V208" i="3"/>
  <c r="W208" i="3"/>
  <c r="X208" i="3" s="1"/>
  <c r="Y208" i="3" s="1"/>
  <c r="H209" i="3"/>
  <c r="I209" i="3"/>
  <c r="L209" i="3"/>
  <c r="M209" i="3"/>
  <c r="O209" i="3"/>
  <c r="P209" i="3"/>
  <c r="Q209" i="3" s="1"/>
  <c r="T209" i="3"/>
  <c r="U209" i="3"/>
  <c r="V209" i="3"/>
  <c r="W209" i="3"/>
  <c r="X209" i="3" s="1"/>
  <c r="Y209" i="3" s="1"/>
  <c r="H210" i="3"/>
  <c r="I210" i="3"/>
  <c r="J210" i="3"/>
  <c r="L210" i="3"/>
  <c r="M210" i="3"/>
  <c r="O210" i="3"/>
  <c r="P210" i="3"/>
  <c r="Q210" i="3"/>
  <c r="T210" i="3"/>
  <c r="U210" i="3"/>
  <c r="V210" i="3"/>
  <c r="W210" i="3"/>
  <c r="X210" i="3"/>
  <c r="Y210" i="3"/>
  <c r="H211" i="3"/>
  <c r="I211" i="3" s="1"/>
  <c r="J211" i="3"/>
  <c r="L211" i="3"/>
  <c r="M211" i="3"/>
  <c r="O211" i="3"/>
  <c r="P211" i="3"/>
  <c r="Q211" i="3" s="1"/>
  <c r="T211" i="3"/>
  <c r="U211" i="3" s="1"/>
  <c r="V211" i="3"/>
  <c r="W211" i="3"/>
  <c r="X211" i="3"/>
  <c r="Y211" i="3" s="1"/>
  <c r="H212" i="3"/>
  <c r="I212" i="3" s="1"/>
  <c r="L212" i="3"/>
  <c r="M212" i="3"/>
  <c r="O212" i="3"/>
  <c r="P212" i="3"/>
  <c r="Q212" i="3"/>
  <c r="T212" i="3"/>
  <c r="U212" i="3"/>
  <c r="V212" i="3"/>
  <c r="W212" i="3"/>
  <c r="X212" i="3" s="1"/>
  <c r="Y212" i="3"/>
  <c r="H213" i="3"/>
  <c r="I213" i="3"/>
  <c r="J213" i="3"/>
  <c r="L213" i="3"/>
  <c r="M213" i="3"/>
  <c r="O213" i="3"/>
  <c r="P213" i="3"/>
  <c r="Q213" i="3" s="1"/>
  <c r="T213" i="3"/>
  <c r="U213" i="3" s="1"/>
  <c r="V213" i="3"/>
  <c r="W213" i="3"/>
  <c r="X213" i="3" s="1"/>
  <c r="Y213" i="3"/>
  <c r="H214" i="3"/>
  <c r="I214" i="3"/>
  <c r="J214" i="3"/>
  <c r="L214" i="3"/>
  <c r="M214" i="3"/>
  <c r="O214" i="3"/>
  <c r="P214" i="3" s="1"/>
  <c r="Q214" i="3" s="1"/>
  <c r="T214" i="3"/>
  <c r="U214" i="3"/>
  <c r="V214" i="3"/>
  <c r="W214" i="3"/>
  <c r="X214" i="3" s="1"/>
  <c r="Y214" i="3" s="1"/>
  <c r="H215" i="3"/>
  <c r="I215" i="3"/>
  <c r="L215" i="3"/>
  <c r="M215" i="3"/>
  <c r="O215" i="3"/>
  <c r="P215" i="3"/>
  <c r="Q215" i="3" s="1"/>
  <c r="T215" i="3"/>
  <c r="U215" i="3" s="1"/>
  <c r="V215" i="3"/>
  <c r="W215" i="3"/>
  <c r="X215" i="3"/>
  <c r="Y215" i="3" s="1"/>
  <c r="H216" i="3"/>
  <c r="I216" i="3"/>
  <c r="J216" i="3"/>
  <c r="L216" i="3"/>
  <c r="M216" i="3"/>
  <c r="O216" i="3"/>
  <c r="P216" i="3"/>
  <c r="Q216" i="3" s="1"/>
  <c r="T216" i="3"/>
  <c r="U216" i="3"/>
  <c r="V216" i="3"/>
  <c r="W216" i="3"/>
  <c r="X216" i="3" s="1"/>
  <c r="Y216" i="3" s="1"/>
  <c r="H217" i="3"/>
  <c r="I217" i="3"/>
  <c r="J217" i="3"/>
  <c r="L217" i="3"/>
  <c r="M217" i="3"/>
  <c r="O217" i="3"/>
  <c r="P217" i="3"/>
  <c r="Q217" i="3"/>
  <c r="T217" i="3"/>
  <c r="U217" i="3"/>
  <c r="V217" i="3"/>
  <c r="W217" i="3"/>
  <c r="X217" i="3"/>
  <c r="Y217" i="3"/>
  <c r="H218" i="3"/>
  <c r="I218" i="3" s="1"/>
  <c r="L218" i="3"/>
  <c r="M218" i="3" s="1"/>
  <c r="O218" i="3"/>
  <c r="P218" i="3"/>
  <c r="Q218" i="3" s="1"/>
  <c r="T218" i="3"/>
  <c r="U218" i="3"/>
  <c r="V218" i="3"/>
  <c r="W218" i="3"/>
  <c r="X218" i="3"/>
  <c r="Y218" i="3"/>
  <c r="H219" i="3"/>
  <c r="I219" i="3"/>
  <c r="J219" i="3"/>
  <c r="L219" i="3"/>
  <c r="M219" i="3"/>
  <c r="O219" i="3"/>
  <c r="P219" i="3"/>
  <c r="Q219" i="3"/>
  <c r="T219" i="3"/>
  <c r="U219" i="3" s="1"/>
  <c r="V219" i="3"/>
  <c r="W219" i="3"/>
  <c r="X219" i="3" s="1"/>
  <c r="Y219" i="3"/>
  <c r="H220" i="3"/>
  <c r="I220" i="3"/>
  <c r="J220" i="3"/>
  <c r="L220" i="3"/>
  <c r="M220" i="3" s="1"/>
  <c r="O220" i="3"/>
  <c r="P220" i="3"/>
  <c r="Q220" i="3"/>
  <c r="T220" i="3"/>
  <c r="U220" i="3"/>
  <c r="V220" i="3"/>
  <c r="W220" i="3"/>
  <c r="X220" i="3" s="1"/>
  <c r="Y220" i="3"/>
  <c r="H221" i="3"/>
  <c r="I221" i="3" s="1"/>
  <c r="L221" i="3"/>
  <c r="M221" i="3" s="1"/>
  <c r="O221" i="3"/>
  <c r="P221" i="3"/>
  <c r="Q221" i="3"/>
  <c r="T221" i="3"/>
  <c r="U221" i="3" s="1"/>
  <c r="V221" i="3"/>
  <c r="W221" i="3"/>
  <c r="X221" i="3"/>
  <c r="Y221" i="3"/>
  <c r="H222" i="3"/>
  <c r="I222" i="3" s="1"/>
  <c r="J222" i="3"/>
  <c r="L222" i="3"/>
  <c r="M222" i="3"/>
  <c r="O222" i="3"/>
  <c r="P222" i="3"/>
  <c r="Q222" i="3" s="1"/>
  <c r="T222" i="3"/>
  <c r="U222" i="3" s="1"/>
  <c r="V222" i="3"/>
  <c r="W222" i="3"/>
  <c r="X222" i="3"/>
  <c r="Y222" i="3"/>
  <c r="H223" i="3"/>
  <c r="I223" i="3" s="1"/>
  <c r="J223" i="3"/>
  <c r="L223" i="3"/>
  <c r="M223" i="3"/>
  <c r="O223" i="3"/>
  <c r="P223" i="3"/>
  <c r="Q223" i="3" s="1"/>
  <c r="T223" i="3"/>
  <c r="U223" i="3"/>
  <c r="V223" i="3"/>
  <c r="W223" i="3"/>
  <c r="X223" i="3"/>
  <c r="Y223" i="3"/>
  <c r="H224" i="3"/>
  <c r="I224" i="3"/>
  <c r="L224" i="3"/>
  <c r="M224" i="3" s="1"/>
  <c r="O224" i="3"/>
  <c r="P224" i="3" s="1"/>
  <c r="Q224" i="3"/>
  <c r="T224" i="3"/>
  <c r="U224" i="3" s="1"/>
  <c r="V224" i="3"/>
  <c r="W224" i="3"/>
  <c r="X224" i="3"/>
  <c r="Y224" i="3"/>
  <c r="H225" i="3"/>
  <c r="I225" i="3" s="1"/>
  <c r="J225" i="3"/>
  <c r="L225" i="3"/>
  <c r="M225" i="3"/>
  <c r="O225" i="3"/>
  <c r="P225" i="3"/>
  <c r="Q225" i="3" s="1"/>
  <c r="T225" i="3"/>
  <c r="U225" i="3"/>
  <c r="V225" i="3"/>
  <c r="W225" i="3"/>
  <c r="X225" i="3"/>
  <c r="Y225" i="3" s="1"/>
  <c r="H226" i="3"/>
  <c r="I226" i="3"/>
  <c r="J226" i="3"/>
  <c r="L226" i="3"/>
  <c r="M226" i="3"/>
  <c r="O226" i="3"/>
  <c r="P226" i="3"/>
  <c r="Q226" i="3"/>
  <c r="T226" i="3"/>
  <c r="U226" i="3"/>
  <c r="V226" i="3"/>
  <c r="W226" i="3"/>
  <c r="X226" i="3" s="1"/>
  <c r="Y226" i="3"/>
  <c r="P14" i="3" l="1"/>
  <c r="Q14" i="3" s="1"/>
  <c r="O15" i="3"/>
  <c r="P15" i="3" s="1"/>
  <c r="Q15" i="3" s="1"/>
  <c r="W15" i="3"/>
  <c r="X15" i="3" s="1"/>
  <c r="Y15" i="3" s="1"/>
  <c r="X12" i="3"/>
  <c r="Y12" i="3" s="1"/>
  <c r="H12" i="3"/>
  <c r="I12" i="3" s="1"/>
  <c r="G13" i="2" l="1"/>
  <c r="H13" i="2"/>
  <c r="K13" i="2"/>
  <c r="L13" i="2"/>
  <c r="M13" i="2"/>
  <c r="N13" i="2"/>
  <c r="O13" i="2" s="1"/>
  <c r="P13" i="2" s="1"/>
  <c r="S13" i="2"/>
  <c r="T13" i="2"/>
  <c r="U13" i="2"/>
  <c r="V13" i="2"/>
  <c r="W13" i="2"/>
  <c r="X13" i="2"/>
  <c r="G14" i="2"/>
  <c r="H14" i="2"/>
  <c r="K14" i="2"/>
  <c r="L14" i="2"/>
  <c r="M14" i="2"/>
  <c r="N14" i="2"/>
  <c r="O14" i="2"/>
  <c r="P14" i="2"/>
  <c r="S14" i="2"/>
  <c r="T14" i="2"/>
  <c r="U14" i="2"/>
  <c r="V14" i="2"/>
  <c r="W14" i="2" s="1"/>
  <c r="X14" i="2" s="1"/>
  <c r="G15" i="2"/>
  <c r="H15" i="2"/>
  <c r="K15" i="2"/>
  <c r="L15" i="2"/>
  <c r="M15" i="2"/>
  <c r="N15" i="2"/>
  <c r="O15" i="2"/>
  <c r="P15" i="2"/>
  <c r="S15" i="2"/>
  <c r="T15" i="2"/>
  <c r="U15" i="2"/>
  <c r="V15" i="2"/>
  <c r="W15" i="2"/>
  <c r="X15" i="2"/>
  <c r="G16" i="2"/>
  <c r="H16" i="2"/>
  <c r="K16" i="2"/>
  <c r="L16" i="2"/>
  <c r="M16" i="2"/>
  <c r="N16" i="2"/>
  <c r="O16" i="2"/>
  <c r="P16" i="2"/>
  <c r="S16" i="2"/>
  <c r="T16" i="2"/>
  <c r="U16" i="2"/>
  <c r="V16" i="2"/>
  <c r="W16" i="2" s="1"/>
  <c r="X16" i="2" s="1"/>
  <c r="G17" i="2"/>
  <c r="H17" i="2"/>
  <c r="K17" i="2"/>
  <c r="L17" i="2"/>
  <c r="M17" i="2"/>
  <c r="N17" i="2"/>
  <c r="O17" i="2"/>
  <c r="P17" i="2"/>
  <c r="S17" i="2"/>
  <c r="T17" i="2"/>
  <c r="U17" i="2"/>
  <c r="V17" i="2"/>
  <c r="W17" i="2"/>
  <c r="X17" i="2"/>
  <c r="G18" i="2"/>
  <c r="H18" i="2"/>
  <c r="K18" i="2"/>
  <c r="L18" i="2"/>
  <c r="M18" i="2"/>
  <c r="N18" i="2"/>
  <c r="O18" i="2" s="1"/>
  <c r="P18" i="2" s="1"/>
  <c r="S18" i="2"/>
  <c r="T18" i="2"/>
  <c r="U18" i="2"/>
  <c r="V18" i="2"/>
  <c r="W18" i="2"/>
  <c r="X18" i="2"/>
  <c r="G19" i="2"/>
  <c r="H19" i="2"/>
  <c r="K19" i="2"/>
  <c r="L19" i="2"/>
  <c r="M19" i="2"/>
  <c r="N19" i="2"/>
  <c r="O19" i="2" s="1"/>
  <c r="P19" i="2" s="1"/>
  <c r="S19" i="2"/>
  <c r="T19" i="2"/>
  <c r="U19" i="2"/>
  <c r="V19" i="2"/>
  <c r="W19" i="2"/>
  <c r="X19" i="2"/>
  <c r="G20" i="2"/>
  <c r="H20" i="2"/>
  <c r="K20" i="2"/>
  <c r="L20" i="2"/>
  <c r="M20" i="2"/>
  <c r="N20" i="2"/>
  <c r="O20" i="2"/>
  <c r="P20" i="2"/>
  <c r="S20" i="2"/>
  <c r="T20" i="2"/>
  <c r="U20" i="2"/>
  <c r="V20" i="2"/>
  <c r="W20" i="2"/>
  <c r="X20" i="2"/>
  <c r="G21" i="2"/>
  <c r="H21" i="2"/>
  <c r="K21" i="2"/>
  <c r="L21" i="2"/>
  <c r="M21" i="2"/>
  <c r="N21" i="2"/>
  <c r="O21" i="2"/>
  <c r="P21" i="2"/>
  <c r="S21" i="2"/>
  <c r="T21" i="2"/>
  <c r="U21" i="2"/>
  <c r="V21" i="2"/>
  <c r="W21" i="2"/>
  <c r="X21" i="2"/>
  <c r="G22" i="2"/>
  <c r="H22" i="2"/>
  <c r="K22" i="2"/>
  <c r="L22" i="2"/>
  <c r="M22" i="2"/>
  <c r="N22" i="2"/>
  <c r="O22" i="2"/>
  <c r="P22" i="2"/>
  <c r="S22" i="2"/>
  <c r="T22" i="2"/>
  <c r="U22" i="2"/>
  <c r="V22" i="2"/>
  <c r="W22" i="2" s="1"/>
  <c r="X22" i="2" s="1"/>
  <c r="G23" i="2"/>
  <c r="H23" i="2"/>
  <c r="K23" i="2"/>
  <c r="L23" i="2"/>
  <c r="M23" i="2"/>
  <c r="N23" i="2"/>
  <c r="O23" i="2"/>
  <c r="P23" i="2"/>
  <c r="S23" i="2"/>
  <c r="T23" i="2"/>
  <c r="U23" i="2"/>
  <c r="V23" i="2"/>
  <c r="W23" i="2"/>
  <c r="X23" i="2"/>
  <c r="G24" i="2"/>
  <c r="H24" i="2"/>
  <c r="K24" i="2"/>
  <c r="L24" i="2"/>
  <c r="M24" i="2"/>
  <c r="N24" i="2"/>
  <c r="O24" i="2"/>
  <c r="P24" i="2"/>
  <c r="S24" i="2"/>
  <c r="T24" i="2"/>
  <c r="U24" i="2"/>
  <c r="V24" i="2"/>
  <c r="W24" i="2"/>
  <c r="X24" i="2"/>
  <c r="G25" i="2"/>
  <c r="H25" i="2"/>
  <c r="K25" i="2"/>
  <c r="L25" i="2"/>
  <c r="M25" i="2"/>
  <c r="N25" i="2"/>
  <c r="O25" i="2" s="1"/>
  <c r="P25" i="2" s="1"/>
  <c r="S25" i="2"/>
  <c r="T25" i="2"/>
  <c r="U25" i="2"/>
  <c r="V25" i="2"/>
  <c r="W25" i="2"/>
  <c r="X25" i="2"/>
  <c r="G26" i="2"/>
  <c r="H26" i="2"/>
  <c r="K26" i="2"/>
  <c r="L26" i="2"/>
  <c r="M26" i="2"/>
  <c r="N26" i="2"/>
  <c r="O26" i="2"/>
  <c r="P26" i="2"/>
  <c r="S26" i="2"/>
  <c r="T26" i="2"/>
  <c r="U26" i="2"/>
  <c r="V26" i="2"/>
  <c r="W26" i="2"/>
  <c r="X26" i="2"/>
  <c r="G27" i="2"/>
  <c r="H27" i="2"/>
  <c r="K27" i="2"/>
  <c r="L27" i="2"/>
  <c r="M27" i="2"/>
  <c r="N27" i="2"/>
  <c r="O27" i="2" s="1"/>
  <c r="P27" i="2" s="1"/>
  <c r="S27" i="2"/>
  <c r="T27" i="2"/>
  <c r="U27" i="2"/>
  <c r="V27" i="2"/>
  <c r="W27" i="2"/>
  <c r="X27" i="2"/>
  <c r="G28" i="2"/>
  <c r="H28" i="2"/>
  <c r="K28" i="2"/>
  <c r="L28" i="2"/>
  <c r="M28" i="2"/>
  <c r="N28" i="2"/>
  <c r="O28" i="2"/>
  <c r="P28" i="2"/>
  <c r="S28" i="2"/>
  <c r="T28" i="2"/>
  <c r="U28" i="2"/>
  <c r="V28" i="2"/>
  <c r="W28" i="2" s="1"/>
  <c r="X28" i="2" s="1"/>
  <c r="G29" i="2"/>
  <c r="H29" i="2"/>
  <c r="K29" i="2"/>
  <c r="L29" i="2"/>
  <c r="M29" i="2"/>
  <c r="N29" i="2"/>
  <c r="O29" i="2"/>
  <c r="P29" i="2"/>
  <c r="S29" i="2"/>
  <c r="T29" i="2"/>
  <c r="U29" i="2"/>
  <c r="V29" i="2"/>
  <c r="W29" i="2"/>
  <c r="X29" i="2"/>
  <c r="G30" i="2"/>
  <c r="H30" i="2"/>
  <c r="K30" i="2"/>
  <c r="L30" i="2"/>
  <c r="M30" i="2"/>
  <c r="N30" i="2"/>
  <c r="O30" i="2"/>
  <c r="P30" i="2"/>
  <c r="S30" i="2"/>
  <c r="T30" i="2"/>
  <c r="U30" i="2"/>
  <c r="V30" i="2"/>
  <c r="W30" i="2"/>
  <c r="X30" i="2"/>
  <c r="G31" i="2"/>
  <c r="H31" i="2"/>
  <c r="K31" i="2"/>
  <c r="L31" i="2"/>
  <c r="M31" i="2"/>
  <c r="N31" i="2"/>
  <c r="O31" i="2" s="1"/>
  <c r="P31" i="2" s="1"/>
  <c r="S31" i="2"/>
  <c r="T31" i="2"/>
  <c r="U31" i="2"/>
  <c r="V31" i="2"/>
  <c r="W31" i="2"/>
  <c r="X31" i="2"/>
  <c r="G32" i="2"/>
  <c r="H32" i="2"/>
  <c r="K32" i="2"/>
  <c r="L32" i="2"/>
  <c r="M32" i="2"/>
  <c r="N32" i="2"/>
  <c r="O32" i="2"/>
  <c r="P32" i="2"/>
  <c r="S32" i="2"/>
  <c r="T32" i="2"/>
  <c r="U32" i="2"/>
  <c r="V32" i="2"/>
  <c r="W32" i="2" s="1"/>
  <c r="X32" i="2" s="1"/>
  <c r="G33" i="2"/>
  <c r="H33" i="2"/>
  <c r="K33" i="2"/>
  <c r="L33" i="2"/>
  <c r="M33" i="2"/>
  <c r="N33" i="2"/>
  <c r="O33" i="2"/>
  <c r="P33" i="2"/>
  <c r="S33" i="2"/>
  <c r="T33" i="2"/>
  <c r="U33" i="2"/>
  <c r="V33" i="2"/>
  <c r="W33" i="2"/>
  <c r="X33" i="2"/>
  <c r="G34" i="2"/>
  <c r="H34" i="2"/>
  <c r="K34" i="2"/>
  <c r="L34" i="2"/>
  <c r="M34" i="2"/>
  <c r="N34" i="2"/>
  <c r="O34" i="2"/>
  <c r="P34" i="2"/>
  <c r="S34" i="2"/>
  <c r="T34" i="2"/>
  <c r="U34" i="2"/>
  <c r="V34" i="2"/>
  <c r="W34" i="2" s="1"/>
  <c r="X34" i="2" s="1"/>
  <c r="G35" i="2"/>
  <c r="H35" i="2"/>
  <c r="K35" i="2"/>
  <c r="L35" i="2"/>
  <c r="M35" i="2"/>
  <c r="N35" i="2"/>
  <c r="O35" i="2"/>
  <c r="P35" i="2"/>
  <c r="S35" i="2"/>
  <c r="T35" i="2"/>
  <c r="U35" i="2"/>
  <c r="V35" i="2"/>
  <c r="W35" i="2"/>
  <c r="X35" i="2"/>
  <c r="G36" i="2"/>
  <c r="H36" i="2"/>
  <c r="K36" i="2"/>
  <c r="L36" i="2"/>
  <c r="M36" i="2"/>
  <c r="N36" i="2"/>
  <c r="O36" i="2" s="1"/>
  <c r="P36" i="2" s="1"/>
  <c r="S36" i="2"/>
  <c r="T36" i="2"/>
  <c r="U36" i="2"/>
  <c r="V36" i="2"/>
  <c r="W36" i="2"/>
  <c r="X36" i="2"/>
  <c r="G37" i="2"/>
  <c r="H37" i="2"/>
  <c r="K37" i="2"/>
  <c r="L37" i="2"/>
  <c r="M37" i="2"/>
  <c r="N37" i="2"/>
  <c r="O37" i="2" s="1"/>
  <c r="P37" i="2" s="1"/>
  <c r="S37" i="2"/>
  <c r="T37" i="2"/>
  <c r="U37" i="2"/>
  <c r="V37" i="2"/>
  <c r="W37" i="2"/>
  <c r="X37" i="2"/>
  <c r="G38" i="2"/>
  <c r="H38" i="2"/>
  <c r="K38" i="2"/>
  <c r="L38" i="2"/>
  <c r="M38" i="2"/>
  <c r="N38" i="2"/>
  <c r="O38" i="2"/>
  <c r="P38" i="2"/>
  <c r="S38" i="2"/>
  <c r="T38" i="2"/>
  <c r="U38" i="2"/>
  <c r="V38" i="2"/>
  <c r="W38" i="2"/>
  <c r="X38" i="2"/>
  <c r="G39" i="2"/>
  <c r="H39" i="2"/>
  <c r="K39" i="2"/>
  <c r="L39" i="2"/>
  <c r="M39" i="2"/>
  <c r="N39" i="2"/>
  <c r="O39" i="2"/>
  <c r="P39" i="2"/>
  <c r="S39" i="2"/>
  <c r="T39" i="2"/>
  <c r="U39" i="2"/>
  <c r="V39" i="2"/>
  <c r="W39" i="2"/>
  <c r="X39" i="2"/>
  <c r="G40" i="2"/>
  <c r="H40" i="2"/>
  <c r="K40" i="2"/>
  <c r="L40" i="2"/>
  <c r="M40" i="2"/>
  <c r="N40" i="2"/>
  <c r="O40" i="2"/>
  <c r="P40" i="2"/>
  <c r="S40" i="2"/>
  <c r="T40" i="2"/>
  <c r="U40" i="2"/>
  <c r="V40" i="2"/>
  <c r="W40" i="2" s="1"/>
  <c r="X40" i="2" s="1"/>
  <c r="G41" i="2"/>
  <c r="H41" i="2"/>
  <c r="K41" i="2"/>
  <c r="L41" i="2"/>
  <c r="M41" i="2"/>
  <c r="N41" i="2"/>
  <c r="O41" i="2"/>
  <c r="P41" i="2"/>
  <c r="S41" i="2"/>
  <c r="T41" i="2"/>
  <c r="U41" i="2"/>
  <c r="V41" i="2"/>
  <c r="W41" i="2"/>
  <c r="X41" i="2"/>
  <c r="G42" i="2"/>
  <c r="H42" i="2"/>
  <c r="K42" i="2"/>
  <c r="L42" i="2"/>
  <c r="M42" i="2"/>
  <c r="N42" i="2"/>
  <c r="O42" i="2"/>
  <c r="P42" i="2"/>
  <c r="S42" i="2"/>
  <c r="T42" i="2"/>
  <c r="U42" i="2"/>
  <c r="V42" i="2"/>
  <c r="W42" i="2"/>
  <c r="X42" i="2"/>
  <c r="G43" i="2"/>
  <c r="H43" i="2"/>
  <c r="K43" i="2"/>
  <c r="L43" i="2"/>
  <c r="M43" i="2"/>
  <c r="N43" i="2"/>
  <c r="O43" i="2" s="1"/>
  <c r="P43" i="2" s="1"/>
  <c r="S43" i="2"/>
  <c r="T43" i="2"/>
  <c r="U43" i="2"/>
  <c r="V43" i="2"/>
  <c r="W43" i="2"/>
  <c r="X43" i="2"/>
  <c r="G44" i="2"/>
  <c r="H44" i="2"/>
  <c r="K44" i="2"/>
  <c r="L44" i="2"/>
  <c r="M44" i="2"/>
  <c r="N44" i="2"/>
  <c r="O44" i="2"/>
  <c r="P44" i="2"/>
  <c r="S44" i="2"/>
  <c r="T44" i="2"/>
  <c r="U44" i="2"/>
  <c r="V44" i="2"/>
  <c r="W44" i="2"/>
  <c r="X44" i="2"/>
  <c r="G45" i="2"/>
  <c r="H45" i="2"/>
  <c r="K45" i="2"/>
  <c r="L45" i="2"/>
  <c r="M45" i="2"/>
  <c r="N45" i="2"/>
  <c r="O45" i="2" s="1"/>
  <c r="P45" i="2" s="1"/>
  <c r="S45" i="2"/>
  <c r="T45" i="2"/>
  <c r="U45" i="2"/>
  <c r="V45" i="2"/>
  <c r="W45" i="2"/>
  <c r="X45" i="2"/>
  <c r="G46" i="2"/>
  <c r="H46" i="2"/>
  <c r="K46" i="2"/>
  <c r="L46" i="2"/>
  <c r="M46" i="2"/>
  <c r="N46" i="2"/>
  <c r="O46" i="2"/>
  <c r="P46" i="2"/>
  <c r="S46" i="2"/>
  <c r="T46" i="2"/>
  <c r="U46" i="2"/>
  <c r="V46" i="2"/>
  <c r="W46" i="2" s="1"/>
  <c r="X46" i="2" s="1"/>
  <c r="G47" i="2"/>
  <c r="H47" i="2"/>
  <c r="K47" i="2"/>
  <c r="L47" i="2"/>
  <c r="M47" i="2"/>
  <c r="N47" i="2"/>
  <c r="O47" i="2"/>
  <c r="P47" i="2"/>
  <c r="S47" i="2"/>
  <c r="T47" i="2"/>
  <c r="U47" i="2"/>
  <c r="V47" i="2"/>
  <c r="W47" i="2"/>
  <c r="X47" i="2"/>
  <c r="G48" i="2"/>
  <c r="H48" i="2"/>
  <c r="K48" i="2"/>
  <c r="L48" i="2"/>
  <c r="M48" i="2"/>
  <c r="N48" i="2"/>
  <c r="O48" i="2"/>
  <c r="P48" i="2"/>
  <c r="S48" i="2"/>
  <c r="T48" i="2"/>
  <c r="U48" i="2"/>
  <c r="V48" i="2"/>
  <c r="W48" i="2"/>
  <c r="X48" i="2"/>
  <c r="G49" i="2"/>
  <c r="H49" i="2"/>
  <c r="K49" i="2"/>
  <c r="L49" i="2"/>
  <c r="M49" i="2"/>
  <c r="N49" i="2"/>
  <c r="O49" i="2" s="1"/>
  <c r="P49" i="2" s="1"/>
  <c r="S49" i="2"/>
  <c r="T49" i="2"/>
  <c r="U49" i="2"/>
  <c r="V49" i="2"/>
  <c r="W49" i="2"/>
  <c r="X49" i="2"/>
  <c r="G50" i="2"/>
  <c r="H50" i="2"/>
  <c r="K50" i="2"/>
  <c r="L50" i="2"/>
  <c r="M50" i="2"/>
  <c r="N50" i="2"/>
  <c r="O50" i="2"/>
  <c r="P50" i="2"/>
  <c r="S50" i="2"/>
  <c r="T50" i="2"/>
  <c r="U50" i="2"/>
  <c r="V50" i="2"/>
  <c r="W50" i="2" s="1"/>
  <c r="X50" i="2" s="1"/>
  <c r="G51" i="2"/>
  <c r="H51" i="2"/>
  <c r="K51" i="2"/>
  <c r="L51" i="2"/>
  <c r="M51" i="2"/>
  <c r="N51" i="2"/>
  <c r="O51" i="2"/>
  <c r="P51" i="2"/>
  <c r="S51" i="2"/>
  <c r="T51" i="2"/>
  <c r="U51" i="2"/>
  <c r="V51" i="2"/>
  <c r="W51" i="2"/>
  <c r="X51" i="2"/>
  <c r="G52" i="2"/>
  <c r="H52" i="2"/>
  <c r="K52" i="2"/>
  <c r="L52" i="2"/>
  <c r="M52" i="2"/>
  <c r="N52" i="2"/>
  <c r="O52" i="2"/>
  <c r="P52" i="2"/>
  <c r="S52" i="2"/>
  <c r="T52" i="2"/>
  <c r="U52" i="2"/>
  <c r="V52" i="2"/>
  <c r="W52" i="2" s="1"/>
  <c r="X52" i="2" s="1"/>
  <c r="G53" i="2"/>
  <c r="H53" i="2"/>
  <c r="K53" i="2"/>
  <c r="L53" i="2"/>
  <c r="M53" i="2"/>
  <c r="N53" i="2"/>
  <c r="O53" i="2"/>
  <c r="P53" i="2"/>
  <c r="S53" i="2"/>
  <c r="T53" i="2"/>
  <c r="U53" i="2"/>
  <c r="V53" i="2"/>
  <c r="W53" i="2"/>
  <c r="X53" i="2"/>
  <c r="G54" i="2"/>
  <c r="H54" i="2"/>
  <c r="K54" i="2"/>
  <c r="L54" i="2"/>
  <c r="M54" i="2"/>
  <c r="N54" i="2"/>
  <c r="O54" i="2" s="1"/>
  <c r="P54" i="2" s="1"/>
  <c r="S54" i="2"/>
  <c r="T54" i="2"/>
  <c r="U54" i="2"/>
  <c r="V54" i="2"/>
  <c r="W54" i="2"/>
  <c r="X54" i="2"/>
  <c r="G55" i="2"/>
  <c r="H55" i="2"/>
  <c r="K55" i="2"/>
  <c r="L55" i="2"/>
  <c r="M55" i="2"/>
  <c r="N55" i="2"/>
  <c r="O55" i="2" s="1"/>
  <c r="P55" i="2" s="1"/>
  <c r="S55" i="2"/>
  <c r="T55" i="2"/>
  <c r="U55" i="2"/>
  <c r="V55" i="2"/>
  <c r="W55" i="2"/>
  <c r="X55" i="2"/>
  <c r="G56" i="2"/>
  <c r="H56" i="2"/>
  <c r="K56" i="2"/>
  <c r="L56" i="2"/>
  <c r="M56" i="2"/>
  <c r="N56" i="2"/>
  <c r="O56" i="2"/>
  <c r="P56" i="2"/>
  <c r="S56" i="2"/>
  <c r="T56" i="2"/>
  <c r="U56" i="2"/>
  <c r="V56" i="2"/>
  <c r="W56" i="2"/>
  <c r="X56" i="2"/>
  <c r="G57" i="2"/>
  <c r="H57" i="2"/>
  <c r="K57" i="2"/>
  <c r="L57" i="2"/>
  <c r="M57" i="2"/>
  <c r="N57" i="2"/>
  <c r="O57" i="2"/>
  <c r="P57" i="2"/>
  <c r="S57" i="2"/>
  <c r="T57" i="2"/>
  <c r="U57" i="2"/>
  <c r="V57" i="2"/>
  <c r="W57" i="2"/>
  <c r="X57" i="2"/>
  <c r="G58" i="2"/>
  <c r="H58" i="2"/>
  <c r="K58" i="2"/>
  <c r="L58" i="2"/>
  <c r="M58" i="2"/>
  <c r="N58" i="2"/>
  <c r="O58" i="2"/>
  <c r="P58" i="2"/>
  <c r="S58" i="2"/>
  <c r="T58" i="2"/>
  <c r="U58" i="2"/>
  <c r="V58" i="2"/>
  <c r="W58" i="2" s="1"/>
  <c r="X58" i="2" s="1"/>
  <c r="G59" i="2"/>
  <c r="H59" i="2"/>
  <c r="K59" i="2"/>
  <c r="L59" i="2"/>
  <c r="M59" i="2"/>
  <c r="N59" i="2"/>
  <c r="O59" i="2"/>
  <c r="P59" i="2"/>
  <c r="S59" i="2"/>
  <c r="T59" i="2"/>
  <c r="U59" i="2"/>
  <c r="V59" i="2"/>
  <c r="W59" i="2"/>
  <c r="X59" i="2"/>
  <c r="G60" i="2"/>
  <c r="H60" i="2"/>
  <c r="K60" i="2"/>
  <c r="L60" i="2"/>
  <c r="M60" i="2"/>
  <c r="N60" i="2"/>
  <c r="O60" i="2"/>
  <c r="P60" i="2"/>
  <c r="S60" i="2"/>
  <c r="T60" i="2"/>
  <c r="U60" i="2"/>
  <c r="V60" i="2"/>
  <c r="W60" i="2"/>
  <c r="X60" i="2"/>
  <c r="G61" i="2"/>
  <c r="H61" i="2"/>
  <c r="K61" i="2"/>
  <c r="L61" i="2"/>
  <c r="M61" i="2"/>
  <c r="N61" i="2"/>
  <c r="O61" i="2" s="1"/>
  <c r="P61" i="2" s="1"/>
  <c r="S61" i="2"/>
  <c r="T61" i="2"/>
  <c r="U61" i="2"/>
  <c r="V61" i="2"/>
  <c r="W61" i="2"/>
  <c r="X61" i="2"/>
  <c r="G62" i="2"/>
  <c r="H62" i="2"/>
  <c r="K62" i="2"/>
  <c r="L62" i="2"/>
  <c r="M62" i="2"/>
  <c r="N62" i="2"/>
  <c r="O62" i="2"/>
  <c r="P62" i="2"/>
  <c r="S62" i="2"/>
  <c r="T62" i="2"/>
  <c r="U62" i="2"/>
  <c r="V62" i="2"/>
  <c r="W62" i="2"/>
  <c r="X62" i="2"/>
  <c r="G63" i="2"/>
  <c r="H63" i="2"/>
  <c r="K63" i="2"/>
  <c r="L63" i="2"/>
  <c r="M63" i="2"/>
  <c r="N63" i="2"/>
  <c r="O63" i="2" s="1"/>
  <c r="P63" i="2" s="1"/>
  <c r="S63" i="2"/>
  <c r="T63" i="2"/>
  <c r="U63" i="2"/>
  <c r="V63" i="2"/>
  <c r="W63" i="2"/>
  <c r="X63" i="2"/>
  <c r="G64" i="2"/>
  <c r="H64" i="2"/>
  <c r="K64" i="2"/>
  <c r="L64" i="2"/>
  <c r="M64" i="2"/>
  <c r="N64" i="2"/>
  <c r="O64" i="2"/>
  <c r="P64" i="2"/>
  <c r="S64" i="2"/>
  <c r="T64" i="2"/>
  <c r="U64" i="2"/>
  <c r="V64" i="2"/>
  <c r="W64" i="2" s="1"/>
  <c r="X64" i="2" s="1"/>
  <c r="G65" i="2"/>
  <c r="H65" i="2"/>
  <c r="K65" i="2"/>
  <c r="L65" i="2"/>
  <c r="M65" i="2"/>
  <c r="N65" i="2"/>
  <c r="O65" i="2"/>
  <c r="P65" i="2"/>
  <c r="S65" i="2"/>
  <c r="T65" i="2"/>
  <c r="U65" i="2"/>
  <c r="V65" i="2"/>
  <c r="W65" i="2"/>
  <c r="X65" i="2"/>
  <c r="G66" i="2"/>
  <c r="H66" i="2"/>
  <c r="K66" i="2"/>
  <c r="L66" i="2"/>
  <c r="M66" i="2"/>
  <c r="N66" i="2"/>
  <c r="O66" i="2"/>
  <c r="P66" i="2"/>
  <c r="S66" i="2"/>
  <c r="T66" i="2"/>
  <c r="U66" i="2"/>
  <c r="V66" i="2"/>
  <c r="W66" i="2"/>
  <c r="X66" i="2"/>
  <c r="G67" i="2"/>
  <c r="H67" i="2"/>
  <c r="K67" i="2"/>
  <c r="L67" i="2"/>
  <c r="M67" i="2"/>
  <c r="N67" i="2"/>
  <c r="O67" i="2" s="1"/>
  <c r="P67" i="2" s="1"/>
  <c r="S67" i="2"/>
  <c r="T67" i="2"/>
  <c r="U67" i="2"/>
  <c r="V67" i="2"/>
  <c r="W67" i="2"/>
  <c r="X67" i="2"/>
  <c r="G68" i="2"/>
  <c r="H68" i="2"/>
  <c r="K68" i="2"/>
  <c r="L68" i="2"/>
  <c r="M68" i="2"/>
  <c r="N68" i="2"/>
  <c r="O68" i="2"/>
  <c r="P68" i="2"/>
  <c r="S68" i="2"/>
  <c r="T68" i="2"/>
  <c r="U68" i="2"/>
  <c r="V68" i="2"/>
  <c r="W68" i="2" s="1"/>
  <c r="X68" i="2" s="1"/>
  <c r="G69" i="2"/>
  <c r="H69" i="2"/>
  <c r="K69" i="2"/>
  <c r="L69" i="2"/>
  <c r="M69" i="2"/>
  <c r="N69" i="2"/>
  <c r="O69" i="2"/>
  <c r="P69" i="2"/>
  <c r="S69" i="2"/>
  <c r="T69" i="2"/>
  <c r="U69" i="2"/>
  <c r="V69" i="2"/>
  <c r="W69" i="2"/>
  <c r="X69" i="2"/>
  <c r="G70" i="2"/>
  <c r="H70" i="2"/>
  <c r="K70" i="2"/>
  <c r="L70" i="2"/>
  <c r="M70" i="2"/>
  <c r="N70" i="2"/>
  <c r="O70" i="2"/>
  <c r="P70" i="2"/>
  <c r="S70" i="2"/>
  <c r="T70" i="2"/>
  <c r="U70" i="2"/>
  <c r="V70" i="2"/>
  <c r="W70" i="2" s="1"/>
  <c r="X70" i="2" s="1"/>
  <c r="G71" i="2"/>
  <c r="H71" i="2"/>
  <c r="K71" i="2"/>
  <c r="L71" i="2"/>
  <c r="M71" i="2"/>
  <c r="N71" i="2"/>
  <c r="O71" i="2"/>
  <c r="P71" i="2"/>
  <c r="S71" i="2"/>
  <c r="T71" i="2"/>
  <c r="U71" i="2"/>
  <c r="V71" i="2"/>
  <c r="W71" i="2"/>
  <c r="X71" i="2"/>
  <c r="G72" i="2"/>
  <c r="H72" i="2"/>
  <c r="K72" i="2"/>
  <c r="L72" i="2"/>
  <c r="M72" i="2"/>
  <c r="N72" i="2"/>
  <c r="O72" i="2" s="1"/>
  <c r="P72" i="2" s="1"/>
  <c r="S72" i="2"/>
  <c r="T72" i="2"/>
  <c r="U72" i="2"/>
  <c r="V72" i="2"/>
  <c r="W72" i="2"/>
  <c r="X72" i="2"/>
  <c r="G73" i="2"/>
  <c r="H73" i="2"/>
  <c r="K73" i="2"/>
  <c r="L73" i="2"/>
  <c r="M73" i="2"/>
  <c r="N73" i="2"/>
  <c r="O73" i="2" s="1"/>
  <c r="P73" i="2" s="1"/>
  <c r="S73" i="2"/>
  <c r="T73" i="2"/>
  <c r="U73" i="2"/>
  <c r="V73" i="2"/>
  <c r="W73" i="2"/>
  <c r="X73" i="2"/>
  <c r="G74" i="2"/>
  <c r="H74" i="2"/>
  <c r="K74" i="2"/>
  <c r="L74" i="2"/>
  <c r="M74" i="2"/>
  <c r="N74" i="2"/>
  <c r="O74" i="2"/>
  <c r="P74" i="2"/>
  <c r="S74" i="2"/>
  <c r="T74" i="2"/>
  <c r="U74" i="2"/>
  <c r="V74" i="2"/>
  <c r="W74" i="2"/>
  <c r="X74" i="2"/>
  <c r="G75" i="2"/>
  <c r="H75" i="2"/>
  <c r="K75" i="2"/>
  <c r="L75" i="2"/>
  <c r="M75" i="2"/>
  <c r="N75" i="2"/>
  <c r="O75" i="2"/>
  <c r="P75" i="2"/>
  <c r="S75" i="2"/>
  <c r="T75" i="2"/>
  <c r="U75" i="2"/>
  <c r="V75" i="2"/>
  <c r="W75" i="2"/>
  <c r="X75" i="2"/>
  <c r="G76" i="2"/>
  <c r="H76" i="2"/>
  <c r="K76" i="2"/>
  <c r="L76" i="2"/>
  <c r="M76" i="2"/>
  <c r="N76" i="2"/>
  <c r="O76" i="2"/>
  <c r="P76" i="2"/>
  <c r="S76" i="2"/>
  <c r="T76" i="2"/>
  <c r="U76" i="2"/>
  <c r="V76" i="2"/>
  <c r="W76" i="2" s="1"/>
  <c r="X76" i="2" s="1"/>
  <c r="G77" i="2"/>
  <c r="H77" i="2"/>
  <c r="K77" i="2"/>
  <c r="L77" i="2"/>
  <c r="M77" i="2"/>
  <c r="N77" i="2"/>
  <c r="O77" i="2"/>
  <c r="P77" i="2"/>
  <c r="S77" i="2"/>
  <c r="T77" i="2"/>
  <c r="U77" i="2"/>
  <c r="V77" i="2"/>
  <c r="W77" i="2"/>
  <c r="X77" i="2"/>
  <c r="G78" i="2"/>
  <c r="H78" i="2"/>
  <c r="K78" i="2"/>
  <c r="L78" i="2"/>
  <c r="M78" i="2"/>
  <c r="N78" i="2"/>
  <c r="O78" i="2"/>
  <c r="P78" i="2"/>
  <c r="S78" i="2"/>
  <c r="T78" i="2"/>
  <c r="U78" i="2"/>
  <c r="V78" i="2"/>
  <c r="W78" i="2"/>
  <c r="X78" i="2"/>
  <c r="G79" i="2"/>
  <c r="H79" i="2"/>
  <c r="K79" i="2"/>
  <c r="L79" i="2"/>
  <c r="M79" i="2"/>
  <c r="N79" i="2"/>
  <c r="O79" i="2" s="1"/>
  <c r="P79" i="2" s="1"/>
  <c r="S79" i="2"/>
  <c r="T79" i="2"/>
  <c r="U79" i="2"/>
  <c r="V79" i="2"/>
  <c r="W79" i="2"/>
  <c r="X79" i="2"/>
  <c r="G80" i="2"/>
  <c r="H80" i="2"/>
  <c r="K80" i="2"/>
  <c r="L80" i="2"/>
  <c r="M80" i="2"/>
  <c r="N80" i="2"/>
  <c r="O80" i="2"/>
  <c r="P80" i="2"/>
  <c r="S80" i="2"/>
  <c r="T80" i="2"/>
  <c r="U80" i="2"/>
  <c r="V80" i="2"/>
  <c r="W80" i="2"/>
  <c r="X80" i="2"/>
  <c r="G81" i="2"/>
  <c r="H81" i="2"/>
  <c r="K81" i="2"/>
  <c r="L81" i="2"/>
  <c r="M81" i="2"/>
  <c r="N81" i="2"/>
  <c r="O81" i="2" s="1"/>
  <c r="P81" i="2" s="1"/>
  <c r="S81" i="2"/>
  <c r="T81" i="2"/>
  <c r="U81" i="2"/>
  <c r="V81" i="2"/>
  <c r="W81" i="2"/>
  <c r="X81" i="2"/>
  <c r="G82" i="2"/>
  <c r="H82" i="2"/>
  <c r="K82" i="2"/>
  <c r="L82" i="2"/>
  <c r="M82" i="2"/>
  <c r="N82" i="2"/>
  <c r="O82" i="2"/>
  <c r="P82" i="2"/>
  <c r="S82" i="2"/>
  <c r="T82" i="2"/>
  <c r="U82" i="2"/>
  <c r="V82" i="2"/>
  <c r="W82" i="2" s="1"/>
  <c r="X82" i="2" s="1"/>
  <c r="G83" i="2"/>
  <c r="H83" i="2"/>
  <c r="K83" i="2"/>
  <c r="L83" i="2"/>
  <c r="M83" i="2"/>
  <c r="N83" i="2"/>
  <c r="O83" i="2"/>
  <c r="P83" i="2"/>
  <c r="S83" i="2"/>
  <c r="T83" i="2"/>
  <c r="U83" i="2"/>
  <c r="V83" i="2"/>
  <c r="W83" i="2"/>
  <c r="X83" i="2"/>
  <c r="G84" i="2"/>
  <c r="H84" i="2"/>
  <c r="K84" i="2"/>
  <c r="L84" i="2"/>
  <c r="M84" i="2"/>
  <c r="N84" i="2"/>
  <c r="O84" i="2"/>
  <c r="P84" i="2"/>
  <c r="S84" i="2"/>
  <c r="T84" i="2"/>
  <c r="U84" i="2"/>
  <c r="V84" i="2"/>
  <c r="W84" i="2"/>
  <c r="X84" i="2"/>
  <c r="G85" i="2"/>
  <c r="H85" i="2"/>
  <c r="K85" i="2"/>
  <c r="L85" i="2"/>
  <c r="M85" i="2"/>
  <c r="N85" i="2"/>
  <c r="O85" i="2" s="1"/>
  <c r="P85" i="2"/>
  <c r="S85" i="2"/>
  <c r="T85" i="2"/>
  <c r="U85" i="2"/>
  <c r="V85" i="2"/>
  <c r="W85" i="2"/>
  <c r="X85" i="2" s="1"/>
  <c r="G86" i="2"/>
  <c r="H86" i="2"/>
  <c r="K86" i="2"/>
  <c r="L86" i="2"/>
  <c r="M86" i="2"/>
  <c r="N86" i="2"/>
  <c r="O86" i="2"/>
  <c r="P86" i="2"/>
  <c r="S86" i="2"/>
  <c r="T86" i="2"/>
  <c r="U86" i="2"/>
  <c r="W86" i="2" s="1"/>
  <c r="X86" i="2" s="1"/>
  <c r="V86" i="2"/>
  <c r="G87" i="2"/>
  <c r="H87" i="2"/>
  <c r="K87" i="2"/>
  <c r="L87" i="2"/>
  <c r="M87" i="2"/>
  <c r="N87" i="2"/>
  <c r="O87" i="2"/>
  <c r="P87" i="2"/>
  <c r="S87" i="2"/>
  <c r="T87" i="2" s="1"/>
  <c r="U87" i="2"/>
  <c r="V87" i="2"/>
  <c r="W87" i="2"/>
  <c r="X87" i="2"/>
  <c r="G88" i="2"/>
  <c r="H88" i="2"/>
  <c r="K88" i="2"/>
  <c r="L88" i="2"/>
  <c r="M88" i="2"/>
  <c r="N88" i="2"/>
  <c r="O88" i="2"/>
  <c r="P88" i="2" s="1"/>
  <c r="S88" i="2"/>
  <c r="T88" i="2"/>
  <c r="U88" i="2"/>
  <c r="V88" i="2"/>
  <c r="W88" i="2" s="1"/>
  <c r="X88" i="2"/>
  <c r="G89" i="2"/>
  <c r="H89" i="2"/>
  <c r="K89" i="2"/>
  <c r="L89" i="2"/>
  <c r="M89" i="2"/>
  <c r="N89" i="2"/>
  <c r="O89" i="2" s="1"/>
  <c r="P89" i="2" s="1"/>
  <c r="S89" i="2"/>
  <c r="T89" i="2"/>
  <c r="U89" i="2"/>
  <c r="V89" i="2"/>
  <c r="W89" i="2"/>
  <c r="X89" i="2"/>
  <c r="G90" i="2"/>
  <c r="H90" i="2"/>
  <c r="K90" i="2"/>
  <c r="L90" i="2"/>
  <c r="M90" i="2"/>
  <c r="N90" i="2"/>
  <c r="O90" i="2"/>
  <c r="P90" i="2"/>
  <c r="S90" i="2"/>
  <c r="T90" i="2"/>
  <c r="U90" i="2"/>
  <c r="V90" i="2"/>
  <c r="W90" i="2"/>
  <c r="X90" i="2"/>
  <c r="G91" i="2"/>
  <c r="H91" i="2"/>
  <c r="K91" i="2"/>
  <c r="L91" i="2"/>
  <c r="M91" i="2"/>
  <c r="N91" i="2"/>
  <c r="O91" i="2" s="1"/>
  <c r="P91" i="2"/>
  <c r="S91" i="2"/>
  <c r="T91" i="2"/>
  <c r="U91" i="2"/>
  <c r="V91" i="2"/>
  <c r="W91" i="2"/>
  <c r="X91" i="2"/>
  <c r="G92" i="2"/>
  <c r="H92" i="2" s="1"/>
  <c r="K92" i="2"/>
  <c r="L92" i="2"/>
  <c r="M92" i="2"/>
  <c r="N92" i="2"/>
  <c r="O92" i="2"/>
  <c r="P92" i="2"/>
  <c r="S92" i="2"/>
  <c r="T92" i="2"/>
  <c r="U92" i="2"/>
  <c r="V92" i="2"/>
  <c r="W92" i="2"/>
  <c r="X92" i="2" s="1"/>
  <c r="G93" i="2"/>
  <c r="H93" i="2"/>
  <c r="K93" i="2"/>
  <c r="L93" i="2"/>
  <c r="M93" i="2"/>
  <c r="N93" i="2"/>
  <c r="O93" i="2"/>
  <c r="P93" i="2"/>
  <c r="S93" i="2"/>
  <c r="T93" i="2"/>
  <c r="U93" i="2"/>
  <c r="W93" i="2" s="1"/>
  <c r="X93" i="2" s="1"/>
  <c r="V93" i="2"/>
  <c r="G94" i="2"/>
  <c r="H94" i="2"/>
  <c r="K94" i="2"/>
  <c r="L94" i="2"/>
  <c r="M94" i="2"/>
  <c r="N94" i="2"/>
  <c r="O94" i="2"/>
  <c r="P94" i="2"/>
  <c r="S94" i="2"/>
  <c r="T94" i="2" s="1"/>
  <c r="U94" i="2"/>
  <c r="V94" i="2"/>
  <c r="W94" i="2" s="1"/>
  <c r="X94" i="2"/>
  <c r="G95" i="2"/>
  <c r="H95" i="2"/>
  <c r="K95" i="2"/>
  <c r="L95" i="2"/>
  <c r="M95" i="2"/>
  <c r="N95" i="2"/>
  <c r="O95" i="2"/>
  <c r="P95" i="2"/>
  <c r="S95" i="2"/>
  <c r="T95" i="2"/>
  <c r="U95" i="2"/>
  <c r="V95" i="2"/>
  <c r="W95" i="2"/>
  <c r="X95" i="2"/>
  <c r="G96" i="2"/>
  <c r="H96" i="2"/>
  <c r="K96" i="2"/>
  <c r="L96" i="2"/>
  <c r="M96" i="2"/>
  <c r="N96" i="2"/>
  <c r="O96" i="2" s="1"/>
  <c r="P96" i="2" s="1"/>
  <c r="S96" i="2"/>
  <c r="T96" i="2"/>
  <c r="U96" i="2"/>
  <c r="V96" i="2"/>
  <c r="W96" i="2"/>
  <c r="X96" i="2"/>
  <c r="G97" i="2"/>
  <c r="H97" i="2"/>
  <c r="K97" i="2"/>
  <c r="L97" i="2"/>
  <c r="M97" i="2"/>
  <c r="N97" i="2"/>
  <c r="O97" i="2" s="1"/>
  <c r="P97" i="2"/>
  <c r="S97" i="2"/>
  <c r="T97" i="2"/>
  <c r="U97" i="2"/>
  <c r="V97" i="2"/>
  <c r="W97" i="2"/>
  <c r="X97" i="2"/>
  <c r="G98" i="2"/>
  <c r="H98" i="2"/>
  <c r="K98" i="2"/>
  <c r="L98" i="2" s="1"/>
  <c r="M98" i="2"/>
  <c r="N98" i="2"/>
  <c r="O98" i="2"/>
  <c r="P98" i="2"/>
  <c r="S98" i="2"/>
  <c r="T98" i="2"/>
  <c r="U98" i="2"/>
  <c r="V98" i="2"/>
  <c r="W98" i="2"/>
  <c r="X98" i="2"/>
  <c r="G99" i="2"/>
  <c r="H99" i="2" s="1"/>
  <c r="K99" i="2"/>
  <c r="L99" i="2"/>
  <c r="M99" i="2"/>
  <c r="N99" i="2"/>
  <c r="O99" i="2"/>
  <c r="P99" i="2"/>
  <c r="S99" i="2"/>
  <c r="T99" i="2"/>
  <c r="U99" i="2"/>
  <c r="V99" i="2"/>
  <c r="W99" i="2"/>
  <c r="X99" i="2" s="1"/>
  <c r="G100" i="2"/>
  <c r="H100" i="2"/>
  <c r="K100" i="2"/>
  <c r="L100" i="2"/>
  <c r="M100" i="2"/>
  <c r="N100" i="2"/>
  <c r="O100" i="2"/>
  <c r="P100" i="2"/>
  <c r="S100" i="2"/>
  <c r="T100" i="2"/>
  <c r="U100" i="2"/>
  <c r="V100" i="2"/>
  <c r="G101" i="2"/>
  <c r="H101" i="2"/>
  <c r="K101" i="2"/>
  <c r="L101" i="2"/>
  <c r="M101" i="2"/>
  <c r="N101" i="2"/>
  <c r="O101" i="2"/>
  <c r="P101" i="2"/>
  <c r="S101" i="2"/>
  <c r="T101" i="2"/>
  <c r="U101" i="2"/>
  <c r="V101" i="2"/>
  <c r="W101" i="2"/>
  <c r="X101" i="2"/>
  <c r="G102" i="2"/>
  <c r="H102" i="2"/>
  <c r="K102" i="2"/>
  <c r="L102" i="2"/>
  <c r="M102" i="2"/>
  <c r="N102" i="2"/>
  <c r="O102" i="2"/>
  <c r="P102" i="2"/>
  <c r="S102" i="2"/>
  <c r="T102" i="2"/>
  <c r="U102" i="2"/>
  <c r="V102" i="2"/>
  <c r="W102" i="2"/>
  <c r="X102" i="2"/>
  <c r="G103" i="2"/>
  <c r="H103" i="2"/>
  <c r="K103" i="2"/>
  <c r="L103" i="2"/>
  <c r="M103" i="2"/>
  <c r="N103" i="2"/>
  <c r="O103" i="2" s="1"/>
  <c r="P103" i="2" s="1"/>
  <c r="S103" i="2"/>
  <c r="T103" i="2"/>
  <c r="U103" i="2"/>
  <c r="V103" i="2"/>
  <c r="W103" i="2"/>
  <c r="X103" i="2"/>
  <c r="G104" i="2"/>
  <c r="H104" i="2"/>
  <c r="K104" i="2"/>
  <c r="L104" i="2"/>
  <c r="M104" i="2"/>
  <c r="N104" i="2"/>
  <c r="O104" i="2"/>
  <c r="P104" i="2"/>
  <c r="S104" i="2"/>
  <c r="T104" i="2"/>
  <c r="U104" i="2"/>
  <c r="V104" i="2"/>
  <c r="W104" i="2"/>
  <c r="X104" i="2"/>
  <c r="G105" i="2"/>
  <c r="H105" i="2"/>
  <c r="K105" i="2"/>
  <c r="L105" i="2"/>
  <c r="M105" i="2"/>
  <c r="N105" i="2"/>
  <c r="O105" i="2"/>
  <c r="P105" i="2"/>
  <c r="S105" i="2"/>
  <c r="T105" i="2"/>
  <c r="U105" i="2"/>
  <c r="V105" i="2"/>
  <c r="W105" i="2"/>
  <c r="X105" i="2"/>
  <c r="G106" i="2"/>
  <c r="H106" i="2"/>
  <c r="K106" i="2"/>
  <c r="L106" i="2"/>
  <c r="M106" i="2"/>
  <c r="N106" i="2"/>
  <c r="O106" i="2"/>
  <c r="P106" i="2"/>
  <c r="S106" i="2"/>
  <c r="T106" i="2"/>
  <c r="U106" i="2"/>
  <c r="V106" i="2"/>
  <c r="W106" i="2" s="1"/>
  <c r="X106" i="2"/>
  <c r="G107" i="2"/>
  <c r="H107" i="2"/>
  <c r="K107" i="2"/>
  <c r="L107" i="2"/>
  <c r="M107" i="2"/>
  <c r="N107" i="2"/>
  <c r="O107" i="2"/>
  <c r="P107" i="2"/>
  <c r="S107" i="2"/>
  <c r="T107" i="2"/>
  <c r="U107" i="2"/>
  <c r="V107" i="2"/>
  <c r="W107" i="2" s="1"/>
  <c r="X107" i="2" s="1"/>
  <c r="G108" i="2"/>
  <c r="H108" i="2"/>
  <c r="K108" i="2"/>
  <c r="L108" i="2"/>
  <c r="M108" i="2"/>
  <c r="N108" i="2"/>
  <c r="O108" i="2"/>
  <c r="P108" i="2"/>
  <c r="S108" i="2"/>
  <c r="T108" i="2"/>
  <c r="U108" i="2"/>
  <c r="V108" i="2"/>
  <c r="W108" i="2"/>
  <c r="X108" i="2"/>
  <c r="B109" i="2"/>
  <c r="G109" i="2"/>
  <c r="H109" i="2"/>
  <c r="K109" i="2"/>
  <c r="L109" i="2"/>
  <c r="M109" i="2"/>
  <c r="N109" i="2"/>
  <c r="O109" i="2"/>
  <c r="P109" i="2" s="1"/>
  <c r="S109" i="2"/>
  <c r="T109" i="2"/>
  <c r="U109" i="2"/>
  <c r="V109" i="2"/>
  <c r="W109" i="2"/>
  <c r="X109" i="2"/>
  <c r="G110" i="2"/>
  <c r="H110" i="2"/>
  <c r="K110" i="2"/>
  <c r="L110" i="2" s="1"/>
  <c r="M110" i="2"/>
  <c r="N110" i="2"/>
  <c r="O110" i="2" s="1"/>
  <c r="P110" i="2" s="1"/>
  <c r="S110" i="2"/>
  <c r="T110" i="2"/>
  <c r="U110" i="2"/>
  <c r="V110" i="2"/>
  <c r="W110" i="2"/>
  <c r="X110" i="2"/>
  <c r="G111" i="2"/>
  <c r="H111" i="2" s="1"/>
  <c r="K111" i="2"/>
  <c r="L111" i="2"/>
  <c r="M111" i="2"/>
  <c r="O111" i="2" s="1"/>
  <c r="P111" i="2" s="1"/>
  <c r="N111" i="2"/>
  <c r="S111" i="2"/>
  <c r="T111" i="2"/>
  <c r="U111" i="2"/>
  <c r="V111" i="2"/>
  <c r="W111" i="2"/>
  <c r="X111" i="2" s="1"/>
  <c r="G112" i="2"/>
  <c r="H112" i="2"/>
  <c r="K112" i="2"/>
  <c r="L112" i="2"/>
  <c r="M112" i="2"/>
  <c r="N112" i="2"/>
  <c r="O112" i="2"/>
  <c r="P112" i="2"/>
  <c r="S112" i="2"/>
  <c r="T112" i="2"/>
  <c r="U112" i="2"/>
  <c r="V112" i="2"/>
  <c r="W112" i="2"/>
  <c r="X112" i="2"/>
  <c r="G113" i="2"/>
  <c r="H113" i="2"/>
  <c r="K113" i="2"/>
  <c r="L113" i="2"/>
  <c r="M113" i="2"/>
  <c r="N113" i="2"/>
  <c r="O113" i="2"/>
  <c r="P113" i="2"/>
  <c r="S113" i="2"/>
  <c r="T113" i="2" s="1"/>
  <c r="U113" i="2"/>
  <c r="V113" i="2"/>
  <c r="W113" i="2"/>
  <c r="X113" i="2"/>
  <c r="G114" i="2"/>
  <c r="H114" i="2" s="1"/>
  <c r="K114" i="2"/>
  <c r="L114" i="2"/>
  <c r="M114" i="2"/>
  <c r="N114" i="2"/>
  <c r="O114" i="2"/>
  <c r="P114" i="2" s="1"/>
  <c r="S114" i="2"/>
  <c r="T114" i="2"/>
  <c r="U114" i="2"/>
  <c r="V114" i="2"/>
  <c r="W114" i="2"/>
  <c r="X114" i="2"/>
  <c r="G115" i="2"/>
  <c r="H115" i="2"/>
  <c r="K115" i="2"/>
  <c r="L115" i="2"/>
  <c r="M115" i="2"/>
  <c r="N115" i="2"/>
  <c r="O115" i="2"/>
  <c r="P115" i="2"/>
  <c r="S115" i="2"/>
  <c r="T115" i="2"/>
  <c r="U115" i="2"/>
  <c r="V115" i="2"/>
  <c r="W115" i="2" s="1"/>
  <c r="X115" i="2" s="1"/>
  <c r="G116" i="2"/>
  <c r="H116" i="2"/>
  <c r="K116" i="2"/>
  <c r="L116" i="2" s="1"/>
  <c r="M116" i="2"/>
  <c r="N116" i="2"/>
  <c r="O116" i="2"/>
  <c r="P116" i="2"/>
  <c r="S116" i="2"/>
  <c r="T116" i="2"/>
  <c r="U116" i="2"/>
  <c r="W116" i="2" s="1"/>
  <c r="X116" i="2" s="1"/>
  <c r="V116" i="2"/>
  <c r="G117" i="2"/>
  <c r="H117" i="2" s="1"/>
  <c r="K117" i="2"/>
  <c r="L117" i="2"/>
  <c r="N117" i="2"/>
  <c r="O117" i="2"/>
  <c r="P117" i="2"/>
  <c r="S117" i="2"/>
  <c r="T117" i="2"/>
  <c r="V117" i="2"/>
  <c r="W117" i="2" s="1"/>
  <c r="X117" i="2" s="1"/>
  <c r="G118" i="2"/>
  <c r="H118" i="2" s="1"/>
  <c r="K118" i="2"/>
  <c r="L118" i="2"/>
  <c r="N118" i="2"/>
  <c r="O118" i="2"/>
  <c r="P118" i="2"/>
  <c r="S118" i="2"/>
  <c r="T118" i="2"/>
  <c r="V118" i="2"/>
  <c r="W118" i="2"/>
  <c r="X118" i="2" s="1"/>
  <c r="G119" i="2"/>
  <c r="H119" i="2" s="1"/>
  <c r="K119" i="2"/>
  <c r="L119" i="2"/>
  <c r="M119" i="2"/>
  <c r="N119" i="2"/>
  <c r="O119" i="2"/>
  <c r="P119" i="2"/>
  <c r="S119" i="2"/>
  <c r="T119" i="2"/>
  <c r="U119" i="2"/>
  <c r="V119" i="2"/>
  <c r="W119" i="2" s="1"/>
  <c r="X119" i="2" s="1"/>
  <c r="G120" i="2"/>
  <c r="H120" i="2"/>
  <c r="K120" i="2"/>
  <c r="L120" i="2"/>
  <c r="M120" i="2"/>
  <c r="N120" i="2"/>
  <c r="O120" i="2"/>
  <c r="P120" i="2"/>
  <c r="S120" i="2"/>
  <c r="T120" i="2"/>
  <c r="U120" i="2"/>
  <c r="W120" i="2" s="1"/>
  <c r="X120" i="2" s="1"/>
  <c r="V120" i="2"/>
  <c r="G121" i="2"/>
  <c r="H121" i="2"/>
  <c r="K121" i="2"/>
  <c r="L121" i="2"/>
  <c r="M121" i="2"/>
  <c r="N121" i="2"/>
  <c r="O121" i="2"/>
  <c r="P121" i="2"/>
  <c r="S121" i="2"/>
  <c r="T121" i="2" s="1"/>
  <c r="U121" i="2"/>
  <c r="V121" i="2"/>
  <c r="W121" i="2"/>
  <c r="X121" i="2"/>
  <c r="G122" i="2"/>
  <c r="H122" i="2"/>
  <c r="K122" i="2"/>
  <c r="L122" i="2"/>
  <c r="M122" i="2"/>
  <c r="N122" i="2"/>
  <c r="O122" i="2"/>
  <c r="P122" i="2" s="1"/>
  <c r="S122" i="2"/>
  <c r="T122" i="2" s="1"/>
  <c r="U122" i="2"/>
  <c r="V122" i="2"/>
  <c r="W122" i="2"/>
  <c r="X122" i="2"/>
  <c r="L123" i="2"/>
  <c r="O123" i="2"/>
  <c r="P123" i="2"/>
  <c r="S123" i="2"/>
  <c r="T123" i="2" s="1"/>
  <c r="W123" i="2"/>
  <c r="X123" i="2"/>
  <c r="K143" i="2"/>
  <c r="L143" i="2" s="1"/>
  <c r="O143" i="2"/>
  <c r="P143" i="2"/>
  <c r="S143" i="2"/>
  <c r="T143" i="2" s="1"/>
  <c r="W143" i="2"/>
  <c r="X143" i="2"/>
  <c r="K144" i="2"/>
  <c r="L144" i="2"/>
  <c r="O144" i="2"/>
  <c r="P144" i="2"/>
  <c r="S144" i="2"/>
  <c r="T144" i="2" s="1"/>
  <c r="W144" i="2"/>
  <c r="X144" i="2"/>
  <c r="K145" i="2"/>
  <c r="L145" i="2"/>
  <c r="O145" i="2"/>
  <c r="P145" i="2"/>
  <c r="S145" i="2"/>
  <c r="T145" i="2"/>
  <c r="W145" i="2"/>
  <c r="X145" i="2"/>
  <c r="K146" i="2"/>
  <c r="L146" i="2" s="1"/>
  <c r="O146" i="2"/>
  <c r="P146" i="2"/>
  <c r="S146" i="2"/>
  <c r="T146" i="2"/>
  <c r="W146" i="2"/>
  <c r="X146" i="2" s="1"/>
  <c r="K147" i="2"/>
  <c r="L147" i="2"/>
  <c r="O147" i="2"/>
  <c r="P147" i="2"/>
  <c r="S147" i="2"/>
  <c r="T147" i="2" s="1"/>
  <c r="W147" i="2"/>
  <c r="X147" i="2"/>
  <c r="K148" i="2"/>
  <c r="L148" i="2"/>
  <c r="O148" i="2"/>
  <c r="P148" i="2"/>
  <c r="S148" i="2"/>
  <c r="T148" i="2"/>
  <c r="W148" i="2"/>
  <c r="X148" i="2"/>
  <c r="W100" i="2" l="1"/>
  <c r="X10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MIGUEL ZUÑIGA GARCIA</author>
    <author>CHRISTIAN EMMANUEL LUNA HERNANDEZ</author>
  </authors>
  <commentList>
    <comment ref="C13" authorId="0" shapeId="0" xr:uid="{BCC3A2D2-9315-431A-B666-7029416CEE40}">
      <text>
        <r>
          <rPr>
            <b/>
            <sz val="9"/>
            <color indexed="81"/>
            <rFont val="Tahoma"/>
            <family val="2"/>
          </rPr>
          <t xml:space="preserve">LOTE 01
FECHA DE ENVIO:
</t>
        </r>
        <r>
          <rPr>
            <sz val="9"/>
            <color indexed="81"/>
            <rFont val="Tahoma"/>
            <family val="2"/>
          </rPr>
          <t xml:space="preserve">Revisión:N/A
Remuestreo:N/A
Liberación:06/02/2026
</t>
        </r>
      </text>
    </comment>
    <comment ref="C14" authorId="0" shapeId="0" xr:uid="{123869D6-5717-48C3-8734-140960065D40}">
      <text>
        <r>
          <rPr>
            <b/>
            <sz val="9"/>
            <color indexed="81"/>
            <rFont val="Tahoma"/>
            <family val="2"/>
          </rPr>
          <t xml:space="preserve">LOTE 02
FECHA DE ENVIO:
</t>
        </r>
        <r>
          <rPr>
            <sz val="9"/>
            <color indexed="81"/>
            <rFont val="Tahoma"/>
            <family val="2"/>
          </rPr>
          <t xml:space="preserve">Revisión:N/A
Remuestreo:N/A
Liberación:06/02/2026
</t>
        </r>
      </text>
    </comment>
    <comment ref="C15" authorId="0" shapeId="0" xr:uid="{AA094C01-29C1-42BD-A48C-E201636FE633}">
      <text>
        <r>
          <rPr>
            <b/>
            <sz val="9"/>
            <color indexed="81"/>
            <rFont val="Tahoma"/>
            <family val="2"/>
          </rPr>
          <t>LOTE 03
FECHA DE ENVIO:</t>
        </r>
        <r>
          <rPr>
            <sz val="9"/>
            <color indexed="81"/>
            <rFont val="Tahoma"/>
            <family val="2"/>
          </rPr>
          <t xml:space="preserve">
Revisión:N/A
Remuestreo:N/A
Liberación:07/02/2026
</t>
        </r>
      </text>
    </comment>
    <comment ref="C16" authorId="0" shapeId="0" xr:uid="{6519EF39-471F-4B22-99FB-299715FD7A22}">
      <text>
        <r>
          <rPr>
            <b/>
            <sz val="9"/>
            <color indexed="81"/>
            <rFont val="Tahoma"/>
            <family val="2"/>
          </rPr>
          <t xml:space="preserve">LOTE 04
FECHA DE ENVIO:
</t>
        </r>
        <r>
          <rPr>
            <sz val="9"/>
            <color indexed="81"/>
            <rFont val="Tahoma"/>
            <family val="2"/>
          </rPr>
          <t>Revisión:N/A
Remuestreo:N/A
Liberación:21/02/2026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 shapeId="0" xr:uid="{FE78C6E6-52C5-441D-A689-1EFCEA0571C9}">
      <text>
        <r>
          <rPr>
            <b/>
            <sz val="9"/>
            <color indexed="81"/>
            <rFont val="Tahoma"/>
            <family val="2"/>
          </rPr>
          <t xml:space="preserve">LOTE 05
FECHA DE ENVIO:
</t>
        </r>
        <r>
          <rPr>
            <sz val="9"/>
            <color indexed="81"/>
            <rFont val="Tahoma"/>
            <family val="2"/>
          </rPr>
          <t xml:space="preserve">Revisión:N/A
Remuestreo:N/A
Liberación:21/02/2026
</t>
        </r>
      </text>
    </comment>
    <comment ref="C18" authorId="0" shapeId="0" xr:uid="{DF62CCF1-BDAD-44ED-AF59-4343343413A8}">
      <text>
        <r>
          <rPr>
            <b/>
            <sz val="9"/>
            <color indexed="81"/>
            <rFont val="Tahoma"/>
            <family val="2"/>
          </rPr>
          <t>LOTE 06
FECHA DE ENVIO:</t>
        </r>
        <r>
          <rPr>
            <sz val="9"/>
            <color indexed="81"/>
            <rFont val="Tahoma"/>
            <family val="2"/>
          </rPr>
          <t xml:space="preserve">
Revisión:26/02/2026
Remuestreo:20/03/2026
Liberacion:23/07/2026
</t>
        </r>
      </text>
    </comment>
    <comment ref="I18" authorId="0" shapeId="0" xr:uid="{6B951278-78DB-4609-8DC0-AF038BA50A35}">
      <text>
        <r>
          <rPr>
            <b/>
            <sz val="9"/>
            <color indexed="81"/>
            <rFont val="Tahoma"/>
            <family val="2"/>
          </rPr>
          <t>LOTE 06</t>
        </r>
        <r>
          <rPr>
            <sz val="9"/>
            <color indexed="81"/>
            <rFont val="Tahoma"/>
            <family val="2"/>
          </rPr>
          <t xml:space="preserve">
Original: 5,512
Testigo: 5,497
Sobre plateado:5,310
</t>
        </r>
      </text>
    </comment>
    <comment ref="J18" authorId="0" shapeId="0" xr:uid="{36A651BD-5E13-49DB-AC4F-BF8F08B57E06}">
      <text>
        <r>
          <rPr>
            <b/>
            <sz val="9"/>
            <color indexed="81"/>
            <rFont val="Tahoma"/>
            <family val="2"/>
          </rPr>
          <t>LOTE 06</t>
        </r>
        <r>
          <rPr>
            <sz val="9"/>
            <color indexed="81"/>
            <rFont val="Tahoma"/>
            <family val="2"/>
          </rPr>
          <t xml:space="preserve">
Original: 5,304
1-Rem: 5,552
</t>
        </r>
      </text>
    </comment>
    <comment ref="Q18" authorId="0" shapeId="0" xr:uid="{863AC515-184C-4528-97A6-6D4C6B529DFD}">
      <text>
        <r>
          <rPr>
            <b/>
            <sz val="9"/>
            <color indexed="81"/>
            <rFont val="Tahoma"/>
            <family val="2"/>
          </rPr>
          <t xml:space="preserve">LOTE 06
</t>
        </r>
        <r>
          <rPr>
            <sz val="9"/>
            <color indexed="81"/>
            <rFont val="Tahoma"/>
            <family val="2"/>
          </rPr>
          <t xml:space="preserve">Original: 834,288
Testigo:830,470
Sobre plateado: 804,117
</t>
        </r>
      </text>
    </comment>
    <comment ref="R18" authorId="0" shapeId="0" xr:uid="{BE3E90A7-8451-4C26-8E84-D44B7568756E}">
      <text>
        <r>
          <rPr>
            <b/>
            <sz val="9"/>
            <color indexed="81"/>
            <rFont val="Tahoma"/>
            <family val="2"/>
          </rPr>
          <t xml:space="preserve">LOTE 06
</t>
        </r>
        <r>
          <rPr>
            <sz val="9"/>
            <color indexed="81"/>
            <rFont val="Tahoma"/>
            <family val="2"/>
          </rPr>
          <t>Original: 806,646
1-Rem: 832,713</t>
        </r>
      </text>
    </comment>
    <comment ref="C19" authorId="0" shapeId="0" xr:uid="{5B49AFCE-832D-4936-B6F1-9E366CF0A148}">
      <text>
        <r>
          <rPr>
            <b/>
            <sz val="9"/>
            <color indexed="81"/>
            <rFont val="Tahoma"/>
            <family val="2"/>
          </rPr>
          <t>LOTE 07
FECHA DE ENVIO:</t>
        </r>
        <r>
          <rPr>
            <sz val="9"/>
            <color indexed="81"/>
            <rFont val="Tahoma"/>
            <family val="2"/>
          </rPr>
          <t xml:space="preserve">
Revisión:N/A
Remuestreo:N/A
Liberacion:07/03/2026
</t>
        </r>
      </text>
    </comment>
    <comment ref="C20" authorId="0" shapeId="0" xr:uid="{DEB9CADA-3186-405C-8F27-D19DA80FEB0A}">
      <text>
        <r>
          <rPr>
            <b/>
            <sz val="9"/>
            <color indexed="81"/>
            <rFont val="Tahoma"/>
            <family val="2"/>
          </rPr>
          <t xml:space="preserve">LOTE 08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1" authorId="0" shapeId="0" xr:uid="{26AC0137-F40B-4AEF-8AD6-8656AE6B4228}">
      <text>
        <r>
          <rPr>
            <b/>
            <sz val="9"/>
            <color indexed="81"/>
            <rFont val="Tahoma"/>
            <family val="2"/>
          </rPr>
          <t xml:space="preserve">LOTE 09
FECHA DE ENVIO:
</t>
        </r>
        <r>
          <rPr>
            <sz val="9"/>
            <color indexed="81"/>
            <rFont val="Tahoma"/>
            <family val="2"/>
          </rPr>
          <t xml:space="preserve">Revisión:07/03/2026
Remuestreo:20/03/2026
Liberacion:23/07/2026
</t>
        </r>
      </text>
    </comment>
    <comment ref="I21" authorId="0" shapeId="0" xr:uid="{EC79CE92-1365-4504-A278-382121EC1C48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 xml:space="preserve">Original: 4,706
Testigo: 4,662
Sobre plateado: 4,492
</t>
        </r>
      </text>
    </comment>
    <comment ref="J21" authorId="0" shapeId="0" xr:uid="{68B00102-35C4-4912-8A39-63B742246E57}">
      <text>
        <r>
          <rPr>
            <b/>
            <sz val="9"/>
            <color indexed="81"/>
            <rFont val="Tahoma"/>
            <family val="2"/>
          </rPr>
          <t>LOTE 09</t>
        </r>
        <r>
          <rPr>
            <sz val="9"/>
            <color indexed="81"/>
            <rFont val="Tahoma"/>
            <family val="2"/>
          </rPr>
          <t xml:space="preserve">
Original:4,486
1-Rem:4,707
</t>
        </r>
      </text>
    </comment>
    <comment ref="Q21" authorId="0" shapeId="0" xr:uid="{27847429-DD48-4FEE-BB0E-A14564B8104B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>Original: 804,594
Testigo: 806,801
Sobre plateado:774, 473</t>
        </r>
      </text>
    </comment>
    <comment ref="R21" authorId="0" shapeId="0" xr:uid="{F7DF21C9-A52B-4744-9C33-D6078B40A0FE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>Original:777,499
1-Rem:803,185</t>
        </r>
      </text>
    </comment>
    <comment ref="C22" authorId="0" shapeId="0" xr:uid="{1967BDCA-406C-4CE6-ACEF-C11CAC0DB51D}">
      <text>
        <r>
          <rPr>
            <b/>
            <sz val="9"/>
            <color indexed="81"/>
            <rFont val="Tahoma"/>
            <family val="2"/>
          </rPr>
          <t xml:space="preserve">LOTE 10
FEHCA DE ENVIO
</t>
        </r>
        <r>
          <rPr>
            <sz val="9"/>
            <color indexed="81"/>
            <rFont val="Tahoma"/>
            <family val="2"/>
          </rPr>
          <t xml:space="preserve">Revisión:26/02/2026
Remuestreo:20/03/2026
Liberacion:23/07/2026
</t>
        </r>
      </text>
    </comment>
    <comment ref="I22" authorId="0" shapeId="0" xr:uid="{91F2AD98-520A-4661-98DD-E2F32285414A}">
      <text>
        <r>
          <rPr>
            <b/>
            <sz val="9"/>
            <color indexed="81"/>
            <rFont val="Tahoma"/>
            <family val="2"/>
          </rPr>
          <t xml:space="preserve">LOTE 10
</t>
        </r>
        <r>
          <rPr>
            <sz val="9"/>
            <color indexed="81"/>
            <rFont val="Tahoma"/>
            <family val="2"/>
          </rPr>
          <t xml:space="preserve">Original: 4,478
Testigo: 4,452
Sobre plateado:4,407
</t>
        </r>
      </text>
    </comment>
    <comment ref="J22" authorId="0" shapeId="0" xr:uid="{8A6F9279-85D0-444F-8C16-302C6BF06228}">
      <text>
        <r>
          <rPr>
            <b/>
            <sz val="9"/>
            <color indexed="81"/>
            <rFont val="Tahoma"/>
            <family val="2"/>
          </rPr>
          <t>LOTE 10</t>
        </r>
        <r>
          <rPr>
            <sz val="9"/>
            <color indexed="81"/>
            <rFont val="Tahoma"/>
            <family val="2"/>
          </rPr>
          <t xml:space="preserve">
Original: 3,973
1-Rem: 4,481
</t>
        </r>
      </text>
    </comment>
    <comment ref="Q22" authorId="0" shapeId="0" xr:uid="{84E2AB84-BB67-49EF-BADB-9FC5F9F41E61}">
      <text>
        <r>
          <rPr>
            <b/>
            <sz val="9"/>
            <color indexed="81"/>
            <rFont val="Tahoma"/>
            <family val="2"/>
          </rPr>
          <t xml:space="preserve">LOTE 10
</t>
        </r>
        <r>
          <rPr>
            <sz val="9"/>
            <color indexed="81"/>
            <rFont val="Tahoma"/>
            <family val="2"/>
          </rPr>
          <t>Original: 800,203
Testigo:795,707 
Sobre plateado:795,695</t>
        </r>
      </text>
    </comment>
    <comment ref="R22" authorId="0" shapeId="0" xr:uid="{BD4FAB67-9FC1-426B-97B7-DA568965501E}">
      <text>
        <r>
          <rPr>
            <b/>
            <sz val="9"/>
            <color indexed="81"/>
            <rFont val="Tahoma"/>
            <family val="2"/>
          </rPr>
          <t>LOTE 10</t>
        </r>
        <r>
          <rPr>
            <sz val="9"/>
            <color indexed="81"/>
            <rFont val="Tahoma"/>
            <family val="2"/>
          </rPr>
          <t xml:space="preserve">
Original: 798,407
1-Rem: 797,870
</t>
        </r>
      </text>
    </comment>
    <comment ref="C23" authorId="0" shapeId="0" xr:uid="{6D75628A-B921-4D4C-827C-D8519A5719CF}">
      <text>
        <r>
          <rPr>
            <b/>
            <sz val="9"/>
            <color indexed="81"/>
            <rFont val="Tahoma"/>
            <family val="2"/>
          </rPr>
          <t xml:space="preserve">LOTE 11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4" authorId="0" shapeId="0" xr:uid="{29A7D862-4FA6-4C87-A5EE-BAE4AE9A0BEA}">
      <text>
        <r>
          <rPr>
            <b/>
            <sz val="9"/>
            <color indexed="81"/>
            <rFont val="Tahoma"/>
            <family val="2"/>
          </rPr>
          <t xml:space="preserve">LOTE 12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5" authorId="0" shapeId="0" xr:uid="{0C09EF57-DCA5-4838-B6DF-9D1EA6B686AC}">
      <text>
        <r>
          <rPr>
            <b/>
            <sz val="9"/>
            <color indexed="81"/>
            <rFont val="Tahoma"/>
            <family val="2"/>
          </rPr>
          <t xml:space="preserve">LOTE 13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6" authorId="0" shapeId="0" xr:uid="{91A7D395-622E-4A3A-AC00-88120241E812}">
      <text>
        <r>
          <rPr>
            <b/>
            <sz val="9"/>
            <color indexed="81"/>
            <rFont val="Tahoma"/>
            <family val="2"/>
          </rPr>
          <t xml:space="preserve">LOTE 14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7" authorId="0" shapeId="0" xr:uid="{D06C9C4A-424D-45A9-A2F2-D8AACDE88BFB}">
      <text>
        <r>
          <rPr>
            <b/>
            <sz val="9"/>
            <color indexed="81"/>
            <rFont val="Tahoma"/>
            <family val="2"/>
          </rPr>
          <t xml:space="preserve">LOTE 15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8" authorId="0" shapeId="0" xr:uid="{581B70E2-BA00-4CFE-A255-F51E27774920}">
      <text>
        <r>
          <rPr>
            <b/>
            <sz val="9"/>
            <color indexed="81"/>
            <rFont val="Tahoma"/>
            <family val="2"/>
          </rPr>
          <t xml:space="preserve">LOTE 16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Liberacion:23/07/2026
</t>
        </r>
      </text>
    </comment>
    <comment ref="I28" authorId="0" shapeId="0" xr:uid="{3144859B-FD3B-43C5-B136-3FE1DAFBFD88}">
      <text>
        <r>
          <rPr>
            <b/>
            <sz val="9"/>
            <color indexed="81"/>
            <rFont val="Tahoma"/>
            <family val="2"/>
          </rPr>
          <t>LOTE 16</t>
        </r>
        <r>
          <rPr>
            <sz val="9"/>
            <color indexed="81"/>
            <rFont val="Tahoma"/>
            <family val="2"/>
          </rPr>
          <t xml:space="preserve">
Original: 5,140
Testigo: 5,121
Sobre plateado: 4,906</t>
        </r>
      </text>
    </comment>
    <comment ref="J28" authorId="0" shapeId="0" xr:uid="{7DA7710D-BBC4-4A7F-8308-5B5D92380F60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>Original: 4,963
1-Rem: 5,157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0" shapeId="0" xr:uid="{9407906E-9419-4D7A-B153-7AEB476C782A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 xml:space="preserve">Original: 833,854
Testigo: 830,869
Sobre plateado: 804,885
</t>
        </r>
      </text>
    </comment>
    <comment ref="R28" authorId="0" shapeId="0" xr:uid="{73A6683B-293A-4928-AAC9-4B3A702020BE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>Original: 805,898
1-Rem: 832,978</t>
        </r>
      </text>
    </comment>
    <comment ref="C29" authorId="0" shapeId="0" xr:uid="{688F4F2A-F39B-4D9C-94FE-DD5BB58493F9}">
      <text>
        <r>
          <rPr>
            <b/>
            <sz val="9"/>
            <color indexed="81"/>
            <rFont val="Tahoma"/>
            <family val="2"/>
          </rPr>
          <t xml:space="preserve">LOTE 17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29" authorId="0" shapeId="0" xr:uid="{03809570-42B8-4D70-89F0-F72DEFFF5B1F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 5,022
Testigo: 5,051
Sobre plateado: 4,782
</t>
        </r>
      </text>
    </comment>
    <comment ref="J29" authorId="0" shapeId="0" xr:uid="{4600E47C-F7A9-4BAF-AF49-8BDC1D78DC85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Original:4,867
1-Rem:5,075
</t>
        </r>
      </text>
    </comment>
    <comment ref="Q29" authorId="0" shapeId="0" xr:uid="{F97C5C56-FAB0-485D-B226-1C0C6BE10FA2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 856,727
Testigo:858,484
Sobre plateado:822,709</t>
        </r>
      </text>
    </comment>
    <comment ref="R29" authorId="0" shapeId="0" xr:uid="{8E733BA8-052D-475F-8AE4-414BBD78AD89}">
      <text>
        <r>
          <rPr>
            <b/>
            <sz val="9"/>
            <color indexed="81"/>
            <rFont val="Tahoma"/>
            <family val="2"/>
          </rPr>
          <t xml:space="preserve">LOTE 17
</t>
        </r>
        <r>
          <rPr>
            <sz val="9"/>
            <color indexed="81"/>
            <rFont val="Tahoma"/>
            <family val="2"/>
          </rPr>
          <t xml:space="preserve">Original:822,563
1-Rem:858,536
</t>
        </r>
      </text>
    </comment>
    <comment ref="C30" authorId="0" shapeId="0" xr:uid="{2A6F79AD-9B42-4F78-886C-DB8D179F5E5B}">
      <text>
        <r>
          <rPr>
            <b/>
            <sz val="9"/>
            <color indexed="81"/>
            <rFont val="Tahoma"/>
            <family val="2"/>
          </rPr>
          <t xml:space="preserve">LOTE 18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30" authorId="0" shapeId="0" xr:uid="{BE6B958C-2169-4706-AD1B-780E023724CE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 4,967
Testigo: 4,982
Sobre plateado: 4,807
</t>
        </r>
      </text>
    </comment>
    <comment ref="J30" authorId="0" shapeId="0" xr:uid="{88379550-DA11-4D32-A8CE-5E5F57978ACD}">
      <text>
        <r>
          <rPr>
            <b/>
            <sz val="9"/>
            <color indexed="81"/>
            <rFont val="Tahoma"/>
            <family val="2"/>
          </rPr>
          <t>LOTE 18</t>
        </r>
        <r>
          <rPr>
            <sz val="9"/>
            <color indexed="81"/>
            <rFont val="Tahoma"/>
            <family val="2"/>
          </rPr>
          <t xml:space="preserve">
Original: 4,833
1-Rem:5,108
</t>
        </r>
      </text>
    </comment>
    <comment ref="Q30" authorId="0" shapeId="0" xr:uid="{64D18ED4-3F4B-472F-8ABE-C33A5C8FB445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 866,836
Testigo: 862,906
Sobre plateado:833,307
</t>
        </r>
      </text>
    </comment>
    <comment ref="R30" authorId="0" shapeId="0" xr:uid="{32172EA4-1D8F-4D07-BBBF-57B3F2F282EA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Original:832,251
1-Rem:868,360
</t>
        </r>
      </text>
    </comment>
    <comment ref="C31" authorId="0" shapeId="0" xr:uid="{946E12D8-FE8A-40F5-BD86-7F254A0DEA18}">
      <text>
        <r>
          <rPr>
            <b/>
            <sz val="9"/>
            <color indexed="81"/>
            <rFont val="Tahoma"/>
            <family val="2"/>
          </rPr>
          <t>LOTE 19
FECHA DE ENVIO:</t>
        </r>
        <r>
          <rPr>
            <sz val="9"/>
            <color indexed="81"/>
            <rFont val="Tahoma"/>
            <family val="2"/>
          </rPr>
          <t xml:space="preserve">
Revisión:N/A
Remuestreo:N/A
Liberacion:25/03/2026
</t>
        </r>
      </text>
    </comment>
    <comment ref="C32" authorId="0" shapeId="0" xr:uid="{6FFAA446-EB39-4F5F-8928-5A4591EEE2D2}">
      <text>
        <r>
          <rPr>
            <b/>
            <sz val="9"/>
            <color indexed="81"/>
            <rFont val="Tahoma"/>
            <family val="2"/>
          </rPr>
          <t xml:space="preserve">LOTE 20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32" authorId="0" shapeId="0" xr:uid="{1E2B35D7-8442-4519-A71E-2135F28EF826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 3,652
Testigo: 3,626
Sobre plateado: 3,514
</t>
        </r>
      </text>
    </comment>
    <comment ref="J32" authorId="0" shapeId="0" xr:uid="{09C3CC0C-B84D-42B7-BA3D-7299241AB72B}">
      <text>
        <r>
          <rPr>
            <b/>
            <sz val="9"/>
            <color indexed="81"/>
            <rFont val="Tahoma"/>
            <family val="2"/>
          </rPr>
          <t>LOTE 20</t>
        </r>
        <r>
          <rPr>
            <sz val="9"/>
            <color indexed="81"/>
            <rFont val="Tahoma"/>
            <family val="2"/>
          </rPr>
          <t xml:space="preserve">
Original:3,548
1-Rem:3,585
</t>
        </r>
      </text>
    </comment>
    <comment ref="Q32" authorId="0" shapeId="0" xr:uid="{2911614E-85F8-4BB6-B590-C41255CC93B1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 838,546
Testigo:838,027
Sobre plateado:829,455
</t>
        </r>
      </text>
    </comment>
    <comment ref="R32" authorId="0" shapeId="0" xr:uid="{2CB19A1B-BAC4-4E10-95D5-D852D3EAE221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Original:827,692
1-Rem:831,853
</t>
        </r>
      </text>
    </comment>
    <comment ref="C33" authorId="0" shapeId="0" xr:uid="{B1153FCF-0D59-4107-8175-62D1D4E2BA98}">
      <text>
        <r>
          <rPr>
            <b/>
            <sz val="9"/>
            <color indexed="81"/>
            <rFont val="Tahoma"/>
            <family val="2"/>
          </rPr>
          <t xml:space="preserve">LOTE 21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Liberacion:23/07/2026
</t>
        </r>
      </text>
    </comment>
    <comment ref="I33" authorId="0" shapeId="0" xr:uid="{226F70F7-756E-44AA-B78A-2B1B8DA03E12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 xml:space="preserve">Original: 4,434
Testigo: 4,413
Sobre plateado:4,314
</t>
        </r>
      </text>
    </comment>
    <comment ref="J33" authorId="0" shapeId="0" xr:uid="{40195E62-5C0C-4207-A063-CFC5CC2B1DB3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>Original: 4,338
1-Rem:4,344</t>
        </r>
      </text>
    </comment>
    <comment ref="Q33" authorId="0" shapeId="0" xr:uid="{55488608-CC2A-495F-8587-B3CFCFCADA6A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>Original: 828,174
Testigo: 826,713
Sobre plateado:783,231</t>
        </r>
      </text>
    </comment>
    <comment ref="R33" authorId="0" shapeId="0" xr:uid="{10EF256B-72E9-416E-861F-CDF510042607}">
      <text>
        <r>
          <rPr>
            <b/>
            <sz val="9"/>
            <color indexed="81"/>
            <rFont val="Tahoma"/>
            <family val="2"/>
          </rPr>
          <t>LOTE 21</t>
        </r>
        <r>
          <rPr>
            <sz val="9"/>
            <color indexed="81"/>
            <rFont val="Tahoma"/>
            <family val="2"/>
          </rPr>
          <t xml:space="preserve">
Original:787,214
1-Rem:790,048
</t>
        </r>
      </text>
    </comment>
    <comment ref="C34" authorId="0" shapeId="0" xr:uid="{3A2C882E-DC0E-4B60-A3BD-F7484B1399B5}">
      <text>
        <r>
          <rPr>
            <b/>
            <sz val="9"/>
            <color indexed="81"/>
            <rFont val="Tahoma"/>
            <family val="2"/>
          </rPr>
          <t xml:space="preserve">LOTE 22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Liberacion:09/07/2026
</t>
        </r>
      </text>
    </comment>
    <comment ref="I34" authorId="0" shapeId="0" xr:uid="{65F68718-EF13-4DF9-956D-741702146C73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 4,553
Testigo: 4,529
Sobre plateado:4,215
</t>
        </r>
      </text>
    </comment>
    <comment ref="J34" authorId="0" shapeId="0" xr:uid="{94CB2435-1753-4C31-A9AD-BE958D94A65D}">
      <text>
        <r>
          <rPr>
            <b/>
            <sz val="9"/>
            <color indexed="81"/>
            <rFont val="Tahoma"/>
            <family val="2"/>
          </rPr>
          <t>LOTE 22</t>
        </r>
        <r>
          <rPr>
            <sz val="9"/>
            <color indexed="81"/>
            <rFont val="Tahoma"/>
            <family val="2"/>
          </rPr>
          <t xml:space="preserve">
Original:4,238
1-Rem:4,471</t>
        </r>
      </text>
    </comment>
    <comment ref="Q34" authorId="0" shapeId="0" xr:uid="{AECE9A4F-D783-4CDD-BD11-1612F0458175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 832,168
Testigo: 831,625
Sobre plateado:796,855
</t>
        </r>
      </text>
    </comment>
    <comment ref="R34" authorId="0" shapeId="0" xr:uid="{9C909BC1-4E6E-4C53-8CA4-F4600CB66AFE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Original:800,400
1-Rem:827,910
</t>
        </r>
      </text>
    </comment>
    <comment ref="C35" authorId="0" shapeId="0" xr:uid="{8A69F806-B456-4A56-8AE1-54CFF71AAB14}">
      <text>
        <r>
          <rPr>
            <b/>
            <sz val="9"/>
            <color indexed="81"/>
            <rFont val="Tahoma"/>
            <family val="2"/>
          </rPr>
          <t xml:space="preserve">LOTE 23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Liberacion:09/07/2026
</t>
        </r>
      </text>
    </comment>
    <comment ref="I35" authorId="0" shapeId="0" xr:uid="{828FC09E-AE22-4049-85BD-62043C6A9B4C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 4,584
Testigo: 4,564
Sobre plateado:4,398
</t>
        </r>
      </text>
    </comment>
    <comment ref="J35" authorId="0" shapeId="0" xr:uid="{6DFA120A-2D5E-4FFB-89FC-4C409FEAD36F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Original:4,427
1-Rem:4,419
</t>
        </r>
      </text>
    </comment>
    <comment ref="Q35" authorId="0" shapeId="0" xr:uid="{D2E55A9C-322F-4390-9AB9-A223407B2AF0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 813,624
Testigo: 814,590
Sobre plateado:813,587
</t>
        </r>
      </text>
    </comment>
    <comment ref="R35" authorId="0" shapeId="0" xr:uid="{B5B4690B-C799-435D-9CEA-CEEC649802D3}">
      <text>
        <r>
          <rPr>
            <b/>
            <sz val="9"/>
            <color indexed="81"/>
            <rFont val="Tahoma"/>
            <family val="2"/>
          </rPr>
          <t>LOTE 23</t>
        </r>
        <r>
          <rPr>
            <sz val="9"/>
            <color indexed="81"/>
            <rFont val="Tahoma"/>
            <family val="2"/>
          </rPr>
          <t xml:space="preserve">
Original:818,255
1-Rem:814,615
</t>
        </r>
      </text>
    </comment>
    <comment ref="C36" authorId="0" shapeId="0" xr:uid="{8A8C3617-F829-412B-913F-65B3934BC89F}">
      <text>
        <r>
          <rPr>
            <b/>
            <sz val="9"/>
            <color indexed="81"/>
            <rFont val="Tahoma"/>
            <family val="2"/>
          </rPr>
          <t xml:space="preserve">LOTE 24
FECHA DE ENVIO:
</t>
        </r>
        <r>
          <rPr>
            <sz val="9"/>
            <color indexed="81"/>
            <rFont val="Tahoma"/>
            <family val="2"/>
          </rPr>
          <t xml:space="preserve">Revisión:25/03/2026
1-Remuestreo:31/03/2026
2-Remuestreo:14/08/2026
Liberacion:
</t>
        </r>
      </text>
    </comment>
    <comment ref="I36" authorId="0" shapeId="0" xr:uid="{788700B4-4433-4FBF-AF34-B1206EB9237F}">
      <text>
        <r>
          <rPr>
            <b/>
            <sz val="9"/>
            <color indexed="81"/>
            <rFont val="Tahoma"/>
            <family val="2"/>
          </rPr>
          <t xml:space="preserve">LOTE 24
</t>
        </r>
        <r>
          <rPr>
            <sz val="9"/>
            <color indexed="81"/>
            <rFont val="Tahoma"/>
            <family val="2"/>
          </rPr>
          <t>Original: 4,624
Testigo: 4,629
Sobre plateado:4,497</t>
        </r>
      </text>
    </comment>
    <comment ref="J36" authorId="0" shapeId="0" xr:uid="{92EBADBE-BC0D-4EF0-BA72-392E62026F90}">
      <text>
        <r>
          <rPr>
            <b/>
            <sz val="9"/>
            <color indexed="81"/>
            <rFont val="Tahoma"/>
            <family val="2"/>
          </rPr>
          <t>LOTE 24</t>
        </r>
        <r>
          <rPr>
            <sz val="9"/>
            <color indexed="81"/>
            <rFont val="Tahoma"/>
            <family val="2"/>
          </rPr>
          <t xml:space="preserve">
Original:4,518
1-Rem: 4,858</t>
        </r>
      </text>
    </comment>
    <comment ref="Q36" authorId="0" shapeId="0" xr:uid="{5A3AA707-B208-4C04-9B70-D83002470D71}">
      <text>
        <r>
          <rPr>
            <b/>
            <sz val="9"/>
            <color indexed="81"/>
            <rFont val="Tahoma"/>
            <family val="2"/>
          </rPr>
          <t xml:space="preserve">LOTE 24
</t>
        </r>
        <r>
          <rPr>
            <sz val="9"/>
            <color indexed="81"/>
            <rFont val="Tahoma"/>
            <family val="2"/>
          </rPr>
          <t>Original: 782,490
Testigo: 782,355
Sobre plateado:756,202</t>
        </r>
      </text>
    </comment>
    <comment ref="R36" authorId="0" shapeId="0" xr:uid="{123CB87B-A53E-4D15-8C56-1304A68655E3}">
      <text>
        <r>
          <rPr>
            <b/>
            <sz val="9"/>
            <color indexed="81"/>
            <rFont val="Tahoma"/>
            <family val="2"/>
          </rPr>
          <t>LOTE 24</t>
        </r>
        <r>
          <rPr>
            <sz val="9"/>
            <color indexed="81"/>
            <rFont val="Tahoma"/>
            <family val="2"/>
          </rPr>
          <t xml:space="preserve">
Original:756,661
1-Rem: 744,779
</t>
        </r>
      </text>
    </comment>
    <comment ref="C37" authorId="0" shapeId="0" xr:uid="{50101990-BE2E-4BAB-BB44-467A4FB0EAFC}">
      <text>
        <r>
          <rPr>
            <b/>
            <sz val="9"/>
            <color indexed="81"/>
            <rFont val="Tahoma"/>
            <family val="2"/>
          </rPr>
          <t xml:space="preserve">LOTE 25
FECHA DE ENVIO:
</t>
        </r>
        <r>
          <rPr>
            <sz val="9"/>
            <color indexed="81"/>
            <rFont val="Tahoma"/>
            <family val="2"/>
          </rPr>
          <t>Revisión:N/A
Remuestreo:N/A
Liberacion:31/03/2026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9AA6B3B2-AF59-4E8D-B41D-C84D5994DE70}">
      <text>
        <r>
          <rPr>
            <b/>
            <sz val="9"/>
            <color indexed="81"/>
            <rFont val="Tahoma"/>
            <family val="2"/>
          </rPr>
          <t xml:space="preserve">LOTE 26
FECHA DE ENVIO:
</t>
        </r>
        <r>
          <rPr>
            <sz val="9"/>
            <color indexed="81"/>
            <rFont val="Tahoma"/>
            <family val="2"/>
          </rPr>
          <t xml:space="preserve">Revisión:N/A
Remuestreo:N/A
Liberacion:31/03/2026
</t>
        </r>
      </text>
    </comment>
    <comment ref="C39" authorId="0" shapeId="0" xr:uid="{7CAD499F-F7A3-48F9-AEE5-76BA09FC0923}">
      <text>
        <r>
          <rPr>
            <b/>
            <sz val="9"/>
            <color indexed="81"/>
            <rFont val="Tahoma"/>
            <family val="2"/>
          </rPr>
          <t xml:space="preserve">LOTE 27
FECHA DE ENVIO:
</t>
        </r>
        <r>
          <rPr>
            <sz val="9"/>
            <color indexed="81"/>
            <rFont val="Tahoma"/>
            <family val="2"/>
          </rPr>
          <t xml:space="preserve">Revisión:31/03/2026
Remuestreo:16/04/2026
Liberacion:09/07/2026
</t>
        </r>
      </text>
    </comment>
    <comment ref="I39" authorId="0" shapeId="0" xr:uid="{EE2D0C75-C4E7-46D6-AF12-C3C94156F403}">
      <text>
        <r>
          <rPr>
            <b/>
            <sz val="9"/>
            <color indexed="81"/>
            <rFont val="Tahoma"/>
            <family val="2"/>
          </rPr>
          <t>LOTE 27</t>
        </r>
        <r>
          <rPr>
            <sz val="9"/>
            <color indexed="81"/>
            <rFont val="Tahoma"/>
            <family val="2"/>
          </rPr>
          <t xml:space="preserve">
Original:5,143
Testigo:5,120
Sobre Plateado:5,017
</t>
        </r>
      </text>
    </comment>
    <comment ref="J39" authorId="0" shapeId="0" xr:uid="{0E98127A-B209-4500-8FC9-A498110F26FB}">
      <text>
        <r>
          <rPr>
            <b/>
            <sz val="9"/>
            <color indexed="81"/>
            <rFont val="Tahoma"/>
            <family val="2"/>
          </rPr>
          <t>LOTE 27</t>
        </r>
        <r>
          <rPr>
            <sz val="9"/>
            <color indexed="81"/>
            <rFont val="Tahoma"/>
            <family val="2"/>
          </rPr>
          <t xml:space="preserve">
Original:4,975
1-Rem:5,143
</t>
        </r>
      </text>
    </comment>
    <comment ref="Q39" authorId="0" shapeId="0" xr:uid="{DF5DCE9A-721E-4985-8B2A-5D902085AFE6}">
      <text>
        <r>
          <rPr>
            <b/>
            <sz val="9"/>
            <color indexed="81"/>
            <rFont val="Tahoma"/>
            <family val="2"/>
          </rPr>
          <t xml:space="preserve">LOTE 27
</t>
        </r>
        <r>
          <rPr>
            <sz val="9"/>
            <color indexed="81"/>
            <rFont val="Tahoma"/>
            <family val="2"/>
          </rPr>
          <t xml:space="preserve">Original:841,782
Testigo: 840,809
Sobre Plateado:813,710
</t>
        </r>
      </text>
    </comment>
    <comment ref="R39" authorId="0" shapeId="0" xr:uid="{94584197-0781-4AB6-A53F-00948CCD6099}">
      <text>
        <r>
          <rPr>
            <sz val="9"/>
            <color indexed="81"/>
            <rFont val="Tahoma"/>
            <family val="2"/>
          </rPr>
          <t>LOTE 27
Original: 818,552 
1-Rem:843,893</t>
        </r>
      </text>
    </comment>
    <comment ref="C40" authorId="0" shapeId="0" xr:uid="{D8BA7D14-F59B-40AC-B43E-5A1F974B484E}">
      <text>
        <r>
          <rPr>
            <b/>
            <sz val="9"/>
            <color indexed="81"/>
            <rFont val="Tahoma"/>
            <family val="2"/>
          </rPr>
          <t xml:space="preserve">LOTE 28
FECHA DE ENVIO:
</t>
        </r>
        <r>
          <rPr>
            <sz val="9"/>
            <color indexed="81"/>
            <rFont val="Tahoma"/>
            <family val="2"/>
          </rPr>
          <t xml:space="preserve">Revisión:N/A
Remuestreo:N/A
Liberacion:31/03/2026
</t>
        </r>
      </text>
    </comment>
    <comment ref="C41" authorId="0" shapeId="0" xr:uid="{75A8AEE3-90AD-4174-A559-F8CC5B71DA13}">
      <text>
        <r>
          <rPr>
            <b/>
            <sz val="9"/>
            <color indexed="81"/>
            <rFont val="Tahoma"/>
            <family val="2"/>
          </rPr>
          <t xml:space="preserve">LOTE 29
FECHA DE ENVIO:
</t>
        </r>
        <r>
          <rPr>
            <sz val="9"/>
            <color indexed="81"/>
            <rFont val="Tahoma"/>
            <family val="2"/>
          </rPr>
          <t xml:space="preserve">Revisión:31/03/2026
Remuestreo:16/04/2026
Liberacion:09/07/2026
</t>
        </r>
      </text>
    </comment>
    <comment ref="I41" authorId="0" shapeId="0" xr:uid="{4DC227A9-C678-4240-824E-9ACD4B19B07E}">
      <text>
        <r>
          <rPr>
            <b/>
            <sz val="9"/>
            <color indexed="81"/>
            <rFont val="Tahoma"/>
            <family val="2"/>
          </rPr>
          <t>LOTE 29</t>
        </r>
        <r>
          <rPr>
            <sz val="9"/>
            <color indexed="81"/>
            <rFont val="Tahoma"/>
            <family val="2"/>
          </rPr>
          <t xml:space="preserve">
Original:5,119
Testigo:5,116
Sobre Plateado:4,971
</t>
        </r>
      </text>
    </comment>
    <comment ref="J41" authorId="0" shapeId="0" xr:uid="{6986BA25-2D08-4538-9658-C10A7B03737D}">
      <text>
        <r>
          <rPr>
            <b/>
            <sz val="9"/>
            <color indexed="81"/>
            <rFont val="Tahoma"/>
            <family val="2"/>
          </rPr>
          <t>LOTE 29</t>
        </r>
        <r>
          <rPr>
            <sz val="9"/>
            <color indexed="81"/>
            <rFont val="Tahoma"/>
            <family val="2"/>
          </rPr>
          <t xml:space="preserve">
Original:5,014
1-Rem: 5,094</t>
        </r>
      </text>
    </comment>
    <comment ref="Q41" authorId="0" shapeId="0" xr:uid="{786363D4-DDE7-48A8-8BA7-926A8EE3D37E}">
      <text>
        <r>
          <rPr>
            <b/>
            <sz val="9"/>
            <color indexed="81"/>
            <rFont val="Tahoma"/>
            <family val="2"/>
          </rPr>
          <t xml:space="preserve">LOTE 29
</t>
        </r>
        <r>
          <rPr>
            <sz val="9"/>
            <color indexed="81"/>
            <rFont val="Tahoma"/>
            <family val="2"/>
          </rPr>
          <t xml:space="preserve">Original:780,570
Testigo:779,879
Sobre Plateado: 759,183
</t>
        </r>
      </text>
    </comment>
    <comment ref="R41" authorId="0" shapeId="0" xr:uid="{790DF358-23F6-4754-BCC4-0B79CB1528A9}">
      <text>
        <r>
          <rPr>
            <b/>
            <sz val="9"/>
            <color indexed="81"/>
            <rFont val="Tahoma"/>
            <family val="2"/>
          </rPr>
          <t xml:space="preserve">LOTE 29
</t>
        </r>
        <r>
          <rPr>
            <sz val="9"/>
            <color indexed="81"/>
            <rFont val="Tahoma"/>
            <family val="2"/>
          </rPr>
          <t>Original: 763,091
1-Rem: 778,426</t>
        </r>
      </text>
    </comment>
    <comment ref="C42" authorId="0" shapeId="0" xr:uid="{6F96A235-C70F-4008-B8F2-544C6B077DAD}">
      <text>
        <r>
          <rPr>
            <b/>
            <sz val="9"/>
            <color indexed="81"/>
            <rFont val="Tahoma"/>
            <family val="2"/>
          </rPr>
          <t xml:space="preserve">LOTE 30
FECHA DE ENVIO:
</t>
        </r>
        <r>
          <rPr>
            <sz val="9"/>
            <color indexed="81"/>
            <rFont val="Tahoma"/>
            <family val="2"/>
          </rPr>
          <t>Revisión:N/A
Remuestreo:N/A
Liberacion:31/03/2026</t>
        </r>
      </text>
    </comment>
    <comment ref="C43" authorId="0" shapeId="0" xr:uid="{EEF10D01-218C-41A2-B8CF-59321FF75986}">
      <text>
        <r>
          <rPr>
            <b/>
            <sz val="9"/>
            <color indexed="81"/>
            <rFont val="Tahoma"/>
            <family val="2"/>
          </rPr>
          <t xml:space="preserve">LOTE 31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3" authorId="0" shapeId="0" xr:uid="{3EABDA53-CF5A-4AB4-82C9-2E8BA21A8307}">
      <text>
        <r>
          <rPr>
            <b/>
            <sz val="9"/>
            <color indexed="81"/>
            <rFont val="Tahoma"/>
            <family val="2"/>
          </rPr>
          <t>LOTE 31</t>
        </r>
        <r>
          <rPr>
            <sz val="9"/>
            <color indexed="81"/>
            <rFont val="Tahoma"/>
            <family val="2"/>
          </rPr>
          <t xml:space="preserve">
Original: 5,411
Testigo:5,500
Sobre Plateado:5,420
</t>
        </r>
      </text>
    </comment>
    <comment ref="Q43" authorId="0" shapeId="0" xr:uid="{7A426688-4712-4CC2-9AE3-B68DD88E83AA}">
      <text>
        <r>
          <rPr>
            <b/>
            <sz val="9"/>
            <color indexed="81"/>
            <rFont val="Tahoma"/>
            <family val="2"/>
          </rPr>
          <t xml:space="preserve">LOTE 31
</t>
        </r>
        <r>
          <rPr>
            <sz val="9"/>
            <color indexed="81"/>
            <rFont val="Tahoma"/>
            <family val="2"/>
          </rPr>
          <t xml:space="preserve">Original:784,985
Testigo:786,372
Sobre Plateado:773,711
</t>
        </r>
      </text>
    </comment>
    <comment ref="C44" authorId="0" shapeId="0" xr:uid="{ACDC26B5-22D6-4A01-A824-60F38B454935}">
      <text>
        <r>
          <rPr>
            <b/>
            <sz val="9"/>
            <color indexed="81"/>
            <rFont val="Tahoma"/>
            <family val="2"/>
          </rPr>
          <t xml:space="preserve">LOTE 32
FECHA DE ENVIO:
</t>
        </r>
        <r>
          <rPr>
            <sz val="9"/>
            <color indexed="81"/>
            <rFont val="Tahoma"/>
            <family val="2"/>
          </rPr>
          <t>Revisión:N/A
Remuestreo:N/A
Liberacion:30/04/2026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B0AA8C1E-27B8-438A-9DC1-59695085959D}">
      <text>
        <r>
          <rPr>
            <b/>
            <sz val="9"/>
            <color indexed="81"/>
            <rFont val="Tahoma"/>
            <family val="2"/>
          </rPr>
          <t xml:space="preserve">LOTE 33
FECHA DE ENVIO:
</t>
        </r>
        <r>
          <rPr>
            <sz val="9"/>
            <color indexed="81"/>
            <rFont val="Tahoma"/>
            <family val="2"/>
          </rPr>
          <t>Revisión:N/A
Remuestreo:N/A
Liberacion:30/04/2026</t>
        </r>
      </text>
    </comment>
    <comment ref="C46" authorId="0" shapeId="0" xr:uid="{F19795E7-85B3-4B7D-92D5-AFA46C5A747B}">
      <text>
        <r>
          <rPr>
            <b/>
            <sz val="9"/>
            <color indexed="81"/>
            <rFont val="Tahoma"/>
            <family val="2"/>
          </rPr>
          <t xml:space="preserve">LOTE 34
FECHA DE ENVIO:
</t>
        </r>
        <r>
          <rPr>
            <sz val="9"/>
            <color indexed="81"/>
            <rFont val="Tahoma"/>
            <family val="2"/>
          </rPr>
          <t>Revisión:30/04/2026
Remuestreo:23/05/2026
Liberacion:09/07/2026</t>
        </r>
      </text>
    </comment>
    <comment ref="I46" authorId="0" shapeId="0" xr:uid="{BA1766F5-2A2D-4A04-84F8-7C3E61BB0539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 xml:space="preserve">Original: 4,381
Testigo:4,409
Sobre Plateado:4,260
</t>
        </r>
      </text>
    </comment>
    <comment ref="J46" authorId="0" shapeId="0" xr:uid="{9BAD4986-FEE4-4C60-8530-6C34E19D3F81}">
      <text>
        <r>
          <rPr>
            <b/>
            <sz val="9"/>
            <color indexed="81"/>
            <rFont val="Tahoma"/>
            <family val="2"/>
          </rPr>
          <t>LOTE 34</t>
        </r>
        <r>
          <rPr>
            <sz val="9"/>
            <color indexed="81"/>
            <rFont val="Tahoma"/>
            <family val="2"/>
          </rPr>
          <t xml:space="preserve">
Original: 4,238
1-Rem: 4,357
</t>
        </r>
      </text>
    </comment>
    <comment ref="Q46" authorId="0" shapeId="0" xr:uid="{98DE213C-0AEE-4B34-A03D-B8FEA8DF9947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>Original: 702,454
Testigo: 706,192
Sobre Plateado: 684,695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" authorId="0" shapeId="0" xr:uid="{1486ABB8-6565-42DB-B9F1-573C795F76AD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 xml:space="preserve">Original: 686,034
1-Rem: 705,430
</t>
        </r>
      </text>
    </comment>
    <comment ref="C47" authorId="0" shapeId="0" xr:uid="{C40043D5-A7E8-4818-916B-DD30BFDAD96A}">
      <text>
        <r>
          <rPr>
            <b/>
            <sz val="9"/>
            <color indexed="81"/>
            <rFont val="Tahoma"/>
            <family val="2"/>
          </rPr>
          <t xml:space="preserve">LOTE 35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7" authorId="0" shapeId="0" xr:uid="{11E2D095-7B54-4C48-8755-9B61FBF67F00}">
      <text>
        <r>
          <rPr>
            <b/>
            <sz val="9"/>
            <color indexed="81"/>
            <rFont val="Tahoma"/>
            <family val="2"/>
          </rPr>
          <t xml:space="preserve">LOTE 35
</t>
        </r>
        <r>
          <rPr>
            <sz val="9"/>
            <color indexed="81"/>
            <rFont val="Tahoma"/>
            <family val="2"/>
          </rPr>
          <t>Original: 4,794
Testigo:4,836
Sobre Plateado:4,709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7" authorId="0" shapeId="0" xr:uid="{0391BEC6-56F2-4B87-8C42-63477742332C}">
      <text>
        <r>
          <rPr>
            <b/>
            <sz val="9"/>
            <color indexed="81"/>
            <rFont val="Tahoma"/>
            <family val="2"/>
          </rPr>
          <t xml:space="preserve">LOTE 35
</t>
        </r>
        <r>
          <rPr>
            <sz val="9"/>
            <color indexed="81"/>
            <rFont val="Tahoma"/>
            <family val="2"/>
          </rPr>
          <t xml:space="preserve">Original: 842,393
Testigo: 841,593
Sobre Plateado: 822,419
</t>
        </r>
      </text>
    </comment>
    <comment ref="C48" authorId="0" shapeId="0" xr:uid="{36851A5F-883E-413C-9F51-7CF96EFAA2FB}">
      <text>
        <r>
          <rPr>
            <b/>
            <sz val="9"/>
            <color indexed="81"/>
            <rFont val="Tahoma"/>
            <family val="2"/>
          </rPr>
          <t xml:space="preserve">LOTE 36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8" authorId="0" shapeId="0" xr:uid="{9BF3876E-559F-49FE-87B0-F8093A1EC1FB}">
      <text>
        <r>
          <rPr>
            <b/>
            <sz val="9"/>
            <color indexed="81"/>
            <rFont val="Tahoma"/>
            <family val="2"/>
          </rPr>
          <t xml:space="preserve">LOTE 36
</t>
        </r>
        <r>
          <rPr>
            <sz val="9"/>
            <color indexed="81"/>
            <rFont val="Tahoma"/>
            <family val="2"/>
          </rPr>
          <t xml:space="preserve">Original: 4,721
Testigo:4,836
Sobre Plateado:
</t>
        </r>
      </text>
    </comment>
    <comment ref="Q48" authorId="0" shapeId="0" xr:uid="{13372BCE-41F1-40BB-B39C-465B8B069D81}">
      <text>
        <r>
          <rPr>
            <b/>
            <sz val="9"/>
            <color indexed="81"/>
            <rFont val="Tahoma"/>
            <family val="2"/>
          </rPr>
          <t xml:space="preserve">LOTE 36
</t>
        </r>
        <r>
          <rPr>
            <sz val="9"/>
            <color indexed="81"/>
            <rFont val="Tahoma"/>
            <family val="2"/>
          </rPr>
          <t>Original: 863,147
Testigo:885,667
Sobre Plateado: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 xr:uid="{475F1597-D315-4836-A6E1-F5300D07B56A}">
      <text>
        <r>
          <rPr>
            <b/>
            <sz val="9"/>
            <color indexed="81"/>
            <rFont val="Tahoma"/>
            <family val="2"/>
          </rPr>
          <t xml:space="preserve">LOTE 37
FECHA DE ENVIO:
</t>
        </r>
        <r>
          <rPr>
            <sz val="9"/>
            <color indexed="81"/>
            <rFont val="Tahoma"/>
            <family val="2"/>
          </rPr>
          <t>Revisión:N/A
Remuestreo:N/A
Liberacion:21/04/2026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0" shapeId="0" xr:uid="{B197ADBB-F9CE-4C66-A6C0-809788DD98A2}">
      <text>
        <r>
          <rPr>
            <b/>
            <sz val="9"/>
            <color indexed="81"/>
            <rFont val="Tahoma"/>
            <family val="2"/>
          </rPr>
          <t xml:space="preserve">LOTE 38
FECHA DE ENVIO:
</t>
        </r>
        <r>
          <rPr>
            <sz val="9"/>
            <color indexed="81"/>
            <rFont val="Tahoma"/>
            <family val="2"/>
          </rPr>
          <t xml:space="preserve">Revisión:N/A
Remuestreo:N/A
Liberacion:21/04/2026
</t>
        </r>
      </text>
    </comment>
    <comment ref="C51" authorId="0" shapeId="0" xr:uid="{B1FE8BF0-5F79-472D-8F56-CDBC6D250265}">
      <text>
        <r>
          <rPr>
            <b/>
            <sz val="9"/>
            <color indexed="81"/>
            <rFont val="Tahoma"/>
            <family val="2"/>
          </rPr>
          <t>LOTE 39
FECHA DE ENVIO</t>
        </r>
        <r>
          <rPr>
            <sz val="9"/>
            <color indexed="81"/>
            <rFont val="Tahoma"/>
            <family val="2"/>
          </rPr>
          <t xml:space="preserve">
Revisión: N/a
Remuestreo:N/a
Liberacion:11/05/2026</t>
        </r>
      </text>
    </comment>
    <comment ref="C52" authorId="0" shapeId="0" xr:uid="{D24711F5-BC46-45E1-BE85-B71FA00E3403}">
      <text>
        <r>
          <rPr>
            <b/>
            <sz val="9"/>
            <color indexed="81"/>
            <rFont val="Tahoma"/>
            <family val="2"/>
          </rPr>
          <t xml:space="preserve">LOTE 40
FECHA DE ENVIO:
</t>
        </r>
        <r>
          <rPr>
            <sz val="9"/>
            <color indexed="81"/>
            <rFont val="Tahoma"/>
            <family val="2"/>
          </rPr>
          <t xml:space="preserve">Revisión:N/A
Remuestreo:N/A
Liberacion:21/04/2026
</t>
        </r>
      </text>
    </comment>
    <comment ref="C53" authorId="0" shapeId="0" xr:uid="{B0E67116-F03C-490B-B49A-96765C596087}">
      <text>
        <r>
          <rPr>
            <b/>
            <sz val="9"/>
            <color indexed="81"/>
            <rFont val="Tahoma"/>
            <family val="2"/>
          </rPr>
          <t xml:space="preserve">LOTE 41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4" authorId="0" shapeId="0" xr:uid="{2AD2C0B1-E59F-47A7-8B72-8AC138DB85FA}">
      <text>
        <r>
          <rPr>
            <b/>
            <sz val="9"/>
            <color indexed="81"/>
            <rFont val="Tahoma"/>
            <family val="2"/>
          </rPr>
          <t xml:space="preserve">LOTE 42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5" authorId="0" shapeId="0" xr:uid="{BB9B7965-3752-4F9E-A100-CCD16013F8E1}">
      <text>
        <r>
          <rPr>
            <b/>
            <sz val="9"/>
            <color indexed="81"/>
            <rFont val="Tahoma"/>
            <family val="2"/>
          </rPr>
          <t xml:space="preserve">LOTE 43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6" authorId="0" shapeId="0" xr:uid="{8073B41F-F6FD-44CD-ABD4-9F465A778CAD}">
      <text>
        <r>
          <rPr>
            <b/>
            <sz val="9"/>
            <color indexed="81"/>
            <rFont val="Tahoma"/>
            <family val="2"/>
          </rPr>
          <t xml:space="preserve">LOTE 44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7" authorId="0" shapeId="0" xr:uid="{0DEA6B49-8747-422B-A140-8F55385EABCA}">
      <text>
        <r>
          <rPr>
            <b/>
            <sz val="9"/>
            <color indexed="81"/>
            <rFont val="Tahoma"/>
            <family val="2"/>
          </rPr>
          <t xml:space="preserve">LOTE 45
FECHA DE ENVIO
</t>
        </r>
        <r>
          <rPr>
            <sz val="9"/>
            <color indexed="81"/>
            <rFont val="Tahoma"/>
            <family val="2"/>
          </rPr>
          <t xml:space="preserve">Revisión: 15/05/2026
Remuestreo: 12/06/2026
Liberacion:04/08/2026
</t>
        </r>
      </text>
    </comment>
    <comment ref="I57" authorId="0" shapeId="0" xr:uid="{35F5AC75-8685-4714-8D8B-A437FD5B1A01}">
      <text>
        <r>
          <rPr>
            <b/>
            <sz val="9"/>
            <color indexed="81"/>
            <rFont val="Tahoma"/>
            <family val="2"/>
          </rPr>
          <t>LOTE 45</t>
        </r>
        <r>
          <rPr>
            <sz val="9"/>
            <color indexed="81"/>
            <rFont val="Tahoma"/>
            <family val="2"/>
          </rPr>
          <t xml:space="preserve">
Original: 4,791
Testigo: 4,774
Sobre Plateado:4,593
</t>
        </r>
      </text>
    </comment>
    <comment ref="J57" authorId="0" shapeId="0" xr:uid="{0C360E76-B2FC-49BC-AA1F-6D43619B368B}">
      <text>
        <r>
          <rPr>
            <b/>
            <sz val="9"/>
            <color indexed="81"/>
            <rFont val="Tahoma"/>
            <family val="2"/>
          </rPr>
          <t xml:space="preserve">LOTE 45
</t>
        </r>
        <r>
          <rPr>
            <sz val="9"/>
            <color indexed="81"/>
            <rFont val="Tahoma"/>
            <family val="2"/>
          </rPr>
          <t>Original: 4,641
1-Rem: 4,810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7" authorId="0" shapeId="0" xr:uid="{B5C8DAA3-D82C-495C-8EC1-5B6A27B26FD8}">
      <text>
        <r>
          <rPr>
            <b/>
            <sz val="9"/>
            <color indexed="81"/>
            <rFont val="Tahoma"/>
            <family val="2"/>
          </rPr>
          <t xml:space="preserve">LOTE 45
</t>
        </r>
        <r>
          <rPr>
            <sz val="9"/>
            <color indexed="81"/>
            <rFont val="Tahoma"/>
            <family val="2"/>
          </rPr>
          <t xml:space="preserve">Original: 853,954
Testigo: 852,207
Sobre Plateado: 824,968
</t>
        </r>
      </text>
    </comment>
    <comment ref="R57" authorId="0" shapeId="0" xr:uid="{415C82DD-D106-4F27-BACE-008BA8B0316F}">
      <text>
        <r>
          <rPr>
            <b/>
            <sz val="9"/>
            <color indexed="81"/>
            <rFont val="Tahoma"/>
            <family val="2"/>
          </rPr>
          <t>LOTE 45</t>
        </r>
        <r>
          <rPr>
            <sz val="9"/>
            <color indexed="81"/>
            <rFont val="Tahoma"/>
            <family val="2"/>
          </rPr>
          <t xml:space="preserve">
Original: 826,672
1-Rem: 852,081
</t>
        </r>
      </text>
    </comment>
    <comment ref="C58" authorId="0" shapeId="0" xr:uid="{A62B123F-BBEC-47CF-BA53-3980A12F993F}">
      <text>
        <r>
          <rPr>
            <b/>
            <sz val="9"/>
            <color indexed="81"/>
            <rFont val="Tahoma"/>
            <family val="2"/>
          </rPr>
          <t xml:space="preserve">LOTE 46
FECHA DE ENVIO
</t>
        </r>
        <r>
          <rPr>
            <sz val="9"/>
            <color indexed="81"/>
            <rFont val="Tahoma"/>
            <family val="2"/>
          </rPr>
          <t>Revisión: N/a
Remuestreo:N/a
Liberacion:15/05/2026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" authorId="0" shapeId="0" xr:uid="{1A732848-5639-4312-B035-49978BB6C8A6}">
      <text>
        <r>
          <rPr>
            <b/>
            <sz val="9"/>
            <color indexed="81"/>
            <rFont val="Tahoma"/>
            <family val="2"/>
          </rPr>
          <t xml:space="preserve">LOTE 47
FECHA DE ENVIO
</t>
        </r>
        <r>
          <rPr>
            <sz val="9"/>
            <color indexed="81"/>
            <rFont val="Tahoma"/>
            <family val="2"/>
          </rPr>
          <t xml:space="preserve">Revisión: N/a
Remuestreo:N/a
Liberacion:15/05/2026
</t>
        </r>
      </text>
    </comment>
    <comment ref="C60" authorId="0" shapeId="0" xr:uid="{E9F28780-3685-487A-88BA-2778F0E1F644}">
      <text>
        <r>
          <rPr>
            <b/>
            <sz val="9"/>
            <color indexed="81"/>
            <rFont val="Tahoma"/>
            <family val="2"/>
          </rPr>
          <t xml:space="preserve">LOTE 48
FECHA DE ENVIO
</t>
        </r>
        <r>
          <rPr>
            <sz val="9"/>
            <color indexed="81"/>
            <rFont val="Tahoma"/>
            <family val="2"/>
          </rPr>
          <t>Revisión: N/a
Remuestreo:N/a
Liberacion:27/05/2026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" authorId="0" shapeId="0" xr:uid="{365CB474-04F9-4879-B7E4-3BA950361645}">
      <text>
        <r>
          <rPr>
            <b/>
            <sz val="9"/>
            <color indexed="81"/>
            <rFont val="Tahoma"/>
            <family val="2"/>
          </rPr>
          <t xml:space="preserve">LOTE 49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2" authorId="0" shapeId="0" xr:uid="{91FB8DAD-4AD7-46EC-A9AE-BB2405B75CFA}">
      <text>
        <r>
          <rPr>
            <b/>
            <sz val="9"/>
            <color indexed="81"/>
            <rFont val="Tahoma"/>
            <family val="2"/>
          </rPr>
          <t xml:space="preserve">LOTE 50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3" authorId="0" shapeId="0" xr:uid="{37927289-3A91-44AE-A411-E512A6369D84}">
      <text>
        <r>
          <rPr>
            <b/>
            <sz val="9"/>
            <color indexed="81"/>
            <rFont val="Tahoma"/>
            <family val="2"/>
          </rPr>
          <t xml:space="preserve">LOTE 51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4" authorId="0" shapeId="0" xr:uid="{178D3C5A-9DED-4F90-9275-FD51679E0C6C}">
      <text>
        <r>
          <rPr>
            <b/>
            <sz val="9"/>
            <color indexed="81"/>
            <rFont val="Tahoma"/>
            <family val="2"/>
          </rPr>
          <t xml:space="preserve">LOTE 52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5" authorId="0" shapeId="0" xr:uid="{B69F80DC-0849-4A3D-B6D9-C7B1EEA6B85C}">
      <text>
        <r>
          <rPr>
            <b/>
            <sz val="9"/>
            <color indexed="81"/>
            <rFont val="Tahoma"/>
            <family val="2"/>
          </rPr>
          <t xml:space="preserve">LOTE 53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6" authorId="0" shapeId="0" xr:uid="{17FA2BD1-978E-43E9-B670-8C714FB45BD5}">
      <text>
        <r>
          <rPr>
            <b/>
            <sz val="9"/>
            <color indexed="81"/>
            <rFont val="Tahoma"/>
            <family val="2"/>
          </rPr>
          <t xml:space="preserve">LOTE 54
FECHA DE ENVIO
</t>
        </r>
        <r>
          <rPr>
            <sz val="9"/>
            <color indexed="81"/>
            <rFont val="Tahoma"/>
            <family val="2"/>
          </rPr>
          <t>Revisión: N/a
Remuestreo:N/a
Liberacion:24/06/2026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" authorId="0" shapeId="0" xr:uid="{0CC4EE17-5513-43EE-8B2E-8ED452653356}">
      <text>
        <r>
          <rPr>
            <b/>
            <sz val="9"/>
            <color indexed="81"/>
            <rFont val="Tahoma"/>
            <family val="2"/>
          </rPr>
          <t xml:space="preserve">LOTE 55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8" authorId="0" shapeId="0" xr:uid="{5639E0C9-F796-4CAB-B679-9D9558637368}">
      <text>
        <r>
          <rPr>
            <b/>
            <sz val="9"/>
            <color indexed="81"/>
            <rFont val="Tahoma"/>
            <family val="2"/>
          </rPr>
          <t xml:space="preserve">LOTE 56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9" authorId="0" shapeId="0" xr:uid="{6A46303F-99E1-42BD-BB1D-C887C3B8B6D1}">
      <text>
        <r>
          <rPr>
            <b/>
            <sz val="9"/>
            <color indexed="81"/>
            <rFont val="Tahoma"/>
            <family val="2"/>
          </rPr>
          <t xml:space="preserve">LOTE 57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70" authorId="0" shapeId="0" xr:uid="{F97CA1E3-B662-4136-9A57-E4A2B713CA86}">
      <text>
        <r>
          <rPr>
            <b/>
            <sz val="9"/>
            <color indexed="81"/>
            <rFont val="Tahoma"/>
            <family val="2"/>
          </rPr>
          <t xml:space="preserve">LOTE 58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71" authorId="0" shapeId="0" xr:uid="{30E816D5-AEC4-4FB0-8A91-BE964DA5FC1F}">
      <text>
        <r>
          <rPr>
            <b/>
            <sz val="9"/>
            <color indexed="81"/>
            <rFont val="Tahoma"/>
            <family val="2"/>
          </rPr>
          <t xml:space="preserve">LOTE 59
FECHA DE ENVIO
</t>
        </r>
        <r>
          <rPr>
            <sz val="9"/>
            <color indexed="81"/>
            <rFont val="Tahoma"/>
            <family val="2"/>
          </rPr>
          <t>Revisión: N/a
Remuestreo:N/a
Liberacion:12/06/2026</t>
        </r>
      </text>
    </comment>
    <comment ref="C72" authorId="0" shapeId="0" xr:uid="{A90054F0-646D-4363-9598-05C851D20F21}">
      <text>
        <r>
          <rPr>
            <b/>
            <sz val="9"/>
            <color indexed="81"/>
            <rFont val="Tahoma"/>
            <family val="2"/>
          </rPr>
          <t xml:space="preserve">LOTE 60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3" authorId="0" shapeId="0" xr:uid="{091CE220-19CB-4C42-8C39-AD809D161FF8}">
      <text>
        <r>
          <rPr>
            <b/>
            <sz val="9"/>
            <color indexed="81"/>
            <rFont val="Tahoma"/>
            <family val="2"/>
          </rPr>
          <t xml:space="preserve">LOTE 61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4" authorId="0" shapeId="0" xr:uid="{78BCF272-4519-46E8-AB9F-3926F32ECD27}">
      <text>
        <r>
          <rPr>
            <b/>
            <sz val="9"/>
            <color indexed="81"/>
            <rFont val="Tahoma"/>
            <family val="2"/>
          </rPr>
          <t xml:space="preserve">LOTE 62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5" authorId="0" shapeId="0" xr:uid="{8B3CD80E-9182-49DF-8B2D-74AE9B69C749}">
      <text>
        <r>
          <rPr>
            <b/>
            <sz val="9"/>
            <color indexed="81"/>
            <rFont val="Tahoma"/>
            <family val="2"/>
          </rPr>
          <t xml:space="preserve">LOTE 63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6" authorId="0" shapeId="0" xr:uid="{A0B3DAA9-98FA-4D1B-8C9F-905A9A534777}">
      <text>
        <r>
          <rPr>
            <b/>
            <sz val="9"/>
            <color indexed="81"/>
            <rFont val="Tahoma"/>
            <family val="2"/>
          </rPr>
          <t xml:space="preserve">LOTE 64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7" authorId="0" shapeId="0" xr:uid="{A91A2942-FFAC-425D-A365-50CB3A768EBC}">
      <text>
        <r>
          <rPr>
            <b/>
            <sz val="9"/>
            <color indexed="81"/>
            <rFont val="Tahoma"/>
            <family val="2"/>
          </rPr>
          <t xml:space="preserve">LOTE 65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8" authorId="0" shapeId="0" xr:uid="{707E695F-E770-4709-866C-F5AFF1CD1CD9}">
      <text>
        <r>
          <rPr>
            <b/>
            <sz val="9"/>
            <color indexed="81"/>
            <rFont val="Tahoma"/>
            <family val="2"/>
          </rPr>
          <t xml:space="preserve">LOTE 66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9" authorId="0" shapeId="0" xr:uid="{41353E40-DD1C-4363-A254-7322F7D296F9}">
      <text>
        <r>
          <rPr>
            <b/>
            <sz val="9"/>
            <color indexed="81"/>
            <rFont val="Tahoma"/>
            <family val="2"/>
          </rPr>
          <t xml:space="preserve">LOTE 67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80" authorId="0" shapeId="0" xr:uid="{CC0F40E7-661F-4B3C-9425-0E8582E1C77E}">
      <text>
        <r>
          <rPr>
            <b/>
            <sz val="9"/>
            <color indexed="81"/>
            <rFont val="Tahoma"/>
            <family val="2"/>
          </rPr>
          <t xml:space="preserve">LOTE 68
FECHA DE ENVIO
</t>
        </r>
        <r>
          <rPr>
            <sz val="9"/>
            <color indexed="81"/>
            <rFont val="Tahoma"/>
            <family val="2"/>
          </rPr>
          <t>Revisión: N/a
Remuestreo:N/a
Liberacion:09/07/2026</t>
        </r>
      </text>
    </comment>
    <comment ref="C81" authorId="0" shapeId="0" xr:uid="{C144A5C0-C947-4044-AFE4-5100442B55D7}">
      <text>
        <r>
          <rPr>
            <b/>
            <sz val="9"/>
            <color indexed="81"/>
            <rFont val="Tahoma"/>
            <family val="2"/>
          </rPr>
          <t xml:space="preserve">LOTE 69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82" authorId="0" shapeId="0" xr:uid="{FF3A0091-CA8E-4B60-8F9A-F26A4D781E93}">
      <text>
        <r>
          <rPr>
            <b/>
            <sz val="9"/>
            <color indexed="81"/>
            <rFont val="Tahoma"/>
            <family val="2"/>
          </rPr>
          <t>LOTE 70
FECHA DE ENVIO</t>
        </r>
        <r>
          <rPr>
            <sz val="9"/>
            <color indexed="81"/>
            <rFont val="Tahoma"/>
            <family val="2"/>
          </rPr>
          <t xml:space="preserve">
Revisión:N/A
Remuestreo:N/A
Liberación:23/07/2026
</t>
        </r>
      </text>
    </comment>
    <comment ref="C83" authorId="0" shapeId="0" xr:uid="{4EDC7762-1732-41BF-8D1F-E19A2DE8DA2C}">
      <text>
        <r>
          <rPr>
            <b/>
            <sz val="9"/>
            <color indexed="81"/>
            <rFont val="Tahoma"/>
            <family val="2"/>
          </rPr>
          <t>LOTE 71
FECHA DE ENVIO</t>
        </r>
        <r>
          <rPr>
            <sz val="9"/>
            <color indexed="81"/>
            <rFont val="Tahoma"/>
            <family val="2"/>
          </rPr>
          <t xml:space="preserve">
Revisión:N/A
1-Remuestreo:N/A
Liberación: 19/08/2026
</t>
        </r>
      </text>
    </comment>
    <comment ref="C84" authorId="0" shapeId="0" xr:uid="{A5BCC645-6B3F-48CA-901E-F74061C26241}">
      <text>
        <r>
          <rPr>
            <b/>
            <sz val="9"/>
            <color indexed="81"/>
            <rFont val="Tahoma"/>
            <family val="2"/>
          </rPr>
          <t xml:space="preserve">LOTE 72
FECHA DE ENVIO
</t>
        </r>
        <r>
          <rPr>
            <sz val="9"/>
            <color indexed="81"/>
            <rFont val="Tahoma"/>
            <family val="2"/>
          </rPr>
          <t>Revisión: N/A
Remuestreo:N/A
Liberación:29/07/2026</t>
        </r>
      </text>
    </comment>
    <comment ref="C85" authorId="0" shapeId="0" xr:uid="{97BDB8FF-FC09-4A01-9C7C-4E1521162AAE}">
      <text>
        <r>
          <rPr>
            <b/>
            <sz val="9"/>
            <color indexed="81"/>
            <rFont val="Tahoma"/>
            <family val="2"/>
          </rPr>
          <t xml:space="preserve">LOTE 73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86" authorId="0" shapeId="0" xr:uid="{94A95348-8B10-4B7B-A357-53AEE5BA5167}">
      <text>
        <r>
          <rPr>
            <b/>
            <sz val="9"/>
            <color indexed="81"/>
            <rFont val="Tahoma"/>
            <family val="2"/>
          </rPr>
          <t xml:space="preserve">LOTE 74
FECHA DE ENVIO
</t>
        </r>
        <r>
          <rPr>
            <sz val="9"/>
            <color indexed="81"/>
            <rFont val="Tahoma"/>
            <family val="2"/>
          </rPr>
          <t xml:space="preserve">Revisión:29/07/2026
Remuestreo:
Liberación:
</t>
        </r>
      </text>
    </comment>
    <comment ref="C87" authorId="0" shapeId="0" xr:uid="{BB65FC6D-4FFD-44E3-9D02-6BA8A14B7F44}">
      <text>
        <r>
          <rPr>
            <b/>
            <sz val="9"/>
            <color indexed="81"/>
            <rFont val="Tahoma"/>
            <family val="2"/>
          </rPr>
          <t xml:space="preserve">LOTE 75
FECHA DE ENVIO
</t>
        </r>
        <r>
          <rPr>
            <sz val="9"/>
            <color indexed="81"/>
            <rFont val="Tahoma"/>
            <family val="2"/>
          </rPr>
          <t>Revisión: N/A
Remuestreo:N/A
Liberación:29/07/2026</t>
        </r>
      </text>
    </comment>
    <comment ref="C88" authorId="0" shapeId="0" xr:uid="{52578003-5EB0-4FC0-B948-C5A7E3C4B800}">
      <text>
        <r>
          <rPr>
            <b/>
            <sz val="9"/>
            <color indexed="81"/>
            <rFont val="Tahoma"/>
            <family val="2"/>
          </rPr>
          <t xml:space="preserve">LOTE 76
FECHA DE ENVIO
</t>
        </r>
        <r>
          <rPr>
            <sz val="9"/>
            <color indexed="81"/>
            <rFont val="Tahoma"/>
            <family val="2"/>
          </rPr>
          <t xml:space="preserve">Revisión: N/A
Remuestreo:N/A
Liberación:29/07/2026
</t>
        </r>
      </text>
    </comment>
    <comment ref="C89" authorId="0" shapeId="0" xr:uid="{D6A8A57F-3A94-44F0-9B2A-67E0EEFBE968}">
      <text>
        <r>
          <rPr>
            <b/>
            <sz val="9"/>
            <color indexed="81"/>
            <rFont val="Tahoma"/>
            <family val="2"/>
          </rPr>
          <t>LOTE 77
FECHA DE ENVIO</t>
        </r>
        <r>
          <rPr>
            <sz val="9"/>
            <color indexed="81"/>
            <rFont val="Tahoma"/>
            <family val="2"/>
          </rPr>
          <t xml:space="preserve">
Revisión: N/A
Remuestreo:N/A
Liberación:04/08/2026
</t>
        </r>
      </text>
    </comment>
    <comment ref="C90" authorId="0" shapeId="0" xr:uid="{E52BD658-2E7C-4AE1-A787-88FCF05D46B2}">
      <text>
        <r>
          <rPr>
            <b/>
            <sz val="9"/>
            <color indexed="81"/>
            <rFont val="Tahoma"/>
            <family val="2"/>
          </rPr>
          <t xml:space="preserve">LOTE 78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1" authorId="0" shapeId="0" xr:uid="{039E911C-67DF-42B2-A250-95558EF24A76}">
      <text>
        <r>
          <rPr>
            <b/>
            <sz val="9"/>
            <color indexed="81"/>
            <rFont val="Tahoma"/>
            <family val="2"/>
          </rPr>
          <t xml:space="preserve">LOTE 79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2" authorId="1" shapeId="0" xr:uid="{D46F1D45-CD09-4D44-9D56-A298910D52B1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
*Liquidado: 15-09-26</t>
        </r>
      </text>
    </comment>
    <comment ref="C93" authorId="0" shapeId="0" xr:uid="{E2D122E3-D6C3-4CD5-B18A-1D7836487D2A}">
      <text>
        <r>
          <rPr>
            <b/>
            <sz val="9"/>
            <color indexed="81"/>
            <rFont val="Tahoma"/>
            <family val="2"/>
          </rPr>
          <t xml:space="preserve">LOTE 81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94" authorId="0" shapeId="0" xr:uid="{C3C6FE24-30AE-4837-8729-C661161ACAE3}">
      <text>
        <r>
          <rPr>
            <b/>
            <sz val="9"/>
            <color indexed="81"/>
            <rFont val="Tahoma"/>
            <family val="2"/>
          </rPr>
          <t xml:space="preserve">LOTE 82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95" authorId="1" shapeId="0" xr:uid="{7CF52C3D-688B-4C14-A067-59B819DFAD2F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
*Liquidado:15-09-26</t>
        </r>
      </text>
    </comment>
    <comment ref="C96" authorId="0" shapeId="0" xr:uid="{E7A5E355-0BC5-42F9-B3B6-EB70F695B9D4}">
      <text>
        <r>
          <rPr>
            <b/>
            <sz val="9"/>
            <color indexed="81"/>
            <rFont val="Tahoma"/>
            <family val="2"/>
          </rPr>
          <t xml:space="preserve">LOTE 84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7" authorId="0" shapeId="0" xr:uid="{1B35764D-5CAE-4F2F-83C0-28EB1E277DFD}">
      <text>
        <r>
          <rPr>
            <b/>
            <sz val="9"/>
            <color indexed="81"/>
            <rFont val="Tahoma"/>
            <family val="2"/>
          </rPr>
          <t xml:space="preserve">LOTE 85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8" authorId="0" shapeId="0" xr:uid="{28FA89CB-CF09-41AC-84B3-A5A6A6F986BE}">
      <text>
        <r>
          <rPr>
            <b/>
            <sz val="9"/>
            <color indexed="81"/>
            <rFont val="Tahoma"/>
            <family val="2"/>
          </rPr>
          <t xml:space="preserve">LOTE 86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9" authorId="0" shapeId="0" xr:uid="{CFC509EA-05F7-412B-8B14-B3205CC03C9A}">
      <text>
        <r>
          <rPr>
            <b/>
            <sz val="9"/>
            <color indexed="81"/>
            <rFont val="Tahoma"/>
            <family val="2"/>
          </rPr>
          <t>LOTE 87
FECHA DE ENVIO</t>
        </r>
        <r>
          <rPr>
            <sz val="9"/>
            <color indexed="81"/>
            <rFont val="Tahoma"/>
            <family val="2"/>
          </rPr>
          <t xml:space="preserve">
Revisión: N/A
Remuestreo: N/A
Liberación:14/08/2026
</t>
        </r>
      </text>
    </comment>
    <comment ref="C100" authorId="0" shapeId="0" xr:uid="{132A297B-4F7B-41BD-93F6-75A401B56A40}">
      <text>
        <r>
          <rPr>
            <b/>
            <sz val="9"/>
            <color indexed="81"/>
            <rFont val="Tahoma"/>
            <family val="2"/>
          </rPr>
          <t xml:space="preserve">LOTE 88
FECHA DE ENVIO:
</t>
        </r>
        <r>
          <rPr>
            <sz val="9"/>
            <color indexed="81"/>
            <rFont val="Tahoma"/>
            <family val="2"/>
          </rPr>
          <t>Revisión: N/A
Remuestreo:14/08/2026
Liberación: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101" authorId="0" shapeId="0" xr:uid="{973B9E0D-2762-4F38-8E13-A3C622F7C530}">
      <text>
        <r>
          <rPr>
            <b/>
            <sz val="9"/>
            <color indexed="81"/>
            <rFont val="Tahoma"/>
            <family val="2"/>
          </rPr>
          <t xml:space="preserve">LOTE 89
FECHA DE ENVIO:
</t>
        </r>
        <r>
          <rPr>
            <sz val="9"/>
            <color indexed="81"/>
            <rFont val="Tahoma"/>
            <family val="2"/>
          </rPr>
          <t xml:space="preserve">Revisión: N/A
Remuestreo:14/08/2026
Liberación:
</t>
        </r>
      </text>
    </comment>
    <comment ref="C102" authorId="0" shapeId="0" xr:uid="{8AE82294-7396-4D39-A519-AF901838AA6E}">
      <text>
        <r>
          <rPr>
            <b/>
            <sz val="9"/>
            <color indexed="81"/>
            <rFont val="Tahoma"/>
            <family val="2"/>
          </rPr>
          <t xml:space="preserve">LOTE 90
FECHA DE ENVIO
</t>
        </r>
        <r>
          <rPr>
            <sz val="9"/>
            <color indexed="81"/>
            <rFont val="Tahoma"/>
            <family val="2"/>
          </rPr>
          <t>Revisión: N/A
Remuestreo: N/A
Liberación:14/08/2026</t>
        </r>
      </text>
    </comment>
    <comment ref="C103" authorId="0" shapeId="0" xr:uid="{456BA30C-C1C6-431A-B6DC-6F4B1FD56A01}">
      <text>
        <r>
          <rPr>
            <b/>
            <sz val="9"/>
            <color indexed="81"/>
            <rFont val="Tahoma"/>
            <family val="2"/>
          </rPr>
          <t>LOTE 91
FECHA DE ENVIO</t>
        </r>
        <r>
          <rPr>
            <sz val="9"/>
            <color indexed="81"/>
            <rFont val="Tahoma"/>
            <family val="2"/>
          </rPr>
          <t xml:space="preserve">
Revisión: N/A
Remuestreo: N/A
Liberación:14/08/2026
</t>
        </r>
      </text>
    </comment>
    <comment ref="C104" authorId="0" shapeId="0" xr:uid="{99736089-D318-4573-9365-FA62BE94009E}">
      <text>
        <r>
          <rPr>
            <b/>
            <sz val="9"/>
            <color indexed="81"/>
            <rFont val="Tahoma"/>
            <family val="2"/>
          </rPr>
          <t xml:space="preserve">LOTE 92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5" authorId="0" shapeId="0" xr:uid="{2F72FCEC-D91B-45FD-A710-5EEEA99E1A9A}">
      <text>
        <r>
          <rPr>
            <b/>
            <sz val="9"/>
            <color indexed="81"/>
            <rFont val="Tahoma"/>
            <family val="2"/>
          </rPr>
          <t xml:space="preserve">LOTE 93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6" authorId="0" shapeId="0" xr:uid="{0D256433-8126-405A-8795-666977C2D8A9}">
      <text>
        <r>
          <rPr>
            <b/>
            <sz val="9"/>
            <color indexed="81"/>
            <rFont val="Tahoma"/>
            <family val="2"/>
          </rPr>
          <t xml:space="preserve">LOTE 94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7" authorId="0" shapeId="0" xr:uid="{D0284799-887D-4AE1-91F0-FD8F2E672B96}">
      <text>
        <r>
          <rPr>
            <b/>
            <sz val="9"/>
            <color indexed="81"/>
            <rFont val="Tahoma"/>
            <family val="2"/>
          </rPr>
          <t xml:space="preserve">LOTE 95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08" authorId="0" shapeId="0" xr:uid="{8217FBA8-CA95-4E44-96F7-ABB12BE1EF60}">
      <text>
        <r>
          <rPr>
            <b/>
            <sz val="9"/>
            <color indexed="81"/>
            <rFont val="Tahoma"/>
            <family val="2"/>
          </rPr>
          <t xml:space="preserve">LOTE 96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9" authorId="0" shapeId="0" xr:uid="{14313B54-37B9-4468-A8AC-438ACB5E319B}">
      <text>
        <r>
          <rPr>
            <b/>
            <sz val="9"/>
            <color indexed="81"/>
            <rFont val="Tahoma"/>
            <family val="2"/>
          </rPr>
          <t>LOTE 97
FECHA DE ENVIO</t>
        </r>
        <r>
          <rPr>
            <sz val="9"/>
            <color indexed="81"/>
            <rFont val="Tahoma"/>
            <family val="2"/>
          </rPr>
          <t xml:space="preserve">
Revisión:N/A
1-Remuestreo:N/A
Liberación:18/08/2026
</t>
        </r>
      </text>
    </comment>
    <comment ref="C110" authorId="0" shapeId="0" xr:uid="{D645E97B-A9B2-453D-B76F-145F4E46C377}">
      <text>
        <r>
          <rPr>
            <b/>
            <sz val="9"/>
            <color indexed="81"/>
            <rFont val="Tahoma"/>
            <family val="2"/>
          </rPr>
          <t xml:space="preserve">LOTE 98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Liberación:18/08/2026
</t>
        </r>
      </text>
    </comment>
    <comment ref="C111" authorId="0" shapeId="0" xr:uid="{B1C9F57D-D1C9-4409-A0BF-F9571995D545}">
      <text>
        <r>
          <rPr>
            <b/>
            <sz val="9"/>
            <color indexed="81"/>
            <rFont val="Tahoma"/>
            <family val="2"/>
          </rPr>
          <t xml:space="preserve">LOTE 99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Liberación:18/08/2026
</t>
        </r>
      </text>
    </comment>
    <comment ref="C112" authorId="0" shapeId="0" xr:uid="{2FB6EDDA-6371-4D38-8DF1-3072B8533AF8}">
      <text>
        <r>
          <rPr>
            <b/>
            <sz val="9"/>
            <color indexed="81"/>
            <rFont val="Tahoma"/>
            <family val="2"/>
          </rPr>
          <t xml:space="preserve">LOTE 100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3" authorId="0" shapeId="0" xr:uid="{3600AFB4-7C3F-4F2E-94F6-4B9C76B16B56}">
      <text>
        <r>
          <rPr>
            <b/>
            <sz val="9"/>
            <color indexed="81"/>
            <rFont val="Tahoma"/>
            <family val="2"/>
          </rPr>
          <t xml:space="preserve">LOTE 101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4" authorId="0" shapeId="0" xr:uid="{C0C1F2B0-E9C7-4388-A73E-04D21B11886E}">
      <text>
        <r>
          <rPr>
            <b/>
            <sz val="9"/>
            <color indexed="81"/>
            <rFont val="Tahoma"/>
            <family val="2"/>
          </rPr>
          <t xml:space="preserve">LOTE 102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5" authorId="0" shapeId="0" xr:uid="{1B0302DD-A267-4908-84A7-2A58B088E086}">
      <text>
        <r>
          <rPr>
            <b/>
            <sz val="9"/>
            <color indexed="81"/>
            <rFont val="Tahoma"/>
            <family val="2"/>
          </rPr>
          <t xml:space="preserve">LOTE 103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6" authorId="1" shapeId="0" xr:uid="{6AF2B32F-7C09-40AC-8A57-0533ED98B07B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15-09-26.</t>
        </r>
      </text>
    </comment>
    <comment ref="C119" authorId="1" shapeId="0" xr:uid="{7610AFE4-B78C-4D10-A853-82AC53F11E30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REVISIÓN: Se envia a GAC 07/09/2026
*Se solicita revisión con el Ing. Sergio el 07/09/26</t>
        </r>
      </text>
    </comment>
    <comment ref="C120" authorId="1" shapeId="0" xr:uid="{573426F9-27F9-4009-9916-7F8E2982BBD3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</t>
        </r>
      </text>
    </comment>
    <comment ref="C121" authorId="1" shapeId="0" xr:uid="{2ED30819-DF12-4F96-8652-1DBFA562070B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</t>
        </r>
      </text>
    </comment>
    <comment ref="C122" authorId="1" shapeId="0" xr:uid="{9A8E5790-355B-4F3E-8DF9-1663F8ADD3DE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REVISIÓN: Se envia a GAC 07/09/2026
*Se solicita revisión con el Ing. Sergio el 07/09/26</t>
        </r>
      </text>
    </comment>
  </commentList>
</comments>
</file>

<file path=xl/sharedStrings.xml><?xml version="1.0" encoding="utf-8"?>
<sst xmlns="http://schemas.openxmlformats.org/spreadsheetml/2006/main" count="575" uniqueCount="242">
  <si>
    <t xml:space="preserve">REGLAS DE NEGOCIO: </t>
  </si>
  <si>
    <t xml:space="preserve">1. Fecha de cierre, numero de lote mina, numero de lote met-mex, peso seco mina, peso seco met.mex, ensaye oro mina, ensaye plata mina, lo traerá del provem. </t>
  </si>
  <si>
    <t xml:space="preserve">3. el ensaye de oro y plata met.mex se extraerá de los archivos que manda met-mex, y se subirán para que queden como evidencia </t>
  </si>
  <si>
    <t xml:space="preserve">4. la diferencia de ensaye de oro y plata en valores unitario y porcentuales será el valor de met.mex menos el valor de mina </t>
  </si>
  <si>
    <t xml:space="preserve">5. los contenidos de oro y plata serán multilicados peso * ensaye / 1 millon </t>
  </si>
  <si>
    <t xml:space="preserve">6. El peso tiene que estar en Kilos </t>
  </si>
  <si>
    <t xml:space="preserve">7. para calcular los contenidos porcentuales es el valor de met-mex- valor mina </t>
  </si>
  <si>
    <t xml:space="preserve">8. esta información se podrá extraer a excel </t>
  </si>
  <si>
    <t xml:space="preserve">9. cuando exista remuestreo en los valores de met-mex se sustituirán de acuerdo al remuestreo </t>
  </si>
  <si>
    <t xml:space="preserve">2. La diferencia entre peso seco mina y el peso seco Met-Mex, se calculara restando del peso seco de metmex el peso seco de mina </t>
  </si>
  <si>
    <t>A20260516</t>
  </si>
  <si>
    <t xml:space="preserve"> 07/08/2026</t>
  </si>
  <si>
    <t>A20260515</t>
  </si>
  <si>
    <t>A20260514</t>
  </si>
  <si>
    <t>A20260513</t>
  </si>
  <si>
    <t>A20260510</t>
  </si>
  <si>
    <t>A20260509</t>
  </si>
  <si>
    <t>A20260508</t>
  </si>
  <si>
    <t>A20260493</t>
  </si>
  <si>
    <t>A20260492</t>
  </si>
  <si>
    <t>A20260491</t>
  </si>
  <si>
    <t>A20260490</t>
  </si>
  <si>
    <t>A20260476</t>
  </si>
  <si>
    <t>A20260475</t>
  </si>
  <si>
    <t>A20260474</t>
  </si>
  <si>
    <t>A20260473</t>
  </si>
  <si>
    <t>A20260460</t>
  </si>
  <si>
    <t>A20260459</t>
  </si>
  <si>
    <t>A20260458</t>
  </si>
  <si>
    <t>A20260457</t>
  </si>
  <si>
    <t>A20260449</t>
  </si>
  <si>
    <t xml:space="preserve">No se presentan diferencias significativas </t>
  </si>
  <si>
    <t>A20260448</t>
  </si>
  <si>
    <t xml:space="preserve">Se  solicita remustreo, ya que los valores de ambos elemntos estan  cruzados con otro lote </t>
  </si>
  <si>
    <t>A20260447</t>
  </si>
  <si>
    <t>A20260446</t>
  </si>
  <si>
    <t>A20260438</t>
  </si>
  <si>
    <t>A20260437</t>
  </si>
  <si>
    <t>A20260436</t>
  </si>
  <si>
    <t>A20260435</t>
  </si>
  <si>
    <t>A20260427</t>
  </si>
  <si>
    <t>A20260426</t>
  </si>
  <si>
    <t>A20260425</t>
  </si>
  <si>
    <t>A20260420</t>
  </si>
  <si>
    <t>A20260419</t>
  </si>
  <si>
    <t>A20260418</t>
  </si>
  <si>
    <t>A20260417</t>
  </si>
  <si>
    <t>A20260391</t>
  </si>
  <si>
    <t>A20260390</t>
  </si>
  <si>
    <t>A20260389</t>
  </si>
  <si>
    <t>A20260388</t>
  </si>
  <si>
    <t>A20260373</t>
  </si>
  <si>
    <t>72</t>
  </si>
  <si>
    <t>A20260372</t>
  </si>
  <si>
    <t>71</t>
  </si>
  <si>
    <t>A20260371</t>
  </si>
  <si>
    <t>70</t>
  </si>
  <si>
    <t>A20260370</t>
  </si>
  <si>
    <t>69</t>
  </si>
  <si>
    <t>A20260361</t>
  </si>
  <si>
    <t>68</t>
  </si>
  <si>
    <t>A20260360</t>
  </si>
  <si>
    <t>67</t>
  </si>
  <si>
    <t>A20260343</t>
  </si>
  <si>
    <t>66</t>
  </si>
  <si>
    <t>A20260342</t>
  </si>
  <si>
    <t>65</t>
  </si>
  <si>
    <t>A20260341</t>
  </si>
  <si>
    <t>64</t>
  </si>
  <si>
    <t>A20260340</t>
  </si>
  <si>
    <t>63</t>
  </si>
  <si>
    <t>A20260326</t>
  </si>
  <si>
    <t>62</t>
  </si>
  <si>
    <t>A20260325</t>
  </si>
  <si>
    <t>61</t>
  </si>
  <si>
    <t>A20260324</t>
  </si>
  <si>
    <t>60</t>
  </si>
  <si>
    <t>A20260323</t>
  </si>
  <si>
    <t>59</t>
  </si>
  <si>
    <t>A20260301</t>
  </si>
  <si>
    <t>58</t>
  </si>
  <si>
    <t>A20260300</t>
  </si>
  <si>
    <t>57</t>
  </si>
  <si>
    <t>A20260299</t>
  </si>
  <si>
    <t>56</t>
  </si>
  <si>
    <t>A20260298</t>
  </si>
  <si>
    <t>55</t>
  </si>
  <si>
    <t>A20260286</t>
  </si>
  <si>
    <t>54</t>
  </si>
  <si>
    <t>A20260285</t>
  </si>
  <si>
    <t>53</t>
  </si>
  <si>
    <t>A20260284</t>
  </si>
  <si>
    <t>52</t>
  </si>
  <si>
    <t>A20260252</t>
  </si>
  <si>
    <t>51</t>
  </si>
  <si>
    <t>A20260251</t>
  </si>
  <si>
    <t>50</t>
  </si>
  <si>
    <t>A20260250</t>
  </si>
  <si>
    <t>49</t>
  </si>
  <si>
    <t>A20260249</t>
  </si>
  <si>
    <t>48</t>
  </si>
  <si>
    <t>A20260229</t>
  </si>
  <si>
    <t>47</t>
  </si>
  <si>
    <t>A20260228</t>
  </si>
  <si>
    <t>46</t>
  </si>
  <si>
    <t xml:space="preserve">Se solicita remuestro </t>
  </si>
  <si>
    <t>A20260227</t>
  </si>
  <si>
    <t>45</t>
  </si>
  <si>
    <t>A20260226</t>
  </si>
  <si>
    <t>44</t>
  </si>
  <si>
    <t>A20260212</t>
  </si>
  <si>
    <t>43</t>
  </si>
  <si>
    <t>A20260211</t>
  </si>
  <si>
    <t>42</t>
  </si>
  <si>
    <t>A20260210</t>
  </si>
  <si>
    <t>41</t>
  </si>
  <si>
    <t>A20260209</t>
  </si>
  <si>
    <t>40</t>
  </si>
  <si>
    <t>A20260184</t>
  </si>
  <si>
    <t>39</t>
  </si>
  <si>
    <t>A20260183</t>
  </si>
  <si>
    <t>38</t>
  </si>
  <si>
    <t>A20260182</t>
  </si>
  <si>
    <t>37</t>
  </si>
  <si>
    <t xml:space="preserve">Con valores testigo, en ambos elementos (Au-Ag) se cierran las diferencias </t>
  </si>
  <si>
    <t>A20260171</t>
  </si>
  <si>
    <t>36</t>
  </si>
  <si>
    <t>A20260170</t>
  </si>
  <si>
    <t>35</t>
  </si>
  <si>
    <t>Con valores del 1-Rem. Se reducen las diferencias entre ambos elementos de (Au-Ag)</t>
  </si>
  <si>
    <t>A20260169</t>
  </si>
  <si>
    <t>34</t>
  </si>
  <si>
    <t>A20260153</t>
  </si>
  <si>
    <t>33</t>
  </si>
  <si>
    <t>A20260152</t>
  </si>
  <si>
    <t>32</t>
  </si>
  <si>
    <t>Con valores testigo se siguen manteniendo las diferencias para ambos elementos (Au-Ag)</t>
  </si>
  <si>
    <t>A20260151</t>
  </si>
  <si>
    <t>31</t>
  </si>
  <si>
    <t>A20260134</t>
  </si>
  <si>
    <t>30</t>
  </si>
  <si>
    <t>A20260133</t>
  </si>
  <si>
    <t>29</t>
  </si>
  <si>
    <t>A20260132</t>
  </si>
  <si>
    <t>28</t>
  </si>
  <si>
    <t>A20260119</t>
  </si>
  <si>
    <t>27</t>
  </si>
  <si>
    <t>A20260118</t>
  </si>
  <si>
    <t>26</t>
  </si>
  <si>
    <t>A20260117</t>
  </si>
  <si>
    <t>25</t>
  </si>
  <si>
    <t xml:space="preserve">Con valores del 1-Remuestreo se obtiene a favor en el Au y en contra la Ag </t>
  </si>
  <si>
    <t>A20260102</t>
  </si>
  <si>
    <t>24</t>
  </si>
  <si>
    <t xml:space="preserve">Con valores del 1-Rem. Se reducen las diferencias en la Ag, sin embargo en el Au aumento </t>
  </si>
  <si>
    <t>A20260101</t>
  </si>
  <si>
    <t>23</t>
  </si>
  <si>
    <t>A20260100</t>
  </si>
  <si>
    <t>22</t>
  </si>
  <si>
    <t>Con valores del 1-Rem. Se reduce muy poco  las diferencias entre ambos elementos de (Au-Ag)</t>
  </si>
  <si>
    <t>A20260091</t>
  </si>
  <si>
    <t>21</t>
  </si>
  <si>
    <t>A20260090</t>
  </si>
  <si>
    <t>20</t>
  </si>
  <si>
    <t>A20260089</t>
  </si>
  <si>
    <t>19</t>
  </si>
  <si>
    <t>A20260074</t>
  </si>
  <si>
    <t>18</t>
  </si>
  <si>
    <t>A20260073</t>
  </si>
  <si>
    <t>17</t>
  </si>
  <si>
    <t>A20260072</t>
  </si>
  <si>
    <t>16</t>
  </si>
  <si>
    <t>A20260061</t>
  </si>
  <si>
    <t>15</t>
  </si>
  <si>
    <t>A20260060</t>
  </si>
  <si>
    <t>14</t>
  </si>
  <si>
    <t>A20260059</t>
  </si>
  <si>
    <t>13</t>
  </si>
  <si>
    <t>A20260043</t>
  </si>
  <si>
    <t>12</t>
  </si>
  <si>
    <t>A20260042</t>
  </si>
  <si>
    <t>11</t>
  </si>
  <si>
    <t xml:space="preserve">Con valores del 1-Rem. Se reducen las diferencias en el Au, dejando un poco abierta la diferencia en la Ag </t>
  </si>
  <si>
    <t>A20260041</t>
  </si>
  <si>
    <t>10</t>
  </si>
  <si>
    <t>A20260037</t>
  </si>
  <si>
    <t>09</t>
  </si>
  <si>
    <t>A20260036</t>
  </si>
  <si>
    <t>08</t>
  </si>
  <si>
    <t>A20260035</t>
  </si>
  <si>
    <t>07</t>
  </si>
  <si>
    <t>A20260033</t>
  </si>
  <si>
    <t>06</t>
  </si>
  <si>
    <t>A20260032</t>
  </si>
  <si>
    <t>05</t>
  </si>
  <si>
    <t>A20260031</t>
  </si>
  <si>
    <t>04</t>
  </si>
  <si>
    <t>A20260005</t>
  </si>
  <si>
    <t>03</t>
  </si>
  <si>
    <t>A20260004</t>
  </si>
  <si>
    <t>02</t>
  </si>
  <si>
    <t>A20260003</t>
  </si>
  <si>
    <t>01</t>
  </si>
  <si>
    <t>Dif %</t>
  </si>
  <si>
    <t>Dif</t>
  </si>
  <si>
    <t>MMP</t>
  </si>
  <si>
    <t>MINA</t>
  </si>
  <si>
    <t>CIERRE</t>
  </si>
  <si>
    <t xml:space="preserve">OBSERVACIONES </t>
  </si>
  <si>
    <t>Cont PLATA Kg</t>
  </si>
  <si>
    <t>Ensaye PLATA gr/Ton</t>
  </si>
  <si>
    <t>Cont ORO Kg</t>
  </si>
  <si>
    <t>Ensaye ORO gr/Ton</t>
  </si>
  <si>
    <t>PESO SECO KG</t>
  </si>
  <si>
    <t>NO. DE LOTE</t>
  </si>
  <si>
    <t>FECHA</t>
  </si>
  <si>
    <t>Lotes liquidados</t>
  </si>
  <si>
    <t>Liberados por la GAC y sin liquidar</t>
  </si>
  <si>
    <t>Solicitud de remuestreo, en espera de resultados por MMP</t>
  </si>
  <si>
    <t>COMPARATIVO DE ENSAYES ORO Y PLATA AÑO 2026</t>
  </si>
  <si>
    <t xml:space="preserve">Revision, en espera de resultados de mina </t>
  </si>
  <si>
    <t xml:space="preserve">PRECIPITADO DE PLATA </t>
  </si>
  <si>
    <t>Se envia a la GAC</t>
  </si>
  <si>
    <t>Sobres plateados (enviados al Lab de mina)</t>
  </si>
  <si>
    <t>SAN JULIÁN VETAS</t>
  </si>
  <si>
    <t xml:space="preserve">ENVIO DE LOTES </t>
  </si>
  <si>
    <t xml:space="preserve">3. El ensaye de oro y plata Met-Mex se extraerá de los archivos que manda Met-Mex en PDF, y se subirAn para que queden como evidencia </t>
  </si>
  <si>
    <t>REM-2</t>
  </si>
  <si>
    <t>REM-1</t>
  </si>
  <si>
    <t xml:space="preserve">ORIGINAL </t>
  </si>
  <si>
    <t>30/03/2026</t>
  </si>
  <si>
    <t>Con valores del 1-Rem se reducen las diferencias par ambos elementos de (Au-Ag)</t>
  </si>
  <si>
    <t>11/03/2026</t>
  </si>
  <si>
    <t>24/02/2026</t>
  </si>
  <si>
    <t>19/02/2026</t>
  </si>
  <si>
    <t>14/02/2026</t>
  </si>
  <si>
    <t>Con valores del 1-Rem se reduce muy poco las diferencias par ambos elementos de (Au-Ag)</t>
  </si>
  <si>
    <t>11/02/2026</t>
  </si>
  <si>
    <t>31/1/2026</t>
  </si>
  <si>
    <t>MUESTRA</t>
  </si>
  <si>
    <t xml:space="preserve">FECHA DE CIERRE </t>
  </si>
  <si>
    <t xml:space="preserve">REMUESTREO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</si>
</sst>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#,##0.0_)\ ;[Red]\(#,##0.0\)\ "/>
    <numFmt numFmtId="166" formatCode="_-* #,##0.0_-;\-* #,##0.0_-;_-* &quot;-&quot;??_-;_-@_-"/>
    <numFmt numFmtId="167" formatCode="#,##0_)\ ;[Red]\(#,##0\)\ "/>
    <numFmt numFmtId="168" formatCode="_-* #,##0_-;\-* #,##0_-;_-* &quot;-&quot;??_-;_-@_-"/>
    <numFmt numFmtId="169" formatCode="0.000"/>
    <numFmt numFmtId="170" formatCode="#,##0.000"/>
    <numFmt numFmtId="171" formatCode="dd/mm/yyyy;@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2"/>
      <name val="Arial"/>
      <family val="2"/>
    </font>
    <font>
      <sz val="9"/>
      <color rgb="FFFF0000"/>
      <name val="Arial"/>
      <family val="2"/>
    </font>
    <font>
      <sz val="8"/>
      <color indexed="8"/>
      <name val="Arial Narrow"/>
      <family val="2"/>
    </font>
    <font>
      <b/>
      <sz val="7.5"/>
      <name val="Small Fonts"/>
      <family val="2"/>
    </font>
    <font>
      <b/>
      <sz val="7.5"/>
      <color indexed="8"/>
      <name val="Small Fonts"/>
      <family val="2"/>
    </font>
    <font>
      <sz val="16"/>
      <color indexed="8"/>
      <name val="Calibri"/>
      <family val="2"/>
    </font>
    <font>
      <sz val="12"/>
      <name val="Arial"/>
      <family val="2"/>
    </font>
    <font>
      <b/>
      <sz val="18"/>
      <name val="Arial Black"/>
      <family val="2"/>
    </font>
    <font>
      <sz val="14"/>
      <name val="Arial"/>
      <family val="2"/>
    </font>
    <font>
      <sz val="22"/>
      <color indexed="8"/>
      <name val="Calibri"/>
      <family val="2"/>
    </font>
    <font>
      <b/>
      <sz val="16"/>
      <name val="Arial"/>
      <family val="2"/>
    </font>
    <font>
      <b/>
      <u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4"/>
      <color indexed="8"/>
      <name val="Calibri"/>
      <family val="2"/>
    </font>
    <font>
      <sz val="16"/>
      <name val="Arial Black"/>
      <family val="2"/>
    </font>
    <font>
      <sz val="16"/>
      <name val="Arial"/>
      <family val="2"/>
    </font>
    <font>
      <b/>
      <sz val="22"/>
      <name val="Arial Black"/>
      <family val="2"/>
    </font>
    <font>
      <b/>
      <sz val="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/>
      <right style="thin">
        <color indexed="64"/>
      </right>
      <top style="dashDot">
        <color theme="8"/>
      </top>
      <bottom style="dashDot">
        <color theme="8"/>
      </bottom>
      <diagonal/>
    </border>
    <border>
      <left/>
      <right/>
      <top style="dashDot">
        <color theme="8"/>
      </top>
      <bottom style="dashDot">
        <color theme="8"/>
      </bottom>
      <diagonal/>
    </border>
    <border>
      <left style="thin">
        <color indexed="64"/>
      </left>
      <right/>
      <top style="dashDot">
        <color theme="8"/>
      </top>
      <bottom style="dashDot">
        <color theme="8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ashDot">
        <color theme="8"/>
      </bottom>
      <diagonal/>
    </border>
    <border>
      <left/>
      <right/>
      <top style="thin">
        <color indexed="64"/>
      </top>
      <bottom style="dashDot">
        <color theme="8"/>
      </bottom>
      <diagonal/>
    </border>
    <border>
      <left style="thin">
        <color indexed="64"/>
      </left>
      <right/>
      <top style="thin">
        <color indexed="64"/>
      </top>
      <bottom style="dashDot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thin">
        <color theme="8"/>
      </left>
      <right style="thin">
        <color indexed="64"/>
      </right>
      <top style="dashDot">
        <color theme="8"/>
      </top>
      <bottom style="thin">
        <color indexed="64"/>
      </bottom>
      <diagonal/>
    </border>
    <border>
      <left style="thin">
        <color indexed="64"/>
      </left>
      <right/>
      <top style="thin">
        <color theme="8"/>
      </top>
      <bottom style="dashDot">
        <color theme="8"/>
      </bottom>
      <diagonal/>
    </border>
    <border>
      <left style="thin">
        <color theme="8"/>
      </left>
      <right/>
      <top style="dashDot">
        <color theme="8"/>
      </top>
      <bottom style="thin">
        <color indexed="64"/>
      </bottom>
      <diagonal/>
    </border>
    <border>
      <left/>
      <right/>
      <top style="dashDot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Dot">
        <color theme="8"/>
      </bottom>
      <diagonal/>
    </border>
    <border>
      <left/>
      <right/>
      <top/>
      <bottom style="dashDot">
        <color theme="8"/>
      </bottom>
      <diagonal/>
    </border>
    <border>
      <left style="thin">
        <color indexed="64"/>
      </left>
      <right/>
      <top/>
      <bottom style="dashDot">
        <color theme="8"/>
      </bottom>
      <diagonal/>
    </border>
    <border>
      <left style="thin">
        <color indexed="64"/>
      </left>
      <right/>
      <top style="dashDot">
        <color theme="8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35">
    <xf numFmtId="0" fontId="0" fillId="0" borderId="0" xfId="0"/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0" fontId="3" fillId="0" borderId="0" xfId="1" applyFont="1" applyAlignment="1">
      <alignment vertical="center"/>
    </xf>
    <xf numFmtId="164" fontId="4" fillId="3" borderId="1" xfId="1" applyNumberFormat="1" applyFont="1" applyFill="1" applyBorder="1" applyAlignment="1" applyProtection="1">
      <alignment vertical="center"/>
      <protection locked="0"/>
    </xf>
    <xf numFmtId="165" fontId="4" fillId="0" borderId="0" xfId="1" applyNumberFormat="1" applyFont="1" applyAlignment="1" applyProtection="1">
      <alignment vertical="center"/>
      <protection locked="0"/>
    </xf>
    <xf numFmtId="166" fontId="5" fillId="0" borderId="0" xfId="2" applyNumberFormat="1" applyFont="1" applyFill="1" applyBorder="1" applyAlignment="1">
      <alignment horizontal="center" vertical="center"/>
    </xf>
    <xf numFmtId="167" fontId="4" fillId="0" borderId="0" xfId="1" applyNumberFormat="1" applyFont="1" applyAlignment="1" applyProtection="1">
      <alignment vertical="center"/>
      <protection locked="0"/>
    </xf>
    <xf numFmtId="168" fontId="6" fillId="0" borderId="0" xfId="2" applyNumberFormat="1" applyFont="1" applyFill="1" applyBorder="1" applyAlignment="1">
      <alignment horizontal="center" vertical="center"/>
    </xf>
    <xf numFmtId="169" fontId="4" fillId="0" borderId="0" xfId="1" applyNumberFormat="1" applyFont="1" applyAlignment="1" applyProtection="1">
      <alignment vertical="center"/>
      <protection locked="0"/>
    </xf>
    <xf numFmtId="169" fontId="5" fillId="0" borderId="0" xfId="2" applyNumberFormat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 applyProtection="1">
      <alignment vertical="center"/>
      <protection locked="0"/>
    </xf>
    <xf numFmtId="170" fontId="6" fillId="0" borderId="0" xfId="1" applyNumberFormat="1" applyFont="1" applyAlignment="1">
      <alignment vertical="center"/>
    </xf>
    <xf numFmtId="0" fontId="4" fillId="0" borderId="2" xfId="1" applyFont="1" applyBorder="1" applyAlignment="1">
      <alignment horizontal="center" vertical="center"/>
    </xf>
    <xf numFmtId="14" fontId="2" fillId="0" borderId="0" xfId="1" applyNumberFormat="1" applyAlignment="1">
      <alignment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166" fontId="5" fillId="2" borderId="0" xfId="2" applyNumberFormat="1" applyFont="1" applyFill="1" applyBorder="1" applyAlignment="1">
      <alignment horizontal="center" vertical="center"/>
    </xf>
    <xf numFmtId="165" fontId="4" fillId="2" borderId="0" xfId="1" applyNumberFormat="1" applyFont="1" applyFill="1" applyAlignment="1" applyProtection="1">
      <alignment vertical="center"/>
      <protection locked="0"/>
    </xf>
    <xf numFmtId="170" fontId="6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 applyProtection="1">
      <alignment vertical="center"/>
      <protection locked="0"/>
    </xf>
    <xf numFmtId="168" fontId="6" fillId="2" borderId="0" xfId="2" applyNumberFormat="1" applyFont="1" applyFill="1" applyBorder="1" applyAlignment="1">
      <alignment horizontal="center" vertical="center"/>
    </xf>
    <xf numFmtId="169" fontId="4" fillId="2" borderId="0" xfId="1" applyNumberFormat="1" applyFont="1" applyFill="1" applyAlignment="1" applyProtection="1">
      <alignment vertical="center"/>
      <protection locked="0"/>
    </xf>
    <xf numFmtId="169" fontId="5" fillId="2" borderId="0" xfId="2" applyNumberFormat="1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14" fontId="5" fillId="6" borderId="2" xfId="1" applyNumberFormat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171" fontId="5" fillId="6" borderId="2" xfId="1" quotePrefix="1" applyNumberFormat="1" applyFont="1" applyFill="1" applyBorder="1" applyAlignment="1">
      <alignment horizontal="center" vertical="center"/>
    </xf>
    <xf numFmtId="14" fontId="5" fillId="6" borderId="2" xfId="1" quotePrefix="1" applyNumberFormat="1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165" fontId="4" fillId="8" borderId="0" xfId="1" applyNumberFormat="1" applyFont="1" applyFill="1" applyAlignment="1" applyProtection="1">
      <alignment vertical="center"/>
      <protection locked="0"/>
    </xf>
    <xf numFmtId="166" fontId="5" fillId="8" borderId="0" xfId="2" applyNumberFormat="1" applyFont="1" applyFill="1" applyBorder="1" applyAlignment="1">
      <alignment horizontal="center" vertical="center"/>
    </xf>
    <xf numFmtId="167" fontId="4" fillId="8" borderId="0" xfId="1" applyNumberFormat="1" applyFont="1" applyFill="1" applyAlignment="1" applyProtection="1">
      <alignment vertical="center"/>
      <protection locked="0"/>
    </xf>
    <xf numFmtId="168" fontId="6" fillId="8" borderId="0" xfId="2" applyNumberFormat="1" applyFont="1" applyFill="1" applyBorder="1" applyAlignment="1">
      <alignment horizontal="center" vertical="center"/>
    </xf>
    <xf numFmtId="169" fontId="4" fillId="8" borderId="0" xfId="1" applyNumberFormat="1" applyFont="1" applyFill="1" applyAlignment="1" applyProtection="1">
      <alignment vertical="center"/>
      <protection locked="0"/>
    </xf>
    <xf numFmtId="169" fontId="5" fillId="8" borderId="0" xfId="2" applyNumberFormat="1" applyFont="1" applyFill="1" applyBorder="1" applyAlignment="1">
      <alignment horizontal="center" vertical="center"/>
    </xf>
    <xf numFmtId="170" fontId="6" fillId="8" borderId="0" xfId="1" applyNumberFormat="1" applyFont="1" applyFill="1" applyAlignment="1">
      <alignment vertical="center"/>
    </xf>
    <xf numFmtId="0" fontId="2" fillId="8" borderId="2" xfId="1" applyFill="1" applyBorder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4" fillId="9" borderId="2" xfId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14" fontId="5" fillId="11" borderId="2" xfId="1" quotePrefix="1" applyNumberFormat="1" applyFont="1" applyFill="1" applyBorder="1" applyAlignment="1">
      <alignment horizontal="center" vertical="center"/>
    </xf>
    <xf numFmtId="167" fontId="4" fillId="5" borderId="0" xfId="1" applyNumberFormat="1" applyFont="1" applyFill="1" applyAlignment="1" applyProtection="1">
      <alignment vertical="center"/>
      <protection locked="0"/>
    </xf>
    <xf numFmtId="168" fontId="6" fillId="5" borderId="0" xfId="2" applyNumberFormat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169" fontId="5" fillId="0" borderId="8" xfId="2" applyNumberFormat="1" applyFont="1" applyFill="1" applyBorder="1" applyAlignment="1">
      <alignment horizontal="center" vertical="center"/>
    </xf>
    <xf numFmtId="43" fontId="2" fillId="0" borderId="11" xfId="1" applyNumberFormat="1" applyBorder="1" applyAlignment="1">
      <alignment horizontal="center" vertical="center"/>
    </xf>
    <xf numFmtId="43" fontId="2" fillId="0" borderId="6" xfId="1" applyNumberFormat="1" applyBorder="1" applyAlignment="1">
      <alignment horizontal="center" vertical="center"/>
    </xf>
    <xf numFmtId="43" fontId="2" fillId="0" borderId="7" xfId="1" applyNumberFormat="1" applyBorder="1" applyAlignment="1">
      <alignment horizontal="center" vertical="center"/>
    </xf>
    <xf numFmtId="43" fontId="2" fillId="0" borderId="1" xfId="1" applyNumberFormat="1" applyBorder="1" applyAlignment="1">
      <alignment horizontal="center" vertical="center"/>
    </xf>
    <xf numFmtId="43" fontId="2" fillId="0" borderId="0" xfId="1" applyNumberFormat="1" applyAlignment="1">
      <alignment horizontal="center" vertical="center"/>
    </xf>
    <xf numFmtId="43" fontId="2" fillId="0" borderId="8" xfId="1" applyNumberFormat="1" applyBorder="1" applyAlignment="1">
      <alignment horizontal="center" vertical="center"/>
    </xf>
    <xf numFmtId="14" fontId="5" fillId="11" borderId="8" xfId="1" quotePrefix="1" applyNumberFormat="1" applyFont="1" applyFill="1" applyBorder="1" applyAlignment="1">
      <alignment horizontal="center" vertical="center"/>
    </xf>
    <xf numFmtId="43" fontId="2" fillId="0" borderId="12" xfId="1" applyNumberFormat="1" applyBorder="1" applyAlignment="1">
      <alignment horizontal="center" vertical="center"/>
    </xf>
    <xf numFmtId="43" fontId="2" fillId="0" borderId="9" xfId="1" applyNumberFormat="1" applyBorder="1" applyAlignment="1">
      <alignment horizontal="center" vertical="center"/>
    </xf>
    <xf numFmtId="43" fontId="2" fillId="0" borderId="10" xfId="1" applyNumberFormat="1" applyBorder="1" applyAlignment="1">
      <alignment horizontal="center" vertical="center"/>
    </xf>
    <xf numFmtId="14" fontId="4" fillId="0" borderId="2" xfId="1" quotePrefix="1" applyNumberFormat="1" applyFont="1" applyBorder="1" applyAlignment="1">
      <alignment horizontal="center" vertical="center"/>
    </xf>
    <xf numFmtId="43" fontId="2" fillId="0" borderId="3" xfId="1" applyNumberFormat="1" applyBorder="1" applyAlignment="1">
      <alignment horizontal="center" vertical="center"/>
    </xf>
    <xf numFmtId="43" fontId="2" fillId="0" borderId="4" xfId="1" applyNumberFormat="1" applyBorder="1" applyAlignment="1">
      <alignment horizontal="center" vertical="center"/>
    </xf>
    <xf numFmtId="43" fontId="2" fillId="0" borderId="5" xfId="1" applyNumberFormat="1" applyBorder="1" applyAlignment="1">
      <alignment horizontal="center" vertical="center"/>
    </xf>
    <xf numFmtId="167" fontId="7" fillId="0" borderId="0" xfId="1" applyNumberFormat="1" applyFont="1" applyAlignment="1" applyProtection="1">
      <alignment vertical="center"/>
      <protection locked="0"/>
    </xf>
    <xf numFmtId="170" fontId="6" fillId="0" borderId="0" xfId="1" quotePrefix="1" applyNumberFormat="1" applyFont="1" applyAlignment="1">
      <alignment vertical="center"/>
    </xf>
    <xf numFmtId="168" fontId="6" fillId="0" borderId="8" xfId="2" applyNumberFormat="1" applyFont="1" applyFill="1" applyBorder="1" applyAlignment="1">
      <alignment horizontal="center" vertical="center"/>
    </xf>
    <xf numFmtId="170" fontId="6" fillId="0" borderId="8" xfId="1" applyNumberFormat="1" applyFont="1" applyBorder="1" applyAlignment="1">
      <alignment vertical="center"/>
    </xf>
    <xf numFmtId="14" fontId="4" fillId="0" borderId="1" xfId="1" quotePrefix="1" applyNumberFormat="1" applyFont="1" applyBorder="1" applyAlignment="1">
      <alignment horizontal="center" vertical="center"/>
    </xf>
    <xf numFmtId="43" fontId="2" fillId="0" borderId="0" xfId="1" applyNumberFormat="1" applyAlignment="1">
      <alignment vertical="center"/>
    </xf>
    <xf numFmtId="167" fontId="4" fillId="10" borderId="0" xfId="1" applyNumberFormat="1" applyFont="1" applyFill="1" applyAlignment="1" applyProtection="1">
      <alignment vertical="center"/>
      <protection locked="0"/>
    </xf>
    <xf numFmtId="168" fontId="6" fillId="10" borderId="0" xfId="2" applyNumberFormat="1" applyFont="1" applyFill="1" applyBorder="1" applyAlignment="1">
      <alignment horizontal="center" vertical="center"/>
    </xf>
    <xf numFmtId="168" fontId="6" fillId="10" borderId="8" xfId="2" applyNumberFormat="1" applyFont="1" applyFill="1" applyBorder="1" applyAlignment="1">
      <alignment horizontal="center" vertical="center"/>
    </xf>
    <xf numFmtId="0" fontId="4" fillId="9" borderId="13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12" borderId="14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2" fillId="8" borderId="3" xfId="1" applyFill="1" applyBorder="1" applyAlignment="1">
      <alignment horizontal="centerContinuous" vertical="center"/>
    </xf>
    <xf numFmtId="0" fontId="10" fillId="8" borderId="4" xfId="1" applyFont="1" applyFill="1" applyBorder="1" applyAlignment="1">
      <alignment horizontal="centerContinuous" vertical="center"/>
    </xf>
    <xf numFmtId="0" fontId="2" fillId="8" borderId="4" xfId="1" applyFill="1" applyBorder="1" applyAlignment="1">
      <alignment horizontal="centerContinuous" vertical="center"/>
    </xf>
    <xf numFmtId="0" fontId="9" fillId="8" borderId="5" xfId="1" applyFont="1" applyFill="1" applyBorder="1" applyAlignment="1">
      <alignment horizontal="centerContinuous" vertical="center"/>
    </xf>
    <xf numFmtId="0" fontId="10" fillId="8" borderId="5" xfId="1" applyFont="1" applyFill="1" applyBorder="1" applyAlignment="1">
      <alignment horizontal="centerContinuous" vertical="center"/>
    </xf>
    <xf numFmtId="0" fontId="10" fillId="13" borderId="3" xfId="1" applyFont="1" applyFill="1" applyBorder="1" applyAlignment="1">
      <alignment horizontal="centerContinuous" vertical="center"/>
    </xf>
    <xf numFmtId="0" fontId="10" fillId="13" borderId="4" xfId="1" applyFont="1" applyFill="1" applyBorder="1" applyAlignment="1">
      <alignment horizontal="centerContinuous" vertical="center"/>
    </xf>
    <xf numFmtId="0" fontId="2" fillId="14" borderId="4" xfId="1" applyFill="1" applyBorder="1" applyAlignment="1">
      <alignment horizontal="centerContinuous" vertical="center"/>
    </xf>
    <xf numFmtId="0" fontId="9" fillId="13" borderId="5" xfId="1" applyFont="1" applyFill="1" applyBorder="1" applyAlignment="1">
      <alignment horizontal="centerContinuous" vertical="center"/>
    </xf>
    <xf numFmtId="0" fontId="10" fillId="13" borderId="5" xfId="1" applyFont="1" applyFill="1" applyBorder="1" applyAlignment="1">
      <alignment horizontal="centerContinuous" vertical="center"/>
    </xf>
    <xf numFmtId="0" fontId="9" fillId="13" borderId="9" xfId="1" applyFont="1" applyFill="1" applyBorder="1" applyAlignment="1">
      <alignment horizontal="centerContinuous" vertical="center"/>
    </xf>
    <xf numFmtId="0" fontId="10" fillId="13" borderId="10" xfId="1" applyFont="1" applyFill="1" applyBorder="1" applyAlignment="1">
      <alignment horizontal="centerContinuous" vertical="center"/>
    </xf>
    <xf numFmtId="0" fontId="9" fillId="0" borderId="12" xfId="1" applyFont="1" applyBorder="1" applyAlignment="1">
      <alignment horizontal="centerContinuous" vertical="center"/>
    </xf>
    <xf numFmtId="0" fontId="9" fillId="0" borderId="10" xfId="1" applyFont="1" applyBorder="1" applyAlignment="1">
      <alignment horizontal="centerContinuous" vertical="center"/>
    </xf>
    <xf numFmtId="0" fontId="10" fillId="0" borderId="14" xfId="1" applyFont="1" applyBorder="1" applyAlignment="1">
      <alignment horizontal="center" vertical="center"/>
    </xf>
    <xf numFmtId="0" fontId="2" fillId="0" borderId="0" xfId="1" applyAlignment="1">
      <alignment horizontal="centerContinuous" vertical="center"/>
    </xf>
    <xf numFmtId="0" fontId="11" fillId="0" borderId="0" xfId="1" applyFont="1" applyAlignment="1">
      <alignment horizontal="centerContinuous" vertical="center"/>
    </xf>
    <xf numFmtId="0" fontId="11" fillId="15" borderId="0" xfId="1" applyFont="1" applyFill="1" applyAlignment="1">
      <alignment horizontal="centerContinuous" vertical="center"/>
    </xf>
    <xf numFmtId="0" fontId="11" fillId="2" borderId="0" xfId="1" applyFont="1" applyFill="1" applyAlignment="1">
      <alignment horizontal="centerContinuous" vertical="center"/>
    </xf>
    <xf numFmtId="0" fontId="2" fillId="15" borderId="0" xfId="1" applyFill="1" applyAlignment="1">
      <alignment horizontal="centerContinuous" vertical="center"/>
    </xf>
    <xf numFmtId="169" fontId="2" fillId="0" borderId="0" xfId="1" applyNumberForma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12" fillId="0" borderId="0" xfId="1" applyFont="1" applyAlignment="1">
      <alignment horizontal="centerContinuous" vertical="center"/>
    </xf>
    <xf numFmtId="0" fontId="2" fillId="9" borderId="0" xfId="1" applyFill="1" applyAlignment="1">
      <alignment vertical="center"/>
    </xf>
    <xf numFmtId="0" fontId="2" fillId="7" borderId="0" xfId="1" applyFill="1" applyAlignment="1">
      <alignment vertical="center"/>
    </xf>
    <xf numFmtId="0" fontId="2" fillId="10" borderId="0" xfId="1" applyFill="1" applyAlignment="1">
      <alignment vertical="center"/>
    </xf>
    <xf numFmtId="0" fontId="2" fillId="5" borderId="0" xfId="1" applyFill="1" applyAlignment="1">
      <alignment vertical="center"/>
    </xf>
    <xf numFmtId="0" fontId="13" fillId="0" borderId="0" xfId="1" applyFont="1" applyAlignment="1">
      <alignment horizontal="centerContinuous" vertical="center"/>
    </xf>
    <xf numFmtId="0" fontId="14" fillId="0" borderId="0" xfId="1" applyFont="1" applyAlignment="1">
      <alignment horizontal="centerContinuous" vertical="center"/>
    </xf>
    <xf numFmtId="0" fontId="2" fillId="8" borderId="0" xfId="1" applyFill="1" applyAlignment="1">
      <alignment vertical="center"/>
    </xf>
    <xf numFmtId="0" fontId="15" fillId="0" borderId="0" xfId="1" applyFont="1" applyAlignment="1">
      <alignment horizontal="centerContinuous" vertical="center"/>
    </xf>
    <xf numFmtId="0" fontId="15" fillId="15" borderId="0" xfId="1" applyFont="1" applyFill="1" applyAlignment="1">
      <alignment horizontal="centerContinuous" vertical="center"/>
    </xf>
    <xf numFmtId="0" fontId="15" fillId="2" borderId="0" xfId="1" applyFont="1" applyFill="1" applyAlignment="1">
      <alignment horizontal="centerContinuous" vertical="center"/>
    </xf>
    <xf numFmtId="0" fontId="16" fillId="0" borderId="0" xfId="1" applyFont="1" applyAlignment="1">
      <alignment horizontal="centerContinuous" vertical="center"/>
    </xf>
    <xf numFmtId="0" fontId="2" fillId="11" borderId="0" xfId="1" applyFill="1" applyAlignment="1">
      <alignment vertical="center"/>
    </xf>
    <xf numFmtId="0" fontId="17" fillId="0" borderId="0" xfId="1" applyFont="1" applyAlignment="1">
      <alignment vertical="center"/>
    </xf>
    <xf numFmtId="0" fontId="1" fillId="0" borderId="0" xfId="0" applyFont="1"/>
    <xf numFmtId="0" fontId="0" fillId="0" borderId="0" xfId="0" quotePrefix="1"/>
    <xf numFmtId="0" fontId="2" fillId="0" borderId="0" xfId="1" applyAlignment="1">
      <alignment horizontal="center" vertical="center"/>
    </xf>
    <xf numFmtId="0" fontId="20" fillId="0" borderId="0" xfId="1" applyFont="1" applyAlignment="1">
      <alignment horizontal="center" vertical="center"/>
    </xf>
    <xf numFmtId="164" fontId="4" fillId="16" borderId="11" xfId="1" applyNumberFormat="1" applyFont="1" applyFill="1" applyBorder="1" applyAlignment="1" applyProtection="1">
      <alignment vertical="center"/>
      <protection locked="0"/>
    </xf>
    <xf numFmtId="165" fontId="4" fillId="0" borderId="6" xfId="1" applyNumberFormat="1" applyFont="1" applyBorder="1" applyAlignment="1" applyProtection="1">
      <alignment vertical="center"/>
      <protection locked="0"/>
    </xf>
    <xf numFmtId="166" fontId="5" fillId="0" borderId="6" xfId="2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167" fontId="4" fillId="0" borderId="6" xfId="1" applyNumberFormat="1" applyFont="1" applyBorder="1" applyAlignment="1" applyProtection="1">
      <alignment vertical="center"/>
      <protection locked="0"/>
    </xf>
    <xf numFmtId="168" fontId="6" fillId="0" borderId="6" xfId="2" applyNumberFormat="1" applyFont="1" applyFill="1" applyBorder="1" applyAlignment="1">
      <alignment horizontal="center" vertical="center"/>
    </xf>
    <xf numFmtId="168" fontId="6" fillId="0" borderId="7" xfId="2" applyNumberFormat="1" applyFont="1" applyFill="1" applyBorder="1" applyAlignment="1">
      <alignment horizontal="center" vertical="center"/>
    </xf>
    <xf numFmtId="169" fontId="4" fillId="0" borderId="6" xfId="1" applyNumberFormat="1" applyFont="1" applyBorder="1" applyAlignment="1" applyProtection="1">
      <alignment vertical="center"/>
      <protection locked="0"/>
    </xf>
    <xf numFmtId="169" fontId="5" fillId="0" borderId="6" xfId="2" applyNumberFormat="1" applyFont="1" applyFill="1" applyBorder="1" applyAlignment="1">
      <alignment horizontal="center" vertical="center"/>
    </xf>
    <xf numFmtId="169" fontId="5" fillId="0" borderId="7" xfId="2" applyNumberFormat="1" applyFont="1" applyFill="1" applyBorder="1" applyAlignment="1">
      <alignment horizontal="center" vertical="center"/>
    </xf>
    <xf numFmtId="164" fontId="4" fillId="0" borderId="11" xfId="1" applyNumberFormat="1" applyFont="1" applyBorder="1" applyAlignment="1" applyProtection="1">
      <alignment vertical="center"/>
      <protection locked="0"/>
    </xf>
    <xf numFmtId="164" fontId="4" fillId="16" borderId="6" xfId="1" applyNumberFormat="1" applyFont="1" applyFill="1" applyBorder="1" applyAlignment="1" applyProtection="1">
      <alignment vertical="center"/>
      <protection locked="0"/>
    </xf>
    <xf numFmtId="170" fontId="6" fillId="0" borderId="6" xfId="1" quotePrefix="1" applyNumberFormat="1" applyFont="1" applyBorder="1" applyAlignment="1">
      <alignment vertical="center"/>
    </xf>
    <xf numFmtId="170" fontId="6" fillId="0" borderId="7" xfId="1" applyNumberFormat="1" applyFont="1" applyBorder="1" applyAlignment="1">
      <alignment vertical="center"/>
    </xf>
    <xf numFmtId="0" fontId="20" fillId="0" borderId="16" xfId="1" applyFont="1" applyBorder="1" applyAlignment="1">
      <alignment horizontal="center" vertical="center"/>
    </xf>
    <xf numFmtId="14" fontId="21" fillId="0" borderId="15" xfId="1" quotePrefix="1" applyNumberFormat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14" fontId="21" fillId="0" borderId="15" xfId="1" quotePrefix="1" applyNumberFormat="1" applyFont="1" applyBorder="1" applyAlignment="1">
      <alignment horizontal="center" vertical="center"/>
    </xf>
    <xf numFmtId="164" fontId="4" fillId="16" borderId="17" xfId="1" applyNumberFormat="1" applyFont="1" applyFill="1" applyBorder="1" applyAlignment="1" applyProtection="1">
      <alignment vertical="center"/>
      <protection locked="0"/>
    </xf>
    <xf numFmtId="165" fontId="4" fillId="0" borderId="18" xfId="1" applyNumberFormat="1" applyFont="1" applyBorder="1" applyAlignment="1" applyProtection="1">
      <alignment vertical="center"/>
      <protection locked="0"/>
    </xf>
    <xf numFmtId="166" fontId="5" fillId="0" borderId="18" xfId="2" applyNumberFormat="1" applyFont="1" applyFill="1" applyBorder="1" applyAlignment="1">
      <alignment horizontal="center" vertical="center"/>
    </xf>
    <xf numFmtId="166" fontId="5" fillId="0" borderId="19" xfId="2" applyNumberFormat="1" applyFont="1" applyFill="1" applyBorder="1" applyAlignment="1">
      <alignment horizontal="center" vertical="center"/>
    </xf>
    <xf numFmtId="167" fontId="4" fillId="0" borderId="18" xfId="1" applyNumberFormat="1" applyFont="1" applyBorder="1" applyAlignment="1" applyProtection="1">
      <alignment vertical="center"/>
      <protection locked="0"/>
    </xf>
    <xf numFmtId="168" fontId="6" fillId="0" borderId="18" xfId="2" applyNumberFormat="1" applyFont="1" applyFill="1" applyBorder="1" applyAlignment="1">
      <alignment horizontal="center" vertical="center"/>
    </xf>
    <xf numFmtId="168" fontId="6" fillId="0" borderId="19" xfId="2" applyNumberFormat="1" applyFont="1" applyFill="1" applyBorder="1" applyAlignment="1">
      <alignment horizontal="center" vertical="center"/>
    </xf>
    <xf numFmtId="169" fontId="4" fillId="0" borderId="18" xfId="1" applyNumberFormat="1" applyFont="1" applyBorder="1" applyAlignment="1" applyProtection="1">
      <alignment vertical="center"/>
      <protection locked="0"/>
    </xf>
    <xf numFmtId="169" fontId="5" fillId="0" borderId="18" xfId="2" applyNumberFormat="1" applyFont="1" applyFill="1" applyBorder="1" applyAlignment="1">
      <alignment horizontal="center" vertical="center"/>
    </xf>
    <xf numFmtId="169" fontId="5" fillId="0" borderId="19" xfId="2" applyNumberFormat="1" applyFont="1" applyFill="1" applyBorder="1" applyAlignment="1">
      <alignment horizontal="center" vertical="center"/>
    </xf>
    <xf numFmtId="164" fontId="4" fillId="0" borderId="17" xfId="1" applyNumberFormat="1" applyFont="1" applyBorder="1" applyAlignment="1" applyProtection="1">
      <alignment vertical="center"/>
      <protection locked="0"/>
    </xf>
    <xf numFmtId="164" fontId="4" fillId="16" borderId="18" xfId="1" applyNumberFormat="1" applyFont="1" applyFill="1" applyBorder="1" applyAlignment="1" applyProtection="1">
      <alignment vertical="center"/>
      <protection locked="0"/>
    </xf>
    <xf numFmtId="170" fontId="6" fillId="0" borderId="18" xfId="1" quotePrefix="1" applyNumberFormat="1" applyFont="1" applyBorder="1" applyAlignment="1">
      <alignment vertical="center"/>
    </xf>
    <xf numFmtId="170" fontId="6" fillId="0" borderId="19" xfId="1" applyNumberFormat="1" applyFont="1" applyBorder="1" applyAlignment="1">
      <alignment vertical="center"/>
    </xf>
    <xf numFmtId="0" fontId="20" fillId="0" borderId="20" xfId="1" applyFont="1" applyBorder="1" applyAlignment="1">
      <alignment horizontal="center" vertical="center"/>
    </xf>
    <xf numFmtId="14" fontId="21" fillId="0" borderId="2" xfId="1" quotePrefix="1" applyNumberFormat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14" fontId="21" fillId="0" borderId="2" xfId="1" quotePrefix="1" applyNumberFormat="1" applyFont="1" applyBorder="1" applyAlignment="1">
      <alignment horizontal="center" vertical="center"/>
    </xf>
    <xf numFmtId="164" fontId="4" fillId="16" borderId="21" xfId="1" applyNumberFormat="1" applyFont="1" applyFill="1" applyBorder="1" applyAlignment="1" applyProtection="1">
      <alignment vertical="center"/>
      <protection locked="0"/>
    </xf>
    <xf numFmtId="165" fontId="4" fillId="0" borderId="22" xfId="1" applyNumberFormat="1" applyFont="1" applyBorder="1" applyAlignment="1" applyProtection="1">
      <alignment vertical="center"/>
      <protection locked="0"/>
    </xf>
    <xf numFmtId="166" fontId="5" fillId="0" borderId="22" xfId="2" applyNumberFormat="1" applyFont="1" applyFill="1" applyBorder="1" applyAlignment="1">
      <alignment horizontal="center" vertical="center"/>
    </xf>
    <xf numFmtId="166" fontId="5" fillId="0" borderId="23" xfId="2" applyNumberFormat="1" applyFont="1" applyFill="1" applyBorder="1" applyAlignment="1">
      <alignment horizontal="center" vertical="center"/>
    </xf>
    <xf numFmtId="167" fontId="4" fillId="0" borderId="22" xfId="1" applyNumberFormat="1" applyFont="1" applyBorder="1" applyAlignment="1" applyProtection="1">
      <alignment vertical="center"/>
      <protection locked="0"/>
    </xf>
    <xf numFmtId="168" fontId="6" fillId="0" borderId="22" xfId="2" applyNumberFormat="1" applyFont="1" applyFill="1" applyBorder="1" applyAlignment="1">
      <alignment horizontal="center" vertical="center"/>
    </xf>
    <xf numFmtId="168" fontId="6" fillId="0" borderId="23" xfId="2" applyNumberFormat="1" applyFont="1" applyFill="1" applyBorder="1" applyAlignment="1">
      <alignment horizontal="center" vertical="center"/>
    </xf>
    <xf numFmtId="169" fontId="4" fillId="0" borderId="22" xfId="1" applyNumberFormat="1" applyFont="1" applyBorder="1" applyAlignment="1" applyProtection="1">
      <alignment vertical="center"/>
      <protection locked="0"/>
    </xf>
    <xf numFmtId="169" fontId="5" fillId="0" borderId="22" xfId="2" applyNumberFormat="1" applyFont="1" applyFill="1" applyBorder="1" applyAlignment="1">
      <alignment horizontal="center" vertical="center"/>
    </xf>
    <xf numFmtId="169" fontId="5" fillId="0" borderId="23" xfId="2" applyNumberFormat="1" applyFont="1" applyFill="1" applyBorder="1" applyAlignment="1">
      <alignment horizontal="center" vertical="center"/>
    </xf>
    <xf numFmtId="164" fontId="4" fillId="0" borderId="21" xfId="1" applyNumberFormat="1" applyFont="1" applyBorder="1" applyAlignment="1" applyProtection="1">
      <alignment vertical="center"/>
      <protection locked="0"/>
    </xf>
    <xf numFmtId="164" fontId="4" fillId="16" borderId="22" xfId="1" applyNumberFormat="1" applyFont="1" applyFill="1" applyBorder="1" applyAlignment="1" applyProtection="1">
      <alignment vertical="center"/>
      <protection locked="0"/>
    </xf>
    <xf numFmtId="170" fontId="6" fillId="0" borderId="22" xfId="1" quotePrefix="1" applyNumberFormat="1" applyFont="1" applyBorder="1" applyAlignment="1">
      <alignment vertical="center"/>
    </xf>
    <xf numFmtId="170" fontId="6" fillId="0" borderId="23" xfId="1" applyNumberFormat="1" applyFont="1" applyBorder="1" applyAlignment="1">
      <alignment vertical="center"/>
    </xf>
    <xf numFmtId="0" fontId="20" fillId="0" borderId="24" xfId="1" applyFont="1" applyBorder="1" applyAlignment="1">
      <alignment horizontal="center" vertical="center"/>
    </xf>
    <xf numFmtId="14" fontId="21" fillId="0" borderId="13" xfId="1" quotePrefix="1" applyNumberFormat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14" fontId="21" fillId="0" borderId="13" xfId="1" quotePrefix="1" applyNumberFormat="1" applyFont="1" applyBorder="1" applyAlignment="1">
      <alignment horizontal="center" vertical="center"/>
    </xf>
    <xf numFmtId="49" fontId="21" fillId="0" borderId="15" xfId="1" quotePrefix="1" applyNumberFormat="1" applyFont="1" applyBorder="1" applyAlignment="1">
      <alignment horizontal="center" vertical="center"/>
    </xf>
    <xf numFmtId="49" fontId="21" fillId="0" borderId="2" xfId="1" quotePrefix="1" applyNumberFormat="1" applyFont="1" applyBorder="1" applyAlignment="1">
      <alignment horizontal="center" vertical="center"/>
    </xf>
    <xf numFmtId="49" fontId="21" fillId="0" borderId="13" xfId="1" quotePrefix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0" fontId="2" fillId="12" borderId="0" xfId="1" applyFill="1" applyAlignment="1">
      <alignment horizontal="center" vertical="center"/>
    </xf>
    <xf numFmtId="0" fontId="2" fillId="12" borderId="8" xfId="1" applyFill="1" applyBorder="1" applyAlignment="1">
      <alignment horizontal="center" vertical="center"/>
    </xf>
    <xf numFmtId="43" fontId="2" fillId="12" borderId="0" xfId="1" applyNumberFormat="1" applyFill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164" fontId="4" fillId="16" borderId="27" xfId="1" applyNumberFormat="1" applyFont="1" applyFill="1" applyBorder="1" applyAlignment="1" applyProtection="1">
      <alignment vertical="center"/>
      <protection locked="0"/>
    </xf>
    <xf numFmtId="0" fontId="20" fillId="0" borderId="6" xfId="1" applyFont="1" applyBorder="1" applyAlignment="1">
      <alignment horizontal="center" vertical="center"/>
    </xf>
    <xf numFmtId="170" fontId="6" fillId="0" borderId="28" xfId="1" applyNumberFormat="1" applyFont="1" applyBorder="1" applyAlignment="1">
      <alignment vertical="center"/>
    </xf>
    <xf numFmtId="170" fontId="6" fillId="0" borderId="10" xfId="1" applyNumberFormat="1" applyFont="1" applyBorder="1" applyAlignment="1">
      <alignment vertical="center"/>
    </xf>
    <xf numFmtId="170" fontId="6" fillId="0" borderId="29" xfId="1" applyNumberFormat="1" applyFont="1" applyBorder="1" applyAlignment="1">
      <alignment vertical="center"/>
    </xf>
    <xf numFmtId="0" fontId="20" fillId="0" borderId="30" xfId="1" applyFont="1" applyBorder="1" applyAlignment="1">
      <alignment horizontal="center" vertical="center"/>
    </xf>
    <xf numFmtId="164" fontId="4" fillId="0" borderId="31" xfId="1" applyNumberFormat="1" applyFont="1" applyBorder="1" applyAlignment="1" applyProtection="1">
      <alignment vertical="center"/>
      <protection locked="0"/>
    </xf>
    <xf numFmtId="164" fontId="4" fillId="16" borderId="31" xfId="1" applyNumberFormat="1" applyFont="1" applyFill="1" applyBorder="1" applyAlignment="1" applyProtection="1">
      <alignment vertical="center"/>
      <protection locked="0"/>
    </xf>
    <xf numFmtId="165" fontId="4" fillId="0" borderId="32" xfId="1" applyNumberFormat="1" applyFont="1" applyBorder="1" applyAlignment="1" applyProtection="1">
      <alignment vertical="center"/>
      <protection locked="0"/>
    </xf>
    <xf numFmtId="166" fontId="5" fillId="0" borderId="32" xfId="2" applyNumberFormat="1" applyFont="1" applyFill="1" applyBorder="1" applyAlignment="1">
      <alignment horizontal="center" vertical="center"/>
    </xf>
    <xf numFmtId="166" fontId="5" fillId="0" borderId="33" xfId="2" applyNumberFormat="1" applyFont="1" applyFill="1" applyBorder="1" applyAlignment="1">
      <alignment horizontal="center" vertical="center"/>
    </xf>
    <xf numFmtId="167" fontId="4" fillId="0" borderId="32" xfId="1" applyNumberFormat="1" applyFont="1" applyBorder="1" applyAlignment="1" applyProtection="1">
      <alignment vertical="center"/>
      <protection locked="0"/>
    </xf>
    <xf numFmtId="168" fontId="6" fillId="0" borderId="32" xfId="2" applyNumberFormat="1" applyFont="1" applyFill="1" applyBorder="1" applyAlignment="1">
      <alignment horizontal="center" vertical="center"/>
    </xf>
    <xf numFmtId="168" fontId="6" fillId="0" borderId="33" xfId="2" applyNumberFormat="1" applyFont="1" applyFill="1" applyBorder="1" applyAlignment="1">
      <alignment horizontal="center" vertical="center"/>
    </xf>
    <xf numFmtId="169" fontId="4" fillId="0" borderId="32" xfId="1" applyNumberFormat="1" applyFont="1" applyBorder="1" applyAlignment="1" applyProtection="1">
      <alignment vertical="center"/>
      <protection locked="0"/>
    </xf>
    <xf numFmtId="169" fontId="5" fillId="0" borderId="32" xfId="2" applyNumberFormat="1" applyFont="1" applyFill="1" applyBorder="1" applyAlignment="1">
      <alignment horizontal="center" vertical="center"/>
    </xf>
    <xf numFmtId="164" fontId="4" fillId="16" borderId="32" xfId="1" applyNumberFormat="1" applyFont="1" applyFill="1" applyBorder="1" applyAlignment="1" applyProtection="1">
      <alignment vertical="center"/>
      <protection locked="0"/>
    </xf>
    <xf numFmtId="170" fontId="6" fillId="0" borderId="32" xfId="1" quotePrefix="1" applyNumberFormat="1" applyFont="1" applyBorder="1" applyAlignment="1">
      <alignment vertical="center"/>
    </xf>
    <xf numFmtId="170" fontId="6" fillId="0" borderId="33" xfId="1" applyNumberFormat="1" applyFont="1" applyBorder="1" applyAlignment="1">
      <alignment vertical="center"/>
    </xf>
    <xf numFmtId="168" fontId="6" fillId="0" borderId="34" xfId="2" applyNumberFormat="1" applyFont="1" applyFill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20" fillId="8" borderId="14" xfId="1" applyFont="1" applyFill="1" applyBorder="1" applyAlignment="1">
      <alignment horizontal="centerContinuous" vertical="center"/>
    </xf>
    <xf numFmtId="0" fontId="10" fillId="8" borderId="14" xfId="1" applyFont="1" applyFill="1" applyBorder="1" applyAlignment="1">
      <alignment horizontal="centerContinuous" vertical="center"/>
    </xf>
    <xf numFmtId="0" fontId="9" fillId="8" borderId="14" xfId="1" applyFont="1" applyFill="1" applyBorder="1" applyAlignment="1">
      <alignment horizontal="centerContinuous" vertical="center"/>
    </xf>
    <xf numFmtId="0" fontId="10" fillId="13" borderId="14" xfId="1" applyFont="1" applyFill="1" applyBorder="1" applyAlignment="1">
      <alignment horizontal="centerContinuous" vertical="center"/>
    </xf>
    <xf numFmtId="0" fontId="20" fillId="14" borderId="14" xfId="1" applyFont="1" applyFill="1" applyBorder="1" applyAlignment="1">
      <alignment horizontal="centerContinuous" vertical="center"/>
    </xf>
    <xf numFmtId="0" fontId="9" fillId="13" borderId="14" xfId="1" applyFont="1" applyFill="1" applyBorder="1" applyAlignment="1">
      <alignment horizontal="centerContinuous" vertical="center"/>
    </xf>
    <xf numFmtId="0" fontId="22" fillId="0" borderId="0" xfId="1" applyFont="1" applyAlignment="1">
      <alignment horizontal="center" vertical="center"/>
    </xf>
    <xf numFmtId="169" fontId="11" fillId="0" borderId="0" xfId="1" applyNumberFormat="1" applyFont="1" applyAlignment="1">
      <alignment horizontal="centerContinuous"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Continuous" vertical="center"/>
    </xf>
    <xf numFmtId="0" fontId="24" fillId="0" borderId="0" xfId="1" applyFont="1" applyAlignment="1">
      <alignment horizontal="centerContinuous" vertical="center"/>
    </xf>
    <xf numFmtId="0" fontId="11" fillId="0" borderId="0" xfId="1" applyFont="1" applyAlignment="1">
      <alignment vertic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Continuous" vertical="center"/>
    </xf>
    <xf numFmtId="0" fontId="26" fillId="0" borderId="0" xfId="1" applyFont="1" applyAlignment="1">
      <alignment horizontal="centerContinuous" vertical="center"/>
    </xf>
    <xf numFmtId="0" fontId="15" fillId="0" borderId="0" xfId="1" applyFont="1" applyAlignment="1">
      <alignment vertical="center"/>
    </xf>
  </cellXfs>
  <cellStyles count="3">
    <cellStyle name="Millares 2" xfId="2" xr:uid="{352DCE6C-A03B-47E4-AB7B-990F95131C07}"/>
    <cellStyle name="Normal" xfId="0" builtinId="0"/>
    <cellStyle name="Normal 2" xfId="1" xr:uid="{D43801BC-CFC3-4432-92FE-269223E2B88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245719</xdr:colOff>
      <xdr:row>3</xdr:row>
      <xdr:rowOff>80080</xdr:rowOff>
    </xdr:from>
    <xdr:ext cx="973481" cy="905791"/>
    <xdr:pic>
      <xdr:nvPicPr>
        <xdr:cNvPr id="2" name="Imagen 1">
          <a:extLst>
            <a:ext uri="{FF2B5EF4-FFF2-40B4-BE49-F238E27FC236}">
              <a16:creationId xmlns:a16="http://schemas.microsoft.com/office/drawing/2014/main" id="{5BEF6901-08C6-472A-AF7B-D71D5D28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2819" y="626180"/>
          <a:ext cx="973481" cy="905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367679</xdr:colOff>
      <xdr:row>3</xdr:row>
      <xdr:rowOff>205621</xdr:rowOff>
    </xdr:from>
    <xdr:ext cx="1617662" cy="622300"/>
    <xdr:pic>
      <xdr:nvPicPr>
        <xdr:cNvPr id="3" name="Imagen 2">
          <a:extLst>
            <a:ext uri="{FF2B5EF4-FFF2-40B4-BE49-F238E27FC236}">
              <a16:creationId xmlns:a16="http://schemas.microsoft.com/office/drawing/2014/main" id="{812A614E-416F-432F-9CF4-FA3038C6A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6029" y="726321"/>
          <a:ext cx="1617662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544945</xdr:colOff>
      <xdr:row>1</xdr:row>
      <xdr:rowOff>143467</xdr:rowOff>
    </xdr:from>
    <xdr:ext cx="795481" cy="971053"/>
    <xdr:pic>
      <xdr:nvPicPr>
        <xdr:cNvPr id="2" name="Imagen 1">
          <a:extLst>
            <a:ext uri="{FF2B5EF4-FFF2-40B4-BE49-F238E27FC236}">
              <a16:creationId xmlns:a16="http://schemas.microsoft.com/office/drawing/2014/main" id="{59F3D6A3-1FDC-4C58-83DE-1E4AE382D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4695" y="327617"/>
          <a:ext cx="795481" cy="971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155287</xdr:colOff>
      <xdr:row>1</xdr:row>
      <xdr:rowOff>242451</xdr:rowOff>
    </xdr:from>
    <xdr:ext cx="1548822" cy="699081"/>
    <xdr:pic>
      <xdr:nvPicPr>
        <xdr:cNvPr id="3" name="Imagen 2">
          <a:extLst>
            <a:ext uri="{FF2B5EF4-FFF2-40B4-BE49-F238E27FC236}">
              <a16:creationId xmlns:a16="http://schemas.microsoft.com/office/drawing/2014/main" id="{1E6C8B13-4CD0-49FA-B0A6-6513AD0B1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4337" y="369451"/>
          <a:ext cx="1548822" cy="699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09A8-6A1F-4E9A-B883-81BBC5CD8317}">
  <sheetPr transitionEvaluation="1" transitionEntry="1">
    <pageSetUpPr fitToPage="1"/>
  </sheetPr>
  <dimension ref="B2:AF211"/>
  <sheetViews>
    <sheetView showGridLines="0" tabSelected="1" zoomScale="115" zoomScaleNormal="115" workbookViewId="0">
      <pane xSplit="4" ySplit="12" topLeftCell="E114" activePane="bottomRight" state="frozen"/>
      <selection pane="topRight" activeCell="E1" sqref="E1"/>
      <selection pane="bottomLeft" activeCell="A13" sqref="A13"/>
      <selection pane="bottomRight" activeCell="B134" sqref="B134"/>
    </sheetView>
  </sheetViews>
  <sheetFormatPr baseColWidth="10" defaultColWidth="12.453125" defaultRowHeight="14.5" x14ac:dyDescent="0.35"/>
  <cols>
    <col min="1" max="1" width="5" style="1" customWidth="1"/>
    <col min="2" max="2" width="11.54296875" style="1" bestFit="1" customWidth="1"/>
    <col min="3" max="3" width="5.26953125" style="3" bestFit="1" customWidth="1"/>
    <col min="4" max="4" width="11.1796875" style="1" bestFit="1" customWidth="1"/>
    <col min="5" max="6" width="8.81640625" style="1" customWidth="1"/>
    <col min="7" max="7" width="7.54296875" style="1" customWidth="1"/>
    <col min="8" max="8" width="6.54296875" style="1" bestFit="1" customWidth="1"/>
    <col min="9" max="9" width="7.54296875" style="1" customWidth="1"/>
    <col min="10" max="10" width="10" style="1" bestFit="1" customWidth="1"/>
    <col min="11" max="11" width="7.1796875" style="1" customWidth="1"/>
    <col min="12" max="12" width="8.1796875" style="2" customWidth="1"/>
    <col min="13" max="14" width="7.1796875" style="1" customWidth="1"/>
    <col min="15" max="15" width="6.54296875" style="1" customWidth="1"/>
    <col min="16" max="16" width="7.81640625" style="1" customWidth="1"/>
    <col min="17" max="17" width="10" style="1" bestFit="1" customWidth="1"/>
    <col min="18" max="18" width="9.453125" style="1" bestFit="1" customWidth="1"/>
    <col min="19" max="19" width="10" style="1" customWidth="1"/>
    <col min="20" max="20" width="6.54296875" style="1" customWidth="1"/>
    <col min="21" max="21" width="10.453125" style="1" customWidth="1"/>
    <col min="22" max="22" width="9.54296875" style="1" customWidth="1"/>
    <col min="23" max="23" width="7.54296875" style="1" customWidth="1"/>
    <col min="24" max="24" width="6.54296875" style="1" customWidth="1"/>
    <col min="25" max="25" width="2.81640625" style="1" customWidth="1"/>
    <col min="26" max="28" width="12.453125" style="1"/>
    <col min="29" max="29" width="16.7265625" style="1" customWidth="1"/>
    <col min="30" max="30" width="12.453125" style="1"/>
    <col min="31" max="31" width="21.54296875" style="1" customWidth="1"/>
    <col min="32" max="32" width="43.7265625" style="1" customWidth="1"/>
    <col min="33" max="16384" width="12.453125" style="1"/>
  </cols>
  <sheetData>
    <row r="2" spans="2:32" x14ac:dyDescent="0.35">
      <c r="Y2" s="125" t="s">
        <v>225</v>
      </c>
    </row>
    <row r="3" spans="2:32" ht="5.25" customHeight="1" x14ac:dyDescent="0.35">
      <c r="Y3" s="125"/>
    </row>
    <row r="4" spans="2:32" ht="15.75" customHeight="1" x14ac:dyDescent="0.35">
      <c r="B4" s="123" t="s">
        <v>224</v>
      </c>
      <c r="C4" s="111"/>
      <c r="D4" s="117"/>
      <c r="E4" s="110"/>
      <c r="F4" s="109"/>
      <c r="G4" s="109"/>
      <c r="H4" s="109"/>
      <c r="I4" s="109"/>
      <c r="J4" s="109"/>
      <c r="K4" s="121"/>
      <c r="L4" s="122"/>
      <c r="M4" s="120"/>
      <c r="N4" s="121"/>
      <c r="O4" s="120"/>
      <c r="P4" s="105"/>
      <c r="Q4" s="105"/>
      <c r="R4" s="105"/>
      <c r="S4" s="105"/>
      <c r="T4" s="105"/>
      <c r="U4" s="105"/>
      <c r="V4" s="105"/>
      <c r="W4" s="105"/>
      <c r="X4" s="105"/>
      <c r="Y4" s="124"/>
      <c r="Z4" s="1" t="s">
        <v>223</v>
      </c>
    </row>
    <row r="5" spans="2:32" ht="15" customHeight="1" x14ac:dyDescent="0.35">
      <c r="B5" s="123"/>
      <c r="C5" s="111"/>
      <c r="D5" s="117"/>
      <c r="E5" s="110"/>
      <c r="F5" s="109"/>
      <c r="G5" s="109"/>
      <c r="H5" s="109"/>
      <c r="I5" s="109"/>
      <c r="J5" s="109"/>
      <c r="K5" s="121"/>
      <c r="L5" s="122"/>
      <c r="M5" s="120"/>
      <c r="N5" s="121"/>
      <c r="O5" s="120"/>
      <c r="P5" s="105"/>
      <c r="Q5" s="105"/>
      <c r="R5" s="105"/>
      <c r="S5" s="105"/>
      <c r="T5" s="105"/>
      <c r="U5" s="105"/>
      <c r="V5" s="105"/>
      <c r="W5" s="105"/>
      <c r="X5" s="105"/>
      <c r="Y5" s="119"/>
      <c r="Z5" s="1" t="s">
        <v>222</v>
      </c>
    </row>
    <row r="6" spans="2:32" ht="15" customHeight="1" x14ac:dyDescent="0.35">
      <c r="B6" s="118" t="s">
        <v>221</v>
      </c>
      <c r="C6" s="111"/>
      <c r="D6" s="117"/>
      <c r="E6" s="110"/>
      <c r="F6" s="109"/>
      <c r="G6" s="109"/>
      <c r="H6" s="109"/>
      <c r="I6" s="107"/>
      <c r="J6" s="107"/>
      <c r="K6" s="107"/>
      <c r="L6" s="108"/>
      <c r="M6" s="107"/>
      <c r="N6" s="107"/>
      <c r="O6" s="106"/>
      <c r="P6" s="106"/>
      <c r="Q6" s="106"/>
      <c r="R6" s="105"/>
      <c r="S6" s="105"/>
      <c r="T6" s="105"/>
      <c r="U6" s="105"/>
      <c r="V6" s="105"/>
      <c r="W6" s="105"/>
      <c r="X6" s="105"/>
      <c r="Y6" s="116"/>
      <c r="Z6" s="1" t="s">
        <v>220</v>
      </c>
    </row>
    <row r="7" spans="2:32" ht="15" customHeight="1" x14ac:dyDescent="0.35">
      <c r="B7" s="112" t="s">
        <v>219</v>
      </c>
      <c r="C7" s="111"/>
      <c r="D7" s="105"/>
      <c r="E7" s="110"/>
      <c r="F7" s="109"/>
      <c r="G7" s="109"/>
      <c r="H7" s="109"/>
      <c r="I7" s="107"/>
      <c r="J7" s="107"/>
      <c r="K7" s="107"/>
      <c r="L7" s="108"/>
      <c r="M7" s="107"/>
      <c r="N7" s="107"/>
      <c r="O7" s="106"/>
      <c r="P7" s="106"/>
      <c r="Q7" s="106"/>
      <c r="R7" s="105"/>
      <c r="S7" s="105"/>
      <c r="T7" s="105"/>
      <c r="U7" s="105"/>
      <c r="V7" s="105"/>
      <c r="W7" s="105"/>
      <c r="X7" s="105"/>
      <c r="Y7" s="115"/>
      <c r="Z7" s="1" t="s">
        <v>218</v>
      </c>
    </row>
    <row r="8" spans="2:32" ht="15" customHeight="1" x14ac:dyDescent="0.35">
      <c r="B8" s="112"/>
      <c r="C8" s="111"/>
      <c r="D8" s="105"/>
      <c r="E8" s="110"/>
      <c r="F8" s="109"/>
      <c r="G8" s="109"/>
      <c r="H8" s="109"/>
      <c r="I8" s="107"/>
      <c r="J8" s="107"/>
      <c r="K8" s="107"/>
      <c r="L8" s="108"/>
      <c r="M8" s="107"/>
      <c r="N8" s="107"/>
      <c r="O8" s="106"/>
      <c r="P8" s="106"/>
      <c r="Q8" s="106"/>
      <c r="R8" s="105"/>
      <c r="S8" s="105"/>
      <c r="T8" s="105"/>
      <c r="U8" s="105"/>
      <c r="Y8" s="114"/>
      <c r="Z8" s="1" t="s">
        <v>217</v>
      </c>
    </row>
    <row r="9" spans="2:32" ht="15" customHeight="1" x14ac:dyDescent="0.35">
      <c r="B9" s="112"/>
      <c r="C9" s="111"/>
      <c r="D9" s="105"/>
      <c r="E9" s="110"/>
      <c r="F9" s="109"/>
      <c r="G9" s="109"/>
      <c r="H9" s="109"/>
      <c r="I9" s="107"/>
      <c r="J9" s="107"/>
      <c r="K9" s="107"/>
      <c r="L9" s="108"/>
      <c r="M9" s="107"/>
      <c r="N9" s="107"/>
      <c r="O9" s="106"/>
      <c r="P9" s="106"/>
      <c r="Q9" s="106"/>
      <c r="R9" s="105"/>
      <c r="S9" s="105"/>
      <c r="T9" s="105"/>
      <c r="U9" s="105"/>
      <c r="Y9" s="113"/>
      <c r="Z9" s="1" t="s">
        <v>216</v>
      </c>
    </row>
    <row r="10" spans="2:32" ht="4.5" customHeight="1" x14ac:dyDescent="0.35">
      <c r="B10" s="112"/>
      <c r="C10" s="111"/>
      <c r="D10" s="105"/>
      <c r="E10" s="110"/>
      <c r="F10" s="109"/>
      <c r="G10" s="109"/>
      <c r="H10" s="109"/>
      <c r="I10" s="107"/>
      <c r="J10" s="107"/>
      <c r="K10" s="107"/>
      <c r="L10" s="108"/>
      <c r="M10" s="107"/>
      <c r="N10" s="107"/>
      <c r="O10" s="106"/>
      <c r="P10" s="106"/>
      <c r="Q10" s="106"/>
      <c r="R10" s="105"/>
      <c r="S10" s="105"/>
      <c r="T10" s="105"/>
      <c r="U10" s="105"/>
      <c r="V10" s="105"/>
      <c r="W10" s="105"/>
      <c r="X10" s="105"/>
    </row>
    <row r="11" spans="2:32" s="81" customFormat="1" ht="26.15" customHeight="1" x14ac:dyDescent="0.35">
      <c r="B11" s="104" t="s">
        <v>215</v>
      </c>
      <c r="C11" s="103" t="s">
        <v>214</v>
      </c>
      <c r="D11" s="102"/>
      <c r="E11" s="101" t="s">
        <v>213</v>
      </c>
      <c r="F11" s="100"/>
      <c r="G11" s="100"/>
      <c r="H11" s="100"/>
      <c r="I11" s="99" t="s">
        <v>212</v>
      </c>
      <c r="J11" s="97"/>
      <c r="K11" s="97"/>
      <c r="L11" s="97"/>
      <c r="M11" s="98" t="s">
        <v>211</v>
      </c>
      <c r="N11" s="97"/>
      <c r="O11" s="96"/>
      <c r="P11" s="95"/>
      <c r="Q11" s="94" t="s">
        <v>210</v>
      </c>
      <c r="R11" s="92"/>
      <c r="S11" s="92"/>
      <c r="T11" s="92"/>
      <c r="U11" s="93" t="s">
        <v>209</v>
      </c>
      <c r="V11" s="92"/>
      <c r="W11" s="91"/>
      <c r="X11" s="90"/>
      <c r="Y11" s="82" t="s">
        <v>208</v>
      </c>
      <c r="Z11" s="82"/>
      <c r="AA11" s="82"/>
      <c r="AB11" s="82"/>
      <c r="AC11" s="82"/>
      <c r="AD11" s="82"/>
      <c r="AE11" s="82"/>
      <c r="AF11" s="82"/>
    </row>
    <row r="12" spans="2:32" s="81" customFormat="1" ht="10.5" x14ac:dyDescent="0.35">
      <c r="B12" s="89" t="s">
        <v>207</v>
      </c>
      <c r="C12" s="88" t="s">
        <v>206</v>
      </c>
      <c r="D12" s="88" t="s">
        <v>205</v>
      </c>
      <c r="E12" s="85" t="s">
        <v>206</v>
      </c>
      <c r="F12" s="84" t="s">
        <v>205</v>
      </c>
      <c r="G12" s="84" t="s">
        <v>204</v>
      </c>
      <c r="H12" s="87" t="s">
        <v>203</v>
      </c>
      <c r="I12" s="85" t="s">
        <v>206</v>
      </c>
      <c r="J12" s="84" t="s">
        <v>205</v>
      </c>
      <c r="K12" s="84" t="s">
        <v>204</v>
      </c>
      <c r="L12" s="86" t="s">
        <v>203</v>
      </c>
      <c r="M12" s="85" t="s">
        <v>206</v>
      </c>
      <c r="N12" s="84" t="s">
        <v>205</v>
      </c>
      <c r="O12" s="84" t="s">
        <v>204</v>
      </c>
      <c r="P12" s="83" t="s">
        <v>203</v>
      </c>
      <c r="Q12" s="85" t="s">
        <v>206</v>
      </c>
      <c r="R12" s="84" t="s">
        <v>205</v>
      </c>
      <c r="S12" s="84" t="s">
        <v>204</v>
      </c>
      <c r="T12" s="86" t="s">
        <v>203</v>
      </c>
      <c r="U12" s="85" t="s">
        <v>206</v>
      </c>
      <c r="V12" s="84" t="s">
        <v>205</v>
      </c>
      <c r="W12" s="84" t="s">
        <v>204</v>
      </c>
      <c r="X12" s="83" t="s">
        <v>203</v>
      </c>
      <c r="Y12" s="82"/>
      <c r="Z12" s="82"/>
      <c r="AA12" s="82"/>
      <c r="AB12" s="82"/>
      <c r="AC12" s="82"/>
      <c r="AD12" s="82"/>
      <c r="AE12" s="82"/>
      <c r="AF12" s="82"/>
    </row>
    <row r="13" spans="2:32" x14ac:dyDescent="0.35">
      <c r="B13" s="63">
        <v>46028</v>
      </c>
      <c r="C13" s="80" t="s">
        <v>202</v>
      </c>
      <c r="D13" s="75" t="s">
        <v>201</v>
      </c>
      <c r="E13" s="74">
        <v>1749.298</v>
      </c>
      <c r="F13" s="72">
        <v>1747.6990000000001</v>
      </c>
      <c r="G13" s="5">
        <f>(IF(F13="","",F13-E13))</f>
        <v>-1.5989999999999327</v>
      </c>
      <c r="H13" s="11">
        <f>IF(G13="","",G13/E13)</f>
        <v>-9.1408096276331E-4</v>
      </c>
      <c r="I13" s="8">
        <v>4810.4040000000005</v>
      </c>
      <c r="J13" s="8">
        <v>4882</v>
      </c>
      <c r="K13" s="7">
        <f>(IF(J13="","",J13-I13))</f>
        <v>71.595999999999549</v>
      </c>
      <c r="L13" s="4">
        <f>IF(K13="","",K13/I13)</f>
        <v>1.4883573188447279E-2</v>
      </c>
      <c r="M13" s="56">
        <f>IF(I13="","",(E13*I13)/1000000)</f>
        <v>8.4148300963920004</v>
      </c>
      <c r="N13" s="10">
        <f>IF(J13="","",(F13*J13)/1000000)</f>
        <v>8.5322665180000019</v>
      </c>
      <c r="O13" s="9">
        <f>(IF(N13="","",N13-M13))</f>
        <v>0.1174364216080015</v>
      </c>
      <c r="P13" s="4">
        <f>IF(O13="","",O13/M13)</f>
        <v>1.3955887434774748E-2</v>
      </c>
      <c r="Q13" s="73">
        <v>825420.23499999999</v>
      </c>
      <c r="R13" s="8">
        <v>832772</v>
      </c>
      <c r="S13" s="7">
        <f>(IF(R13="","",R13-Q13))</f>
        <v>7351.765000000014</v>
      </c>
      <c r="T13" s="4">
        <f>IF(S13="","",S13/Q13)</f>
        <v>8.9066934493070848E-3</v>
      </c>
      <c r="U13" s="55">
        <f>IF(Q13="","",(E13*Q13)/1000000)</f>
        <v>1443.90596624503</v>
      </c>
      <c r="V13" s="6">
        <f>IF(R13="","",(F13*R13)/1000000)</f>
        <v>1455.4347916280001</v>
      </c>
      <c r="W13" s="5">
        <f>(IF(V13="","",V13-U13))</f>
        <v>11.528825382970126</v>
      </c>
      <c r="X13" s="4">
        <f>IF(W13="","",W13/U13)</f>
        <v>7.9844710476206261E-3</v>
      </c>
      <c r="Y13" s="66" t="s">
        <v>31</v>
      </c>
      <c r="Z13" s="65"/>
      <c r="AA13" s="65"/>
      <c r="AB13" s="65"/>
      <c r="AC13" s="65"/>
      <c r="AD13" s="65"/>
      <c r="AE13" s="65"/>
      <c r="AF13" s="64"/>
    </row>
    <row r="14" spans="2:32" x14ac:dyDescent="0.35">
      <c r="B14" s="63">
        <v>46028</v>
      </c>
      <c r="C14" s="42" t="s">
        <v>200</v>
      </c>
      <c r="D14" s="75" t="s">
        <v>199</v>
      </c>
      <c r="E14" s="74">
        <v>1691.355</v>
      </c>
      <c r="F14" s="72">
        <v>1686.6880000000001</v>
      </c>
      <c r="G14" s="5">
        <f>(IF(F14="","",F14-E14))</f>
        <v>-4.6669999999999163</v>
      </c>
      <c r="H14" s="11">
        <f>IF(G14="","",G14/E14)</f>
        <v>-2.7593261024444404E-3</v>
      </c>
      <c r="I14" s="8">
        <v>4714.0619999999999</v>
      </c>
      <c r="J14" s="8">
        <v>4789</v>
      </c>
      <c r="K14" s="7">
        <f>(IF(J14="","",J14-I14))</f>
        <v>74.938000000000102</v>
      </c>
      <c r="L14" s="4">
        <f>IF(K14="","",K14/I14)</f>
        <v>1.5896693764316232E-2</v>
      </c>
      <c r="M14" s="56">
        <f>IF(I14="","",(E14*I14)/1000000)</f>
        <v>7.9731523340099999</v>
      </c>
      <c r="N14" s="10">
        <f>IF(J14="","",(F14*J14)/1000000)</f>
        <v>8.0775488319999997</v>
      </c>
      <c r="O14" s="9">
        <f>(IF(N14="","",N14-M14))</f>
        <v>0.10439649798999984</v>
      </c>
      <c r="P14" s="4">
        <f>IF(O14="","",O14/M14)</f>
        <v>1.3093503499825255E-2</v>
      </c>
      <c r="Q14" s="73">
        <v>811376.33400000003</v>
      </c>
      <c r="R14" s="8">
        <v>820113</v>
      </c>
      <c r="S14" s="7">
        <f>(IF(R14="","",R14-Q14))</f>
        <v>8736.6659999999683</v>
      </c>
      <c r="T14" s="4">
        <f>IF(S14="","",S14/Q14)</f>
        <v>1.0767711151900528E-2</v>
      </c>
      <c r="U14" s="55">
        <f>IF(Q14="","",(E14*Q14)/1000000)</f>
        <v>1372.32541939257</v>
      </c>
      <c r="V14" s="6">
        <f>IF(R14="","",(F14*R14)/1000000)</f>
        <v>1383.2747557440002</v>
      </c>
      <c r="W14" s="5">
        <f>(IF(V14="","",V14-U14))</f>
        <v>10.949336351430247</v>
      </c>
      <c r="X14" s="4">
        <f>IF(W14="","",W14/U14)</f>
        <v>7.9786734230112375E-3</v>
      </c>
      <c r="Y14" s="62"/>
      <c r="Z14" s="61"/>
      <c r="AA14" s="61"/>
      <c r="AB14" s="61"/>
      <c r="AC14" s="61"/>
      <c r="AD14" s="61"/>
      <c r="AE14" s="61"/>
      <c r="AF14" s="60"/>
    </row>
    <row r="15" spans="2:32" x14ac:dyDescent="0.35">
      <c r="B15" s="63">
        <v>46028</v>
      </c>
      <c r="C15" s="42" t="s">
        <v>198</v>
      </c>
      <c r="D15" s="75" t="s">
        <v>197</v>
      </c>
      <c r="E15" s="74">
        <v>1750.703</v>
      </c>
      <c r="F15" s="72">
        <v>1748.9259999999999</v>
      </c>
      <c r="G15" s="5">
        <f>(IF(F15="","",F15-E15))</f>
        <v>-1.7770000000000437</v>
      </c>
      <c r="H15" s="11">
        <f>IF(G15="","",G15/E15)</f>
        <v>-1.0150208230636742E-3</v>
      </c>
      <c r="I15" s="8">
        <v>4800.0559999999996</v>
      </c>
      <c r="J15" s="8">
        <v>4828</v>
      </c>
      <c r="K15" s="7">
        <f>(IF(J15="","",J15-I15))</f>
        <v>27.944000000000415</v>
      </c>
      <c r="L15" s="4">
        <f>IF(K15="","",K15/I15)</f>
        <v>5.8215987480146935E-3</v>
      </c>
      <c r="M15" s="56">
        <f>IF(I15="","",(E15*I15)/1000000)</f>
        <v>8.4034724393679987</v>
      </c>
      <c r="N15" s="10">
        <f>IF(J15="","",(F15*J15)/1000000)</f>
        <v>8.4438147279999995</v>
      </c>
      <c r="O15" s="9">
        <f>(IF(N15="","",N15-M15))</f>
        <v>4.0342288632000844E-2</v>
      </c>
      <c r="P15" s="4">
        <f>IF(O15="","",O15/M15)</f>
        <v>4.8006688809983022E-3</v>
      </c>
      <c r="Q15" s="73">
        <v>824648.875</v>
      </c>
      <c r="R15" s="8">
        <v>822004</v>
      </c>
      <c r="S15" s="7">
        <f>(IF(R15="","",R15-Q15))</f>
        <v>-2644.875</v>
      </c>
      <c r="T15" s="4">
        <f>IF(S15="","",S15/Q15)</f>
        <v>-3.2072741262152331E-3</v>
      </c>
      <c r="U15" s="55">
        <f>IF(Q15="","",(E15*Q15)/1000000)</f>
        <v>1443.7152594091251</v>
      </c>
      <c r="V15" s="6">
        <f>IF(R15="","",(F15*R15)/1000000)</f>
        <v>1437.624167704</v>
      </c>
      <c r="W15" s="5">
        <f>(IF(V15="","",V15-U15))</f>
        <v>-6.091091705125109</v>
      </c>
      <c r="X15" s="4">
        <f>IF(W15="","",W15/U15)</f>
        <v>-4.2190394992555761E-3</v>
      </c>
      <c r="Y15" s="62"/>
      <c r="Z15" s="61"/>
      <c r="AA15" s="61"/>
      <c r="AB15" s="61"/>
      <c r="AC15" s="61"/>
      <c r="AD15" s="61"/>
      <c r="AE15" s="61"/>
      <c r="AF15" s="60"/>
    </row>
    <row r="16" spans="2:32" x14ac:dyDescent="0.35">
      <c r="B16" s="63">
        <v>46039</v>
      </c>
      <c r="C16" s="42" t="s">
        <v>196</v>
      </c>
      <c r="D16" s="75" t="s">
        <v>195</v>
      </c>
      <c r="E16" s="74">
        <v>1724.163</v>
      </c>
      <c r="F16" s="72">
        <v>1721.298</v>
      </c>
      <c r="G16" s="5">
        <f>(IF(F16="","",F16-E16))</f>
        <v>-2.8650000000000091</v>
      </c>
      <c r="H16" s="11">
        <f>IF(G16="","",G16/E16)</f>
        <v>-1.6616758392333029E-3</v>
      </c>
      <c r="I16" s="8">
        <v>4769.1980000000003</v>
      </c>
      <c r="J16" s="8">
        <v>4867</v>
      </c>
      <c r="K16" s="7">
        <f>(IF(J16="","",J16-I16))</f>
        <v>97.80199999999968</v>
      </c>
      <c r="L16" s="4">
        <f>IF(K16="","",K16/I16)</f>
        <v>2.0507011870758915E-2</v>
      </c>
      <c r="M16" s="56">
        <f>IF(I16="","",(E16*I16)/1000000)</f>
        <v>8.2228747312740005</v>
      </c>
      <c r="N16" s="10">
        <f>IF(J16="","",(F16*J16)/1000000)</f>
        <v>8.3775573659999996</v>
      </c>
      <c r="O16" s="9">
        <f>(IF(N16="","",N16-M16))</f>
        <v>0.15468263472599908</v>
      </c>
      <c r="P16" s="4">
        <f>IF(O16="","",O16/M16)</f>
        <v>1.8811260025365061E-2</v>
      </c>
      <c r="Q16" s="73">
        <v>841157.12600000005</v>
      </c>
      <c r="R16" s="8">
        <v>843734</v>
      </c>
      <c r="S16" s="7">
        <f>(IF(R16="","",R16-Q16))</f>
        <v>2576.8739999999525</v>
      </c>
      <c r="T16" s="4">
        <f>IF(S16="","",S16/Q16)</f>
        <v>3.0634870945621074E-3</v>
      </c>
      <c r="U16" s="55">
        <f>IF(Q16="","",(E16*Q16)/1000000)</f>
        <v>1450.2919938355381</v>
      </c>
      <c r="V16" s="6">
        <f>IF(R16="","",(F16*R16)/1000000)</f>
        <v>1452.3176467320002</v>
      </c>
      <c r="W16" s="5">
        <f>(IF(V16="","",V16-U16))</f>
        <v>2.0256528964621339</v>
      </c>
      <c r="X16" s="4">
        <f>IF(W16="","",W16/U16)</f>
        <v>1.3967207328401217E-3</v>
      </c>
      <c r="Y16" s="59"/>
      <c r="Z16" s="58"/>
      <c r="AA16" s="58"/>
      <c r="AB16" s="58"/>
      <c r="AC16" s="58"/>
      <c r="AD16" s="58"/>
      <c r="AE16" s="58"/>
      <c r="AF16" s="57"/>
    </row>
    <row r="17" spans="2:32" x14ac:dyDescent="0.35">
      <c r="B17" s="63">
        <v>46039</v>
      </c>
      <c r="C17" s="42" t="s">
        <v>194</v>
      </c>
      <c r="D17" s="75" t="s">
        <v>193</v>
      </c>
      <c r="E17" s="74">
        <v>1771.82</v>
      </c>
      <c r="F17" s="72">
        <v>1769.2249999999999</v>
      </c>
      <c r="G17" s="5">
        <f>(IF(F17="","",F17-E17))</f>
        <v>-2.5950000000000273</v>
      </c>
      <c r="H17" s="11">
        <f>IF(G17="","",G17/E17)</f>
        <v>-1.4645957264282079E-3</v>
      </c>
      <c r="I17" s="8">
        <v>5272.7520000000004</v>
      </c>
      <c r="J17" s="8">
        <v>5304</v>
      </c>
      <c r="K17" s="7">
        <f>(IF(J17="","",J17-I17))</f>
        <v>31.247999999999593</v>
      </c>
      <c r="L17" s="4">
        <f>IF(K17="","",K17/I17)</f>
        <v>5.9263170352027916E-3</v>
      </c>
      <c r="M17" s="56">
        <f>IF(I17="","",(E17*I17)/1000000)</f>
        <v>9.3423674486399992</v>
      </c>
      <c r="N17" s="10">
        <f>IF(J17="","",(F17*J17)/1000000)</f>
        <v>9.3839693999999998</v>
      </c>
      <c r="O17" s="9">
        <f>(IF(N17="","",N17-M17))</f>
        <v>4.1601951360000555E-2</v>
      </c>
      <c r="P17" s="4">
        <f>IF(O17="","",O17/M17)</f>
        <v>4.4530416501715204E-3</v>
      </c>
      <c r="Q17" s="73">
        <v>839651.82299999997</v>
      </c>
      <c r="R17" s="8">
        <v>839574</v>
      </c>
      <c r="S17" s="7">
        <f>(IF(R17="","",R17-Q17))</f>
        <v>-77.822999999974854</v>
      </c>
      <c r="T17" s="4">
        <f>IF(S17="","",S17/Q17)</f>
        <v>-9.2684846109093551E-5</v>
      </c>
      <c r="U17" s="55">
        <f>IF(Q17="","",(E17*Q17)/1000000)</f>
        <v>1487.71189302786</v>
      </c>
      <c r="V17" s="6">
        <f>IF(R17="","",(F17*R17)/1000000)</f>
        <v>1485.3953101499999</v>
      </c>
      <c r="W17" s="5">
        <f>(IF(V17="","",V17-U17))</f>
        <v>-2.3165828778601281</v>
      </c>
      <c r="X17" s="4">
        <f>IF(W17="","",W17/U17)</f>
        <v>-1.5571448267078861E-3</v>
      </c>
      <c r="Y17" s="70" t="s">
        <v>31</v>
      </c>
      <c r="Z17" s="69"/>
      <c r="AA17" s="69"/>
      <c r="AB17" s="69"/>
      <c r="AC17" s="69"/>
      <c r="AD17" s="69"/>
      <c r="AE17" s="69"/>
      <c r="AF17" s="68"/>
    </row>
    <row r="18" spans="2:32" x14ac:dyDescent="0.35">
      <c r="B18" s="63">
        <v>46039</v>
      </c>
      <c r="C18" s="42" t="s">
        <v>192</v>
      </c>
      <c r="D18" s="75" t="s">
        <v>191</v>
      </c>
      <c r="E18" s="74">
        <v>1739.384</v>
      </c>
      <c r="F18" s="72">
        <v>1741.54</v>
      </c>
      <c r="G18" s="5">
        <f>(IF(F18="","",F18-E18))</f>
        <v>2.1559999999999491</v>
      </c>
      <c r="H18" s="11">
        <f>IF(G18="","",G18/E18)</f>
        <v>1.2395192780892254E-3</v>
      </c>
      <c r="I18" s="8">
        <v>5512</v>
      </c>
      <c r="J18" s="8">
        <v>5552</v>
      </c>
      <c r="K18" s="7">
        <f>(IF(J18="","",J18-I18))</f>
        <v>40</v>
      </c>
      <c r="L18" s="4">
        <f>IF(K18="","",K18/I18)</f>
        <v>7.2568940493468797E-3</v>
      </c>
      <c r="M18" s="56">
        <f>IF(I18="","",(E18*I18)/1000000)</f>
        <v>9.5874846080000005</v>
      </c>
      <c r="N18" s="10">
        <f>IF(J18="","",(F18*J18)/1000000)</f>
        <v>9.6690300800000006</v>
      </c>
      <c r="O18" s="9">
        <f>(IF(N18="","",N18-M18))</f>
        <v>8.1545472000000174E-2</v>
      </c>
      <c r="P18" s="4">
        <f>IF(O18="","",O18/M18)</f>
        <v>8.5054083875093691E-3</v>
      </c>
      <c r="Q18" s="73">
        <v>834288</v>
      </c>
      <c r="R18" s="8">
        <v>832713</v>
      </c>
      <c r="S18" s="7">
        <f>(IF(R18="","",R18-Q18))</f>
        <v>-1575</v>
      </c>
      <c r="T18" s="4">
        <f>IF(S18="","",S18/Q18)</f>
        <v>-1.8878372935964558E-3</v>
      </c>
      <c r="U18" s="55">
        <f>IF(Q18="","",(E18*Q18)/1000000)</f>
        <v>1451.147198592</v>
      </c>
      <c r="V18" s="6">
        <f>IF(R18="","",(F18*R18)/1000000)</f>
        <v>1450.20299802</v>
      </c>
      <c r="W18" s="5">
        <f>(IF(V18="","",V18-U18))</f>
        <v>-0.94420057199999974</v>
      </c>
      <c r="X18" s="4">
        <f>IF(W18="","",W18/U18)</f>
        <v>-6.5065802622650982E-4</v>
      </c>
      <c r="Y18" s="70" t="s">
        <v>129</v>
      </c>
      <c r="Z18" s="69"/>
      <c r="AA18" s="69"/>
      <c r="AB18" s="69"/>
      <c r="AC18" s="69"/>
      <c r="AD18" s="69"/>
      <c r="AE18" s="69"/>
      <c r="AF18" s="68"/>
    </row>
    <row r="19" spans="2:32" x14ac:dyDescent="0.35">
      <c r="B19" s="63">
        <v>46042</v>
      </c>
      <c r="C19" s="42" t="s">
        <v>190</v>
      </c>
      <c r="D19" s="75" t="s">
        <v>189</v>
      </c>
      <c r="E19" s="74">
        <v>1657.155</v>
      </c>
      <c r="F19" s="72">
        <v>1656.098</v>
      </c>
      <c r="G19" s="5">
        <f>(IF(F19="","",F19-E19))</f>
        <v>-1.0570000000000164</v>
      </c>
      <c r="H19" s="11">
        <f>IF(G19="","",G19/E19)</f>
        <v>-6.3784015375750389E-4</v>
      </c>
      <c r="I19" s="8">
        <v>5221.8239999999996</v>
      </c>
      <c r="J19" s="8">
        <v>5226</v>
      </c>
      <c r="K19" s="7">
        <f>(IF(J19="","",J19-I19))</f>
        <v>4.1760000000003856</v>
      </c>
      <c r="L19" s="4">
        <f>IF(K19="","",K19/I19)</f>
        <v>7.9972055741449463E-4</v>
      </c>
      <c r="M19" s="56">
        <f>IF(I19="","",(E19*I19)/1000000)</f>
        <v>8.6533717507199999</v>
      </c>
      <c r="N19" s="10">
        <f>IF(J19="","",(F19*J19)/1000000)</f>
        <v>8.6547681480000005</v>
      </c>
      <c r="O19" s="9">
        <f>(IF(N19="","",N19-M19))</f>
        <v>1.3963972800006275E-3</v>
      </c>
      <c r="P19" s="4">
        <f>IF(O19="","",O19/M19)</f>
        <v>1.6137030977369496E-4</v>
      </c>
      <c r="Q19" s="73">
        <v>826382.48699999996</v>
      </c>
      <c r="R19" s="8">
        <v>821632</v>
      </c>
      <c r="S19" s="7">
        <f>(IF(R19="","",R19-Q19))</f>
        <v>-4750.4869999999646</v>
      </c>
      <c r="T19" s="4">
        <f>IF(S19="","",S19/Q19)</f>
        <v>-5.7485330034589234E-3</v>
      </c>
      <c r="U19" s="55">
        <f>IF(Q19="","",(E19*Q19)/1000000)</f>
        <v>1369.443870244485</v>
      </c>
      <c r="V19" s="6">
        <f>IF(R19="","",(F19*R19)/1000000)</f>
        <v>1360.7031119359999</v>
      </c>
      <c r="W19" s="5">
        <f>(IF(V19="","",V19-U19))</f>
        <v>-8.7407583084850557</v>
      </c>
      <c r="X19" s="4">
        <f>IF(W19="","",W19/U19)</f>
        <v>-6.3827065120416948E-3</v>
      </c>
      <c r="Y19" s="66" t="s">
        <v>31</v>
      </c>
      <c r="Z19" s="65"/>
      <c r="AA19" s="65"/>
      <c r="AB19" s="65"/>
      <c r="AC19" s="65"/>
      <c r="AD19" s="65"/>
      <c r="AE19" s="65"/>
      <c r="AF19" s="64"/>
    </row>
    <row r="20" spans="2:32" x14ac:dyDescent="0.35">
      <c r="B20" s="63">
        <v>46042</v>
      </c>
      <c r="C20" s="42" t="s">
        <v>188</v>
      </c>
      <c r="D20" s="75" t="s">
        <v>187</v>
      </c>
      <c r="E20" s="74">
        <v>1607.3510000000001</v>
      </c>
      <c r="F20" s="72">
        <v>1604.9</v>
      </c>
      <c r="G20" s="5">
        <f>(IF(F20="","",F20-E20))</f>
        <v>-2.4510000000000218</v>
      </c>
      <c r="H20" s="11">
        <f>IF(G20="","",G20/E20)</f>
        <v>-1.5248691791649874E-3</v>
      </c>
      <c r="I20" s="8">
        <v>5048.5479999999998</v>
      </c>
      <c r="J20" s="8">
        <v>5050</v>
      </c>
      <c r="K20" s="7">
        <f>(IF(J20="","",J20-I20))</f>
        <v>1.4520000000002256</v>
      </c>
      <c r="L20" s="4">
        <f>IF(K20="","",K20/I20)</f>
        <v>2.8760744673522477E-4</v>
      </c>
      <c r="M20" s="56">
        <f>IF(I20="","",(E20*I20)/1000000)</f>
        <v>8.1147886763480006</v>
      </c>
      <c r="N20" s="10">
        <f>IF(J20="","",(F20*J20)/1000000)</f>
        <v>8.1047449999999994</v>
      </c>
      <c r="O20" s="9">
        <f>(IF(N20="","",N20-M20))</f>
        <v>-1.0043676348001185E-2</v>
      </c>
      <c r="P20" s="4">
        <f>IF(O20="","",O20/M20)</f>
        <v>-1.2377002961611646E-3</v>
      </c>
      <c r="Q20" s="73">
        <v>816588.67299999995</v>
      </c>
      <c r="R20" s="8">
        <v>813313</v>
      </c>
      <c r="S20" s="7">
        <f>(IF(R20="","",R20-Q20))</f>
        <v>-3275.6729999999516</v>
      </c>
      <c r="T20" s="4">
        <f>IF(S20="","",S20/Q20)</f>
        <v>-4.0114112628647147E-3</v>
      </c>
      <c r="U20" s="55">
        <f>IF(Q20="","",(E20*Q20)/1000000)</f>
        <v>1312.5446201352229</v>
      </c>
      <c r="V20" s="6">
        <f>IF(R20="","",(F20*R20)/1000000)</f>
        <v>1305.2860337</v>
      </c>
      <c r="W20" s="5">
        <f>(IF(V20="","",V20-U20))</f>
        <v>-7.2585864352229237</v>
      </c>
      <c r="X20" s="4">
        <f>IF(W20="","",W20/U20)</f>
        <v>-5.5301635646299923E-3</v>
      </c>
      <c r="Y20" s="59"/>
      <c r="Z20" s="58"/>
      <c r="AA20" s="58"/>
      <c r="AB20" s="58"/>
      <c r="AC20" s="58"/>
      <c r="AD20" s="58"/>
      <c r="AE20" s="58"/>
      <c r="AF20" s="57"/>
    </row>
    <row r="21" spans="2:32" x14ac:dyDescent="0.35">
      <c r="B21" s="63">
        <v>46042</v>
      </c>
      <c r="C21" s="42" t="s">
        <v>186</v>
      </c>
      <c r="D21" s="75" t="s">
        <v>185</v>
      </c>
      <c r="E21" s="74">
        <v>1562.107</v>
      </c>
      <c r="F21" s="72">
        <v>1559.19</v>
      </c>
      <c r="G21" s="5">
        <f>(IF(F21="","",F21-E21))</f>
        <v>-2.9169999999999163</v>
      </c>
      <c r="H21" s="11">
        <f>IF(G21="","",G21/E21)</f>
        <v>-1.8673496757904012E-3</v>
      </c>
      <c r="I21" s="8">
        <v>4706</v>
      </c>
      <c r="J21" s="8">
        <v>4707</v>
      </c>
      <c r="K21" s="7">
        <f>(IF(J21="","",J21-I21))</f>
        <v>1</v>
      </c>
      <c r="L21" s="4">
        <f>IF(K21="","",K21/I21)</f>
        <v>2.1249468763280918E-4</v>
      </c>
      <c r="M21" s="56">
        <f>IF(I21="","",(E21*I21)/1000000)</f>
        <v>7.3512755419999998</v>
      </c>
      <c r="N21" s="10">
        <f>IF(J21="","",(F21*J21)/1000000)</f>
        <v>7.33910733</v>
      </c>
      <c r="O21" s="9">
        <f>(IF(N21="","",N21-M21))</f>
        <v>-1.2168211999999734E-2</v>
      </c>
      <c r="P21" s="4">
        <f>IF(O21="","",O21/M21)</f>
        <v>-1.6552517900436678E-3</v>
      </c>
      <c r="Q21" s="73">
        <v>804594</v>
      </c>
      <c r="R21" s="8">
        <v>803185</v>
      </c>
      <c r="S21" s="7">
        <f>(IF(R21="","",R21-Q21))</f>
        <v>-1409</v>
      </c>
      <c r="T21" s="4">
        <f>IF(S21="","",S21/Q21)</f>
        <v>-1.7511937697770553E-3</v>
      </c>
      <c r="U21" s="55">
        <f>IF(Q21="","",(E21*Q21)/1000000)</f>
        <v>1256.8619195580002</v>
      </c>
      <c r="V21" s="6">
        <f>IF(R21="","",(F21*R21)/1000000)</f>
        <v>1252.3180201500002</v>
      </c>
      <c r="W21" s="5">
        <f>(IF(V21="","",V21-U21))</f>
        <v>-4.5438994080000157</v>
      </c>
      <c r="X21" s="4">
        <f>IF(W21="","",W21/U21)</f>
        <v>-3.6152733544492824E-3</v>
      </c>
      <c r="Y21" s="70" t="s">
        <v>129</v>
      </c>
      <c r="Z21" s="69"/>
      <c r="AA21" s="69"/>
      <c r="AB21" s="69"/>
      <c r="AC21" s="69"/>
      <c r="AD21" s="69"/>
      <c r="AE21" s="69"/>
      <c r="AF21" s="68"/>
    </row>
    <row r="22" spans="2:32" x14ac:dyDescent="0.35">
      <c r="B22" s="63">
        <v>46045</v>
      </c>
      <c r="C22" s="42" t="s">
        <v>184</v>
      </c>
      <c r="D22" s="75" t="s">
        <v>183</v>
      </c>
      <c r="E22" s="74">
        <v>1578.1179999999999</v>
      </c>
      <c r="F22" s="72">
        <v>1578.3630000000001</v>
      </c>
      <c r="G22" s="5">
        <f>(IF(F22="","",F22-E22))</f>
        <v>0.24500000000011823</v>
      </c>
      <c r="H22" s="11">
        <f>IF(G22="","",G22/E22)</f>
        <v>1.5524821337828873E-4</v>
      </c>
      <c r="I22" s="8">
        <v>4478</v>
      </c>
      <c r="J22" s="8">
        <v>4481</v>
      </c>
      <c r="K22" s="7">
        <f>(IF(J22="","",J22-I22))</f>
        <v>3</v>
      </c>
      <c r="L22" s="4">
        <f>IF(K22="","",K22/I22)</f>
        <v>6.6994193836534166E-4</v>
      </c>
      <c r="M22" s="56">
        <f>IF(I22="","",(E22*I22)/1000000)</f>
        <v>7.0668124040000002</v>
      </c>
      <c r="N22" s="10">
        <f>IF(J22="","",(F22*J22)/1000000)</f>
        <v>7.0726446030000005</v>
      </c>
      <c r="O22" s="9">
        <f>(IF(N22="","",N22-M22))</f>
        <v>5.8321990000003154E-3</v>
      </c>
      <c r="P22" s="4">
        <f>IF(O22="","",O22/M22)</f>
        <v>8.2529415903259847E-4</v>
      </c>
      <c r="Q22" s="73">
        <v>800203</v>
      </c>
      <c r="R22" s="8">
        <v>797870</v>
      </c>
      <c r="S22" s="7">
        <f>(IF(R22="","",R22-Q22))</f>
        <v>-2333</v>
      </c>
      <c r="T22" s="4">
        <f>IF(S22="","",S22/Q22)</f>
        <v>-2.9155101892894678E-3</v>
      </c>
      <c r="U22" s="55">
        <f>IF(Q22="","",(E22*Q22)/1000000)</f>
        <v>1262.814757954</v>
      </c>
      <c r="V22" s="6">
        <f>IF(R22="","",(F22*R22)/1000000)</f>
        <v>1259.32848681</v>
      </c>
      <c r="W22" s="5">
        <f>(IF(V22="","",V22-U22))</f>
        <v>-3.4862711440000567</v>
      </c>
      <c r="X22" s="4">
        <f>IF(W22="","",W22/U22)</f>
        <v>-2.7607146036592719E-3</v>
      </c>
      <c r="Y22" s="70" t="s">
        <v>182</v>
      </c>
      <c r="Z22" s="69"/>
      <c r="AA22" s="69"/>
      <c r="AB22" s="69"/>
      <c r="AC22" s="69"/>
      <c r="AD22" s="69"/>
      <c r="AE22" s="69"/>
      <c r="AF22" s="68"/>
    </row>
    <row r="23" spans="2:32" x14ac:dyDescent="0.35">
      <c r="B23" s="63">
        <v>46045</v>
      </c>
      <c r="C23" s="42" t="s">
        <v>181</v>
      </c>
      <c r="D23" s="75" t="s">
        <v>180</v>
      </c>
      <c r="E23" s="74">
        <v>1668.239</v>
      </c>
      <c r="F23" s="72">
        <v>1670.5650000000001</v>
      </c>
      <c r="G23" s="5">
        <f>(IF(F23="","",F23-E23))</f>
        <v>2.3260000000000218</v>
      </c>
      <c r="H23" s="11">
        <f>IF(G23="","",G23/E23)</f>
        <v>1.394284631878299E-3</v>
      </c>
      <c r="I23" s="8">
        <v>4497.8670000000002</v>
      </c>
      <c r="J23" s="8">
        <v>4499</v>
      </c>
      <c r="K23" s="7">
        <f>(IF(J23="","",J23-I23))</f>
        <v>1.1329999999998108</v>
      </c>
      <c r="L23" s="4">
        <f>IF(K23="","",K23/I23)</f>
        <v>2.5189717703965253E-4</v>
      </c>
      <c r="M23" s="56">
        <f>IF(I23="","",(E23*I23)/1000000)</f>
        <v>7.5035171462130004</v>
      </c>
      <c r="N23" s="10">
        <f>IF(J23="","",(F23*J23)/1000000)</f>
        <v>7.5158719350000007</v>
      </c>
      <c r="O23" s="9">
        <f>(IF(N23="","",N23-M23))</f>
        <v>1.2354788787000359E-2</v>
      </c>
      <c r="P23" s="4">
        <f>IF(O23="","",O23/M23)</f>
        <v>1.6465330252807885E-3</v>
      </c>
      <c r="Q23" s="73">
        <v>819906.11899999995</v>
      </c>
      <c r="R23" s="8">
        <v>817441</v>
      </c>
      <c r="S23" s="7">
        <f>(IF(R23="","",R23-Q23))</f>
        <v>-2465.1189999999478</v>
      </c>
      <c r="T23" s="4">
        <f>IF(S23="","",S23/Q23)</f>
        <v>-3.0065869041281642E-3</v>
      </c>
      <c r="U23" s="55">
        <f>IF(Q23="","",(E23*Q23)/1000000)</f>
        <v>1367.799364054441</v>
      </c>
      <c r="V23" s="6">
        <f>IF(R23="","",(F23*R23)/1000000)</f>
        <v>1365.5883241649999</v>
      </c>
      <c r="W23" s="5">
        <f>(IF(V23="","",V23-U23))</f>
        <v>-2.2110398894410537</v>
      </c>
      <c r="X23" s="4">
        <f>IF(W23="","",W23/U23)</f>
        <v>-1.6164943101648131E-3</v>
      </c>
      <c r="Y23" s="66" t="s">
        <v>31</v>
      </c>
      <c r="Z23" s="65"/>
      <c r="AA23" s="65"/>
      <c r="AB23" s="65"/>
      <c r="AC23" s="65"/>
      <c r="AD23" s="65"/>
      <c r="AE23" s="65"/>
      <c r="AF23" s="64"/>
    </row>
    <row r="24" spans="2:32" x14ac:dyDescent="0.35">
      <c r="B24" s="63">
        <v>46045</v>
      </c>
      <c r="C24" s="42" t="s">
        <v>179</v>
      </c>
      <c r="D24" s="75" t="s">
        <v>178</v>
      </c>
      <c r="E24" s="74">
        <v>1629.777</v>
      </c>
      <c r="F24" s="72">
        <v>1631.078</v>
      </c>
      <c r="G24" s="5">
        <f>(IF(F24="","",F24-E24))</f>
        <v>1.3009999999999309</v>
      </c>
      <c r="H24" s="11">
        <f>IF(G24="","",G24/E24)</f>
        <v>7.982687201991014E-4</v>
      </c>
      <c r="I24" s="8">
        <v>4623.8609999999999</v>
      </c>
      <c r="J24" s="8">
        <v>4651</v>
      </c>
      <c r="K24" s="7">
        <f>(IF(J24="","",J24-I24))</f>
        <v>27.139000000000124</v>
      </c>
      <c r="L24" s="4">
        <f>IF(K24="","",K24/I24)</f>
        <v>5.8693373351837615E-3</v>
      </c>
      <c r="M24" s="56">
        <f>IF(I24="","",(E24*I24)/1000000)</f>
        <v>7.5358623089969994</v>
      </c>
      <c r="N24" s="10">
        <f>IF(J24="","",(F24*J24)/1000000)</f>
        <v>7.5861437780000003</v>
      </c>
      <c r="O24" s="9">
        <f>(IF(N24="","",N24-M24))</f>
        <v>5.02814690030009E-2</v>
      </c>
      <c r="P24" s="4">
        <f>IF(O24="","",O24/M24)</f>
        <v>6.672291363785973E-3</v>
      </c>
      <c r="Q24" s="73">
        <v>798370.91700000002</v>
      </c>
      <c r="R24" s="8">
        <v>798887</v>
      </c>
      <c r="S24" s="7">
        <f>(IF(R24="","",R24-Q24))</f>
        <v>516.08299999998417</v>
      </c>
      <c r="T24" s="4">
        <f>IF(S24="","",S24/Q24)</f>
        <v>6.4642008997427465E-4</v>
      </c>
      <c r="U24" s="55">
        <f>IF(Q24="","",(E24*Q24)/1000000)</f>
        <v>1301.166557995509</v>
      </c>
      <c r="V24" s="6">
        <f>IF(R24="","",(F24*R24)/1000000)</f>
        <v>1303.0470101859999</v>
      </c>
      <c r="W24" s="5">
        <f>(IF(V24="","",V24-U24))</f>
        <v>1.8804521904908142</v>
      </c>
      <c r="X24" s="4">
        <f>IF(W24="","",W24/U24)</f>
        <v>1.4452048271112303E-3</v>
      </c>
      <c r="Y24" s="62"/>
      <c r="Z24" s="61"/>
      <c r="AA24" s="61"/>
      <c r="AB24" s="61"/>
      <c r="AC24" s="61"/>
      <c r="AD24" s="61"/>
      <c r="AE24" s="61"/>
      <c r="AF24" s="60"/>
    </row>
    <row r="25" spans="2:32" x14ac:dyDescent="0.35">
      <c r="B25" s="63">
        <v>46050</v>
      </c>
      <c r="C25" s="42" t="s">
        <v>177</v>
      </c>
      <c r="D25" s="75" t="s">
        <v>176</v>
      </c>
      <c r="E25" s="74">
        <v>1650.191</v>
      </c>
      <c r="F25" s="72">
        <v>1650.02</v>
      </c>
      <c r="G25" s="5">
        <f>(IF(F25="","",F25-E25))</f>
        <v>-0.17100000000004911</v>
      </c>
      <c r="H25" s="11">
        <f>IF(G25="","",G25/E25)</f>
        <v>-1.0362436833072602E-4</v>
      </c>
      <c r="I25" s="8">
        <v>4423.8100000000004</v>
      </c>
      <c r="J25" s="8">
        <v>4423</v>
      </c>
      <c r="K25" s="7">
        <f>(IF(J25="","",J25-I25))</f>
        <v>-0.81000000000040018</v>
      </c>
      <c r="L25" s="4">
        <f>IF(K25="","",K25/I25)</f>
        <v>-1.8310008793334255E-4</v>
      </c>
      <c r="M25" s="56">
        <f>IF(I25="","",(E25*I25)/1000000)</f>
        <v>7.300131447710001</v>
      </c>
      <c r="N25" s="10">
        <f>IF(J25="","",(F25*J25)/1000000)</f>
        <v>7.2980384599999999</v>
      </c>
      <c r="O25" s="9">
        <f>(IF(N25="","",N25-M25))</f>
        <v>-2.0929877100011041E-3</v>
      </c>
      <c r="P25" s="4">
        <f>IF(O25="","",O25/M25)</f>
        <v>-2.8670548263314618E-4</v>
      </c>
      <c r="Q25" s="73">
        <v>785291.28700000001</v>
      </c>
      <c r="R25" s="8">
        <v>782843</v>
      </c>
      <c r="S25" s="7">
        <f>(IF(R25="","",R25-Q25))</f>
        <v>-2448.2870000000112</v>
      </c>
      <c r="T25" s="4">
        <f>IF(S25="","",S25/Q25)</f>
        <v>-3.1176800768451811E-3</v>
      </c>
      <c r="U25" s="55">
        <f>IF(Q25="","",(E25*Q25)/1000000)</f>
        <v>1295.880614185817</v>
      </c>
      <c r="V25" s="6">
        <f>IF(R25="","",(F25*R25)/1000000)</f>
        <v>1291.70660686</v>
      </c>
      <c r="W25" s="5">
        <f>(IF(V25="","",V25-U25))</f>
        <v>-4.1740073258170014</v>
      </c>
      <c r="X25" s="4">
        <f>IF(W25="","",W25/U25)</f>
        <v>-3.2209813775472438E-3</v>
      </c>
      <c r="Y25" s="62"/>
      <c r="Z25" s="61"/>
      <c r="AA25" s="61"/>
      <c r="AB25" s="61"/>
      <c r="AC25" s="61"/>
      <c r="AD25" s="61"/>
      <c r="AE25" s="61"/>
      <c r="AF25" s="60"/>
    </row>
    <row r="26" spans="2:32" x14ac:dyDescent="0.35">
      <c r="B26" s="63">
        <v>46050</v>
      </c>
      <c r="C26" s="42" t="s">
        <v>175</v>
      </c>
      <c r="D26" s="75" t="s">
        <v>174</v>
      </c>
      <c r="E26" s="74">
        <v>1623.4179999999999</v>
      </c>
      <c r="F26" s="72">
        <v>1622.884</v>
      </c>
      <c r="G26" s="5">
        <f>(IF(F26="","",F26-E26))</f>
        <v>-0.53399999999987813</v>
      </c>
      <c r="H26" s="11">
        <f>IF(G26="","",G26/E26)</f>
        <v>-3.2893561608894205E-4</v>
      </c>
      <c r="I26" s="8">
        <v>4371.6949999999997</v>
      </c>
      <c r="J26" s="8">
        <v>4325</v>
      </c>
      <c r="K26" s="7">
        <f>(IF(J26="","",J26-I26))</f>
        <v>-46.694999999999709</v>
      </c>
      <c r="L26" s="4">
        <f>IF(K26="","",K26/I26)</f>
        <v>-1.0681211749675975E-2</v>
      </c>
      <c r="M26" s="56">
        <f>IF(I26="","",(E26*I26)/1000000)</f>
        <v>7.0970883535099984</v>
      </c>
      <c r="N26" s="10">
        <f>IF(J26="","",(F26*J26)/1000000)</f>
        <v>7.0189732999999999</v>
      </c>
      <c r="O26" s="9">
        <f>(IF(N26="","",N26-M26))</f>
        <v>-7.8115053509998589E-2</v>
      </c>
      <c r="P26" s="4">
        <f>IF(O26="","",O26/M26)</f>
        <v>-1.1006633934797404E-2</v>
      </c>
      <c r="Q26" s="73">
        <v>774967.88300000003</v>
      </c>
      <c r="R26" s="8">
        <v>774779</v>
      </c>
      <c r="S26" s="7">
        <f>(IF(R26="","",R26-Q26))</f>
        <v>-188.88300000003073</v>
      </c>
      <c r="T26" s="4">
        <f>IF(S26="","",S26/Q26)</f>
        <v>-2.437301004898944E-4</v>
      </c>
      <c r="U26" s="55">
        <f>IF(Q26="","",(E26*Q26)/1000000)</f>
        <v>1258.096810684094</v>
      </c>
      <c r="V26" s="6">
        <f>IF(R26="","",(F26*R26)/1000000)</f>
        <v>1257.3764426359999</v>
      </c>
      <c r="W26" s="5">
        <f>(IF(V26="","",V26-U26))</f>
        <v>-0.7203680480940875</v>
      </c>
      <c r="X26" s="4">
        <f>IF(W26="","",W26/U26)</f>
        <v>-5.7258554506817735E-4</v>
      </c>
      <c r="Y26" s="62"/>
      <c r="Z26" s="61"/>
      <c r="AA26" s="61"/>
      <c r="AB26" s="61"/>
      <c r="AC26" s="61"/>
      <c r="AD26" s="61"/>
      <c r="AE26" s="61"/>
      <c r="AF26" s="60"/>
    </row>
    <row r="27" spans="2:32" x14ac:dyDescent="0.35">
      <c r="B27" s="63">
        <v>46050</v>
      </c>
      <c r="C27" s="42" t="s">
        <v>173</v>
      </c>
      <c r="D27" s="75" t="s">
        <v>172</v>
      </c>
      <c r="E27" s="74">
        <v>1657.297</v>
      </c>
      <c r="F27" s="72">
        <v>1657.6389999999999</v>
      </c>
      <c r="G27" s="5">
        <f>(IF(F27="","",F27-E27))</f>
        <v>0.34199999999987085</v>
      </c>
      <c r="H27" s="11">
        <f>IF(G27="","",G27/E27)</f>
        <v>2.0636011529609409E-4</v>
      </c>
      <c r="I27" s="8">
        <v>4607.9709999999995</v>
      </c>
      <c r="J27" s="8">
        <v>4555</v>
      </c>
      <c r="K27" s="7">
        <f>(IF(J27="","",J27-I27))</f>
        <v>-52.970999999999549</v>
      </c>
      <c r="L27" s="4">
        <f>IF(K27="","",K27/I27)</f>
        <v>-1.1495515054239611E-2</v>
      </c>
      <c r="M27" s="56">
        <f>IF(I27="","",(E27*I27)/1000000)</f>
        <v>7.636776514386999</v>
      </c>
      <c r="N27" s="10">
        <f>IF(J27="","",(F27*J27)/1000000)</f>
        <v>7.5505456449999997</v>
      </c>
      <c r="O27" s="9">
        <f>(IF(N27="","",N27-M27))</f>
        <v>-8.6230869386999309E-2</v>
      </c>
      <c r="P27" s="4">
        <f>IF(O27="","",O27/M27)</f>
        <v>-1.1291527154755428E-2</v>
      </c>
      <c r="Q27" s="73">
        <v>785260.076</v>
      </c>
      <c r="R27" s="8">
        <v>787158</v>
      </c>
      <c r="S27" s="7">
        <f>(IF(R27="","",R27-Q27))</f>
        <v>1897.9239999999991</v>
      </c>
      <c r="T27" s="4">
        <f>IF(S27="","",S27/Q27)</f>
        <v>2.4169368315116011E-3</v>
      </c>
      <c r="U27" s="55">
        <f>IF(Q27="","",(E27*Q27)/1000000)</f>
        <v>1301.409168174572</v>
      </c>
      <c r="V27" s="6">
        <f>IF(R27="","",(F27*R27)/1000000)</f>
        <v>1304.8237999619998</v>
      </c>
      <c r="W27" s="5">
        <f>(IF(V27="","",V27-U27))</f>
        <v>3.4146317874278793</v>
      </c>
      <c r="X27" s="4">
        <f>IF(W27="","",W27/U27)</f>
        <v>2.623795706170896E-3</v>
      </c>
      <c r="Y27" s="59"/>
      <c r="Z27" s="58"/>
      <c r="AA27" s="58"/>
      <c r="AB27" s="58"/>
      <c r="AC27" s="58"/>
      <c r="AD27" s="58"/>
      <c r="AE27" s="58"/>
      <c r="AF27" s="57"/>
    </row>
    <row r="28" spans="2:32" x14ac:dyDescent="0.35">
      <c r="B28" s="63">
        <v>46053</v>
      </c>
      <c r="C28" s="42" t="s">
        <v>171</v>
      </c>
      <c r="D28" s="75" t="s">
        <v>170</v>
      </c>
      <c r="E28" s="74">
        <v>1718.6669999999999</v>
      </c>
      <c r="F28" s="72">
        <v>1719.0409999999999</v>
      </c>
      <c r="G28" s="5">
        <f>(IF(F28="","",F28-E28))</f>
        <v>0.37400000000002365</v>
      </c>
      <c r="H28" s="11">
        <f>IF(G28="","",G28/E28)</f>
        <v>2.1761050860930224E-4</v>
      </c>
      <c r="I28" s="8">
        <v>5140</v>
      </c>
      <c r="J28" s="8">
        <v>5157</v>
      </c>
      <c r="K28" s="7">
        <f>(IF(J28="","",J28-I28))</f>
        <v>17</v>
      </c>
      <c r="L28" s="4">
        <f>IF(K28="","",K28/I28)</f>
        <v>3.3073929961089494E-3</v>
      </c>
      <c r="M28" s="56">
        <f>IF(I28="","",(E28*I28)/1000000)</f>
        <v>8.8339483799999989</v>
      </c>
      <c r="N28" s="10">
        <f>IF(J28="","",(F28*J28)/1000000)</f>
        <v>8.8650944369999998</v>
      </c>
      <c r="O28" s="9">
        <f>(IF(N28="","",N28-M28))</f>
        <v>3.1146057000000837E-2</v>
      </c>
      <c r="P28" s="4">
        <f>IF(O28="","",O28/M28)</f>
        <v>3.5257232281903873E-3</v>
      </c>
      <c r="Q28" s="73">
        <v>833854</v>
      </c>
      <c r="R28" s="8">
        <v>832978</v>
      </c>
      <c r="S28" s="7">
        <f>(IF(R28="","",R28-Q28))</f>
        <v>-876</v>
      </c>
      <c r="T28" s="4">
        <f>IF(S28="","",S28/Q28)</f>
        <v>-1.0505436203460078E-3</v>
      </c>
      <c r="U28" s="55">
        <f>IF(Q28="","",(E28*Q28)/1000000)</f>
        <v>1433.117352618</v>
      </c>
      <c r="V28" s="6">
        <f>IF(R28="","",(F28*R28)/1000000)</f>
        <v>1431.9233340979999</v>
      </c>
      <c r="W28" s="5">
        <f>(IF(V28="","",V28-U28))</f>
        <v>-1.1940185200000997</v>
      </c>
      <c r="X28" s="4">
        <f>IF(W28="","",W28/U28)</f>
        <v>-8.3316172106832865E-4</v>
      </c>
      <c r="Y28" s="70" t="s">
        <v>129</v>
      </c>
      <c r="Z28" s="69"/>
      <c r="AA28" s="69"/>
      <c r="AB28" s="69"/>
      <c r="AC28" s="69"/>
      <c r="AD28" s="69"/>
      <c r="AE28" s="69"/>
      <c r="AF28" s="68"/>
    </row>
    <row r="29" spans="2:32" x14ac:dyDescent="0.35">
      <c r="B29" s="63">
        <v>46053</v>
      </c>
      <c r="C29" s="42" t="s">
        <v>169</v>
      </c>
      <c r="D29" s="75" t="s">
        <v>168</v>
      </c>
      <c r="E29" s="74">
        <v>1486.16</v>
      </c>
      <c r="F29" s="72">
        <v>1485.8910000000001</v>
      </c>
      <c r="G29" s="5">
        <f>(IF(F29="","",F29-E29))</f>
        <v>-0.26900000000000546</v>
      </c>
      <c r="H29" s="11">
        <f>IF(G29="","",G29/E29)</f>
        <v>-1.8100339129030889E-4</v>
      </c>
      <c r="I29" s="8">
        <v>5022</v>
      </c>
      <c r="J29" s="8">
        <v>5075</v>
      </c>
      <c r="K29" s="7">
        <f>(IF(J29="","",J29-I29))</f>
        <v>53</v>
      </c>
      <c r="L29" s="4">
        <f>IF(K29="","",K29/I29)</f>
        <v>1.0553564317005177E-2</v>
      </c>
      <c r="M29" s="56">
        <f>IF(I29="","",(E29*I29)/1000000)</f>
        <v>7.4634955200000004</v>
      </c>
      <c r="N29" s="10">
        <f>IF(J29="","",(F29*J29)/1000000)</f>
        <v>7.5408968249999999</v>
      </c>
      <c r="O29" s="9">
        <f>(IF(N29="","",N29-M29))</f>
        <v>7.7401304999999532E-2</v>
      </c>
      <c r="P29" s="4">
        <f>IF(O29="","",O29/M29)</f>
        <v>1.0370650694783231E-2</v>
      </c>
      <c r="Q29" s="73">
        <v>856727</v>
      </c>
      <c r="R29" s="8">
        <v>858536</v>
      </c>
      <c r="S29" s="7">
        <f>(IF(R29="","",R29-Q29))</f>
        <v>1809</v>
      </c>
      <c r="T29" s="4">
        <f>IF(S29="","",S29/Q29)</f>
        <v>2.1115244412747585E-3</v>
      </c>
      <c r="U29" s="55">
        <f>IF(Q29="","",(E29*Q29)/1000000)</f>
        <v>1273.2333983200001</v>
      </c>
      <c r="V29" s="6">
        <f>IF(R29="","",(F29*R29)/1000000)</f>
        <v>1275.690915576</v>
      </c>
      <c r="W29" s="5">
        <f>(IF(V29="","",V29-U29))</f>
        <v>2.4575172559998464</v>
      </c>
      <c r="X29" s="4">
        <f>IF(W29="","",W29/U29)</f>
        <v>1.9301388568996694E-3</v>
      </c>
      <c r="Y29" s="70" t="s">
        <v>129</v>
      </c>
      <c r="Z29" s="69"/>
      <c r="AA29" s="69"/>
      <c r="AB29" s="69"/>
      <c r="AC29" s="69"/>
      <c r="AD29" s="69"/>
      <c r="AE29" s="69"/>
      <c r="AF29" s="68"/>
    </row>
    <row r="30" spans="2:32" x14ac:dyDescent="0.35">
      <c r="B30" s="63">
        <v>46053</v>
      </c>
      <c r="C30" s="42" t="s">
        <v>167</v>
      </c>
      <c r="D30" s="75" t="s">
        <v>166</v>
      </c>
      <c r="E30" s="74">
        <v>1134.453</v>
      </c>
      <c r="F30" s="72">
        <v>1134.028</v>
      </c>
      <c r="G30" s="5">
        <f>(IF(F30="","",F30-E30))</f>
        <v>-0.42499999999995453</v>
      </c>
      <c r="H30" s="11">
        <f>IF(G30="","",G30/E30)</f>
        <v>-3.7462988770795664E-4</v>
      </c>
      <c r="I30" s="8">
        <v>4967</v>
      </c>
      <c r="J30" s="8">
        <v>5108</v>
      </c>
      <c r="K30" s="7">
        <f>(IF(J30="","",J30-I30))</f>
        <v>141</v>
      </c>
      <c r="L30" s="4">
        <f>IF(K30="","",K30/I30)</f>
        <v>2.8387356553251461E-2</v>
      </c>
      <c r="M30" s="56">
        <f>IF(I30="","",(E30*I30)/1000000)</f>
        <v>5.6348280510000004</v>
      </c>
      <c r="N30" s="10">
        <f>IF(J30="","",(F30*J30)/1000000)</f>
        <v>5.7926150239999998</v>
      </c>
      <c r="O30" s="9">
        <f>(IF(N30="","",N30-M30))</f>
        <v>0.15778697299999944</v>
      </c>
      <c r="P30" s="4">
        <f>IF(O30="","",O30/M30)</f>
        <v>2.8002091913345489E-2</v>
      </c>
      <c r="Q30" s="73">
        <v>866836</v>
      </c>
      <c r="R30" s="8">
        <v>868360</v>
      </c>
      <c r="S30" s="7">
        <f>(IF(R30="","",R30-Q30))</f>
        <v>1524</v>
      </c>
      <c r="T30" s="4">
        <f>IF(S30="","",S30/Q30)</f>
        <v>1.7581180292465933E-3</v>
      </c>
      <c r="U30" s="55">
        <f>IF(Q30="","",(E30*Q30)/1000000)</f>
        <v>983.38470070799997</v>
      </c>
      <c r="V30" s="6">
        <f>IF(R30="","",(F30*R30)/1000000)</f>
        <v>984.74455408000006</v>
      </c>
      <c r="W30" s="5">
        <f>(IF(V30="","",V30-U30))</f>
        <v>1.3598533720000887</v>
      </c>
      <c r="X30" s="4">
        <f>IF(W30="","",W30/U30)</f>
        <v>1.3828294979788128E-3</v>
      </c>
      <c r="Y30" s="70" t="s">
        <v>129</v>
      </c>
      <c r="Z30" s="69"/>
      <c r="AA30" s="69"/>
      <c r="AB30" s="69"/>
      <c r="AC30" s="69"/>
      <c r="AD30" s="69"/>
      <c r="AE30" s="69"/>
      <c r="AF30" s="68"/>
    </row>
    <row r="31" spans="2:32" x14ac:dyDescent="0.35">
      <c r="B31" s="63">
        <v>46064</v>
      </c>
      <c r="C31" s="42" t="s">
        <v>165</v>
      </c>
      <c r="D31" s="75" t="s">
        <v>164</v>
      </c>
      <c r="E31" s="74">
        <v>1652.1320000000001</v>
      </c>
      <c r="F31" s="72">
        <v>1657.3869999999999</v>
      </c>
      <c r="G31" s="5">
        <f>(IF(F31="","",F31-E31))</f>
        <v>5.2549999999998818</v>
      </c>
      <c r="H31" s="11">
        <f>IF(G31="","",G31/E31)</f>
        <v>3.1807385850524542E-3</v>
      </c>
      <c r="I31" s="8">
        <v>4980.415</v>
      </c>
      <c r="J31" s="8">
        <v>5046</v>
      </c>
      <c r="K31" s="7">
        <f>(IF(J31="","",J31-I31))</f>
        <v>65.585000000000036</v>
      </c>
      <c r="L31" s="4">
        <f>IF(K31="","",K31/I31)</f>
        <v>1.3168581333081688E-2</v>
      </c>
      <c r="M31" s="56">
        <f>IF(I31="","",(E31*I31)/1000000)</f>
        <v>8.2283029947799999</v>
      </c>
      <c r="N31" s="10">
        <f>IF(J31="","",(F31*J31)/1000000)</f>
        <v>8.3631748019999996</v>
      </c>
      <c r="O31" s="9">
        <f>(IF(N31="","",N31-M31))</f>
        <v>0.1348718072199997</v>
      </c>
      <c r="P31" s="4">
        <f>IF(O31="","",O31/M31)</f>
        <v>1.6391205732890705E-2</v>
      </c>
      <c r="Q31" s="73">
        <v>840920.50600000005</v>
      </c>
      <c r="R31" s="8">
        <v>844459</v>
      </c>
      <c r="S31" s="7">
        <f>(IF(R31="","",R31-Q31))</f>
        <v>3538.4939999999478</v>
      </c>
      <c r="T31" s="4">
        <f>IF(S31="","",S31/Q31)</f>
        <v>4.2078816900677973E-3</v>
      </c>
      <c r="U31" s="55">
        <f>IF(Q31="","",(E31*Q31)/1000000)</f>
        <v>1389.3116774187922</v>
      </c>
      <c r="V31" s="6">
        <f>IF(R31="","",(F31*R31)/1000000)</f>
        <v>1399.5953686329999</v>
      </c>
      <c r="W31" s="5">
        <f>(IF(V31="","",V31-U31))</f>
        <v>10.283691214207693</v>
      </c>
      <c r="X31" s="4">
        <f>IF(W31="","",W31/U31)</f>
        <v>7.4020044467730988E-3</v>
      </c>
      <c r="Y31" s="70" t="s">
        <v>31</v>
      </c>
      <c r="Z31" s="69"/>
      <c r="AA31" s="69"/>
      <c r="AB31" s="69"/>
      <c r="AC31" s="69"/>
      <c r="AD31" s="69"/>
      <c r="AE31" s="69"/>
      <c r="AF31" s="68"/>
    </row>
    <row r="32" spans="2:32" x14ac:dyDescent="0.35">
      <c r="B32" s="63">
        <v>46064</v>
      </c>
      <c r="C32" s="42" t="s">
        <v>163</v>
      </c>
      <c r="D32" s="75" t="s">
        <v>162</v>
      </c>
      <c r="E32" s="74">
        <v>1732.2729999999999</v>
      </c>
      <c r="F32" s="72">
        <v>1731.068</v>
      </c>
      <c r="G32" s="5">
        <f>(IF(F32="","",F32-E32))</f>
        <v>-1.2049999999999272</v>
      </c>
      <c r="H32" s="11">
        <f>IF(G32="","",G32/E32)</f>
        <v>-6.9561783852771899E-4</v>
      </c>
      <c r="I32" s="8">
        <v>3652</v>
      </c>
      <c r="J32" s="8">
        <v>3585</v>
      </c>
      <c r="K32" s="7">
        <f>(IF(J32="","",J32-I32))</f>
        <v>-67</v>
      </c>
      <c r="L32" s="4">
        <f>IF(K32="","",K32/I32)</f>
        <v>-1.8346111719605696E-2</v>
      </c>
      <c r="M32" s="56">
        <f>IF(I32="","",(E32*I32)/1000000)</f>
        <v>6.3262609959999994</v>
      </c>
      <c r="N32" s="10">
        <f>IF(J32="","",(F32*J32)/1000000)</f>
        <v>6.2058787799999999</v>
      </c>
      <c r="O32" s="9">
        <f>(IF(N32="","",N32-M32))</f>
        <v>-0.12038221599999943</v>
      </c>
      <c r="P32" s="4">
        <f>IF(O32="","",O32/M32)</f>
        <v>-1.9028967675553586E-2</v>
      </c>
      <c r="Q32" s="73">
        <v>838546</v>
      </c>
      <c r="R32" s="8">
        <v>831853</v>
      </c>
      <c r="S32" s="7">
        <f>(IF(R32="","",R32-Q32))</f>
        <v>-6693</v>
      </c>
      <c r="T32" s="4">
        <f>IF(S32="","",S32/Q32)</f>
        <v>-7.9816730388076497E-3</v>
      </c>
      <c r="U32" s="55">
        <f>IF(Q32="","",(E32*Q32)/1000000)</f>
        <v>1452.590595058</v>
      </c>
      <c r="V32" s="6">
        <f>IF(R32="","",(F32*R32)/1000000)</f>
        <v>1439.9941090039999</v>
      </c>
      <c r="W32" s="5">
        <f>(IF(V32="","",V32-U32))</f>
        <v>-12.596486054000025</v>
      </c>
      <c r="X32" s="4">
        <f>IF(W32="","",W32/U32)</f>
        <v>-8.6717386831883375E-3</v>
      </c>
      <c r="Y32" s="70" t="s">
        <v>129</v>
      </c>
      <c r="Z32" s="69"/>
      <c r="AA32" s="69"/>
      <c r="AB32" s="69"/>
      <c r="AC32" s="69"/>
      <c r="AD32" s="69"/>
      <c r="AE32" s="69"/>
      <c r="AF32" s="68"/>
    </row>
    <row r="33" spans="2:32" x14ac:dyDescent="0.35">
      <c r="B33" s="63">
        <v>46064</v>
      </c>
      <c r="C33" s="42" t="s">
        <v>161</v>
      </c>
      <c r="D33" s="75" t="s">
        <v>160</v>
      </c>
      <c r="E33" s="74">
        <v>1598.8489999999999</v>
      </c>
      <c r="F33" s="72">
        <v>1592.3689999999999</v>
      </c>
      <c r="G33" s="5">
        <f>(IF(F33="","",F33-E33))</f>
        <v>-6.4800000000000182</v>
      </c>
      <c r="H33" s="11">
        <f>IF(G33="","",G33/E33)</f>
        <v>-4.0529155661354005E-3</v>
      </c>
      <c r="I33" s="8">
        <v>4434</v>
      </c>
      <c r="J33" s="8">
        <v>4344</v>
      </c>
      <c r="K33" s="7">
        <f>(IF(J33="","",J33-I33))</f>
        <v>-90</v>
      </c>
      <c r="L33" s="4">
        <f>IF(K33="","",K33/I33)</f>
        <v>-2.0297699594046009E-2</v>
      </c>
      <c r="M33" s="56">
        <f>IF(I33="","",(E33*I33)/1000000)</f>
        <v>7.0892964660000004</v>
      </c>
      <c r="N33" s="10">
        <f>IF(J33="","",(F33*J33)/1000000)</f>
        <v>6.9172509359999994</v>
      </c>
      <c r="O33" s="9">
        <f>(IF(N33="","",N33-M33))</f>
        <v>-0.172045530000001</v>
      </c>
      <c r="P33" s="4">
        <f>IF(O33="","",O33/M33)</f>
        <v>-2.4268350297540087E-2</v>
      </c>
      <c r="Q33" s="73">
        <v>828174</v>
      </c>
      <c r="R33" s="8">
        <v>790048</v>
      </c>
      <c r="S33" s="7">
        <f>(IF(R33="","",R33-Q33))</f>
        <v>-38126</v>
      </c>
      <c r="T33" s="4">
        <f>IF(S33="","",S33/Q33)</f>
        <v>-4.6036219441808121E-2</v>
      </c>
      <c r="U33" s="55">
        <f>IF(Q33="","",(E33*Q33)/1000000)</f>
        <v>1324.1251717259997</v>
      </c>
      <c r="V33" s="6">
        <f>IF(R33="","",(F33*R33)/1000000)</f>
        <v>1258.047943712</v>
      </c>
      <c r="W33" s="5">
        <f>(IF(V33="","",V33-U33))</f>
        <v>-66.077228013999729</v>
      </c>
      <c r="X33" s="4">
        <f>IF(W33="","",W33/U33)</f>
        <v>-4.9902554097561586E-2</v>
      </c>
      <c r="Y33" s="70" t="s">
        <v>159</v>
      </c>
      <c r="Z33" s="69"/>
      <c r="AA33" s="69"/>
      <c r="AB33" s="69"/>
      <c r="AC33" s="69"/>
      <c r="AD33" s="69"/>
      <c r="AE33" s="69"/>
      <c r="AF33" s="68"/>
    </row>
    <row r="34" spans="2:32" x14ac:dyDescent="0.35">
      <c r="B34" s="63">
        <v>46067</v>
      </c>
      <c r="C34" s="42" t="s">
        <v>158</v>
      </c>
      <c r="D34" s="75" t="s">
        <v>157</v>
      </c>
      <c r="E34" s="74">
        <v>1626.325</v>
      </c>
      <c r="F34" s="72">
        <v>1622.9290000000001</v>
      </c>
      <c r="G34" s="5">
        <f>(IF(F34="","",F34-E34))</f>
        <v>-3.3959999999999582</v>
      </c>
      <c r="H34" s="11">
        <f>IF(G34="","",G34/E34)</f>
        <v>-2.0881435137503008E-3</v>
      </c>
      <c r="I34" s="8">
        <v>4553</v>
      </c>
      <c r="J34" s="8">
        <v>4471</v>
      </c>
      <c r="K34" s="7">
        <f>(IF(J34="","",J34-I34))</f>
        <v>-82</v>
      </c>
      <c r="L34" s="4">
        <f>IF(K34="","",K34/I34)</f>
        <v>-1.8010103228640457E-2</v>
      </c>
      <c r="M34" s="56">
        <f>IF(I34="","",(E34*I34)/1000000)</f>
        <v>7.4046577250000007</v>
      </c>
      <c r="N34" s="10">
        <f>IF(J34="","",(F34*J34)/1000000)</f>
        <v>7.2561155590000004</v>
      </c>
      <c r="O34" s="9">
        <f>(IF(N34="","",N34-M34))</f>
        <v>-0.14854216600000036</v>
      </c>
      <c r="P34" s="4">
        <f>IF(O34="","",O34/M34)</f>
        <v>-2.0060639062151973E-2</v>
      </c>
      <c r="Q34" s="73">
        <v>832168</v>
      </c>
      <c r="R34" s="8">
        <v>827910</v>
      </c>
      <c r="S34" s="7">
        <f>(IF(R34="","",R34-Q34))</f>
        <v>-4258</v>
      </c>
      <c r="T34" s="4">
        <f>IF(S34="","",S34/Q34)</f>
        <v>-5.1167552705703653E-3</v>
      </c>
      <c r="U34" s="55">
        <f>IF(Q34="","",(E34*Q34)/1000000)</f>
        <v>1353.3756226</v>
      </c>
      <c r="V34" s="6">
        <f>IF(R34="","",(F34*R34)/1000000)</f>
        <v>1343.6391483900002</v>
      </c>
      <c r="W34" s="5">
        <f>(IF(V34="","",V34-U34))</f>
        <v>-9.7364742099998693</v>
      </c>
      <c r="X34" s="4">
        <f>IF(W34="","",W34/U34)</f>
        <v>-7.1942142649909059E-3</v>
      </c>
      <c r="Y34" s="70" t="s">
        <v>129</v>
      </c>
      <c r="Z34" s="69"/>
      <c r="AA34" s="69"/>
      <c r="AB34" s="69"/>
      <c r="AC34" s="69"/>
      <c r="AD34" s="69"/>
      <c r="AE34" s="69"/>
      <c r="AF34" s="68"/>
    </row>
    <row r="35" spans="2:32" x14ac:dyDescent="0.35">
      <c r="B35" s="63">
        <v>46067</v>
      </c>
      <c r="C35" s="42" t="s">
        <v>156</v>
      </c>
      <c r="D35" s="75" t="s">
        <v>155</v>
      </c>
      <c r="E35" s="74">
        <v>1627.6220000000001</v>
      </c>
      <c r="F35" s="72">
        <v>1626.9929999999999</v>
      </c>
      <c r="G35" s="5">
        <f>(IF(F35="","",F35-E35))</f>
        <v>-0.62900000000013279</v>
      </c>
      <c r="H35" s="11">
        <f>IF(G35="","",G35/E35)</f>
        <v>-3.864533657078442E-4</v>
      </c>
      <c r="I35" s="8">
        <v>4584</v>
      </c>
      <c r="J35" s="8">
        <v>4419</v>
      </c>
      <c r="K35" s="7">
        <f>(IF(J35="","",J35-I35))</f>
        <v>-165</v>
      </c>
      <c r="L35" s="4">
        <f>IF(K35="","",K35/I35)</f>
        <v>-3.5994764397905762E-2</v>
      </c>
      <c r="M35" s="56">
        <f>IF(I35="","",(E35*I35)/1000000)</f>
        <v>7.4610192480000004</v>
      </c>
      <c r="N35" s="10">
        <f>IF(J35="","",(F35*J35)/1000000)</f>
        <v>7.1896820669999997</v>
      </c>
      <c r="O35" s="9">
        <f>(IF(N35="","",N35-M35))</f>
        <v>-0.2713371810000007</v>
      </c>
      <c r="P35" s="4">
        <f>IF(O35="","",O35/M35)</f>
        <v>-3.6367307465764186E-2</v>
      </c>
      <c r="Q35" s="73">
        <v>813624</v>
      </c>
      <c r="R35" s="8">
        <v>814615</v>
      </c>
      <c r="S35" s="7">
        <f>(IF(R35="","",R35-Q35))</f>
        <v>991</v>
      </c>
      <c r="T35" s="4">
        <f>IF(S35="","",S35/Q35)</f>
        <v>1.2180073350835274E-3</v>
      </c>
      <c r="U35" s="55">
        <f>IF(Q35="","",(E35*Q35)/1000000)</f>
        <v>1324.272322128</v>
      </c>
      <c r="V35" s="6">
        <f>IF(R35="","",(F35*R35)/1000000)</f>
        <v>1325.372902695</v>
      </c>
      <c r="W35" s="5">
        <f>(IF(V35="","",V35-U35))</f>
        <v>1.1005805669999518</v>
      </c>
      <c r="X35" s="4">
        <f>IF(W35="","",W35/U35)</f>
        <v>8.310832663416287E-4</v>
      </c>
      <c r="Y35" s="70" t="s">
        <v>154</v>
      </c>
      <c r="Z35" s="69"/>
      <c r="AA35" s="69"/>
      <c r="AB35" s="69"/>
      <c r="AC35" s="69"/>
      <c r="AD35" s="69"/>
      <c r="AE35" s="69"/>
      <c r="AF35" s="68"/>
    </row>
    <row r="36" spans="2:32" ht="14.25" customHeight="1" x14ac:dyDescent="0.35">
      <c r="B36" s="63">
        <v>46067</v>
      </c>
      <c r="C36" s="47" t="s">
        <v>153</v>
      </c>
      <c r="D36" s="75" t="s">
        <v>152</v>
      </c>
      <c r="E36" s="74">
        <v>1556.741</v>
      </c>
      <c r="F36" s="72">
        <v>1551.82</v>
      </c>
      <c r="G36" s="5">
        <f>(IF(F36="","",F36-E36))</f>
        <v>-4.9210000000000491</v>
      </c>
      <c r="H36" s="11">
        <f>IF(G36="","",G36/E36)</f>
        <v>-3.161091022848405E-3</v>
      </c>
      <c r="I36" s="78">
        <v>4624</v>
      </c>
      <c r="J36" s="78">
        <v>4858</v>
      </c>
      <c r="K36" s="77">
        <f>(IF(J36="","",J36-I36))</f>
        <v>234</v>
      </c>
      <c r="L36" s="4">
        <f>IF(K36="","",K36/I36)</f>
        <v>5.0605536332179929E-2</v>
      </c>
      <c r="M36" s="56">
        <f>IF(I36="","",(E36*I36)/1000000)</f>
        <v>7.1983703839999995</v>
      </c>
      <c r="N36" s="10">
        <f>IF(J36="","",(F36*J36)/1000000)</f>
        <v>7.5387415599999992</v>
      </c>
      <c r="O36" s="9">
        <f>(IF(N36="","",N36-M36))</f>
        <v>0.34037117599999966</v>
      </c>
      <c r="P36" s="4">
        <f>IF(O36="","",O36/M36)</f>
        <v>4.7284476602725431E-2</v>
      </c>
      <c r="Q36" s="79">
        <v>782490</v>
      </c>
      <c r="R36" s="78">
        <v>744779</v>
      </c>
      <c r="S36" s="77">
        <f>(IF(R36="","",R36-Q36))</f>
        <v>-37711</v>
      </c>
      <c r="T36" s="4">
        <f>IF(S36="","",S36/Q36)</f>
        <v>-4.8193587138493782E-2</v>
      </c>
      <c r="U36" s="55">
        <f>IF(Q36="","",(E36*Q36)/1000000)</f>
        <v>1218.1342650899999</v>
      </c>
      <c r="V36" s="6">
        <f>IF(R36="","",(F36*R36)/1000000)</f>
        <v>1155.7629477799999</v>
      </c>
      <c r="W36" s="5">
        <f>(IF(V36="","",V36-U36))</f>
        <v>-62.371317309999995</v>
      </c>
      <c r="X36" s="4">
        <f>IF(W36="","",W36/U36)</f>
        <v>-5.1202333845679807E-2</v>
      </c>
      <c r="Y36" s="70" t="s">
        <v>151</v>
      </c>
      <c r="Z36" s="69"/>
      <c r="AA36" s="69"/>
      <c r="AB36" s="69"/>
      <c r="AC36" s="69"/>
      <c r="AD36" s="69"/>
      <c r="AE36" s="69"/>
      <c r="AF36" s="68"/>
    </row>
    <row r="37" spans="2:32" x14ac:dyDescent="0.35">
      <c r="B37" s="63">
        <v>46072</v>
      </c>
      <c r="C37" s="42" t="s">
        <v>150</v>
      </c>
      <c r="D37" s="75" t="s">
        <v>149</v>
      </c>
      <c r="E37" s="74">
        <v>1636.086</v>
      </c>
      <c r="F37" s="72">
        <v>1631.827</v>
      </c>
      <c r="G37" s="5">
        <f>(IF(F37="","",F37-E37))</f>
        <v>-4.2590000000000146</v>
      </c>
      <c r="H37" s="11">
        <f>IF(G37="","",G37/E37)</f>
        <v>-2.6031638923626351E-3</v>
      </c>
      <c r="I37" s="8">
        <v>4919.942</v>
      </c>
      <c r="J37" s="8">
        <v>5058</v>
      </c>
      <c r="K37" s="7">
        <f>(IF(J37="","",J37-I37))</f>
        <v>138.05799999999999</v>
      </c>
      <c r="L37" s="4">
        <f>IF(K37="","",K37/I37)</f>
        <v>2.8060899904917575E-2</v>
      </c>
      <c r="M37" s="56">
        <f>IF(I37="","",(E37*I37)/1000000)</f>
        <v>8.0494482270120002</v>
      </c>
      <c r="N37" s="10">
        <f>IF(J37="","",(F37*J37)/1000000)</f>
        <v>8.2537809660000008</v>
      </c>
      <c r="O37" s="9">
        <f>(IF(N37="","",N37-M37))</f>
        <v>0.20433273898800053</v>
      </c>
      <c r="P37" s="4">
        <f>IF(O37="","",O37/M37)</f>
        <v>2.5384688891135335E-2</v>
      </c>
      <c r="Q37" s="73">
        <v>783501.946</v>
      </c>
      <c r="R37" s="8">
        <v>790801</v>
      </c>
      <c r="S37" s="7">
        <f>(IF(R37="","",R37-Q37))</f>
        <v>7299.0540000000037</v>
      </c>
      <c r="T37" s="4">
        <f>IF(S37="","",S37/Q37)</f>
        <v>9.3159360193854623E-3</v>
      </c>
      <c r="U37" s="55">
        <f>IF(Q37="","",(E37*Q37)/1000000)</f>
        <v>1281.8765648233559</v>
      </c>
      <c r="V37" s="6">
        <f>IF(R37="","",(F37*R37)/1000000)</f>
        <v>1290.450423427</v>
      </c>
      <c r="W37" s="5">
        <f>(IF(V37="","",V37-U37))</f>
        <v>8.573858603644112</v>
      </c>
      <c r="X37" s="4">
        <f>IF(W37="","",W37/U37)</f>
        <v>6.6885212187536951E-3</v>
      </c>
      <c r="Y37" s="70" t="s">
        <v>105</v>
      </c>
      <c r="Z37" s="69"/>
      <c r="AA37" s="69"/>
      <c r="AB37" s="69"/>
      <c r="AC37" s="69"/>
      <c r="AD37" s="69"/>
      <c r="AE37" s="69"/>
      <c r="AF37" s="68"/>
    </row>
    <row r="38" spans="2:32" x14ac:dyDescent="0.35">
      <c r="B38" s="63">
        <v>46072</v>
      </c>
      <c r="C38" s="42" t="s">
        <v>148</v>
      </c>
      <c r="D38" s="75" t="s">
        <v>147</v>
      </c>
      <c r="E38" s="74">
        <v>1761.9659999999999</v>
      </c>
      <c r="F38" s="72">
        <v>1739.6880000000001</v>
      </c>
      <c r="G38" s="5">
        <f>(IF(F38="","",F38-E38))</f>
        <v>-22.277999999999793</v>
      </c>
      <c r="H38" s="11">
        <f>IF(G38="","",G38/E38)</f>
        <v>-1.2643830811718156E-2</v>
      </c>
      <c r="I38" s="8">
        <v>4989.1040000000003</v>
      </c>
      <c r="J38" s="8">
        <v>5122</v>
      </c>
      <c r="K38" s="7">
        <f>(IF(J38="","",J38-I38))</f>
        <v>132.89599999999973</v>
      </c>
      <c r="L38" s="4">
        <f>IF(K38="","",K38/I38)</f>
        <v>2.6637247890603146E-2</v>
      </c>
      <c r="M38" s="56">
        <f>IF(I38="","",(E38*I38)/1000000)</f>
        <v>8.7906316184640012</v>
      </c>
      <c r="N38" s="10">
        <f>IF(J38="","",(F38*J38)/1000000)</f>
        <v>8.9106819360000014</v>
      </c>
      <c r="O38" s="9">
        <f>(IF(N38="","",N38-M38))</f>
        <v>0.12005031753600015</v>
      </c>
      <c r="P38" s="4">
        <f>IF(O38="","",O38/M38)</f>
        <v>1.3656620223266358E-2</v>
      </c>
      <c r="Q38" s="73">
        <v>816929.81900000002</v>
      </c>
      <c r="R38" s="8">
        <v>833698</v>
      </c>
      <c r="S38" s="7">
        <f>(IF(R38="","",R38-Q38))</f>
        <v>16768.180999999982</v>
      </c>
      <c r="T38" s="4">
        <f>IF(S38="","",S38/Q38)</f>
        <v>2.052585253960473E-2</v>
      </c>
      <c r="U38" s="55">
        <f>IF(Q38="","",(E38*Q38)/1000000)</f>
        <v>1439.4025654641539</v>
      </c>
      <c r="V38" s="6">
        <f>IF(R38="","",(F38*R38)/1000000)</f>
        <v>1450.374406224</v>
      </c>
      <c r="W38" s="5">
        <f>(IF(V38="","",V38-U38))</f>
        <v>10.971840759846145</v>
      </c>
      <c r="X38" s="4">
        <f>IF(W38="","",W38/U38)</f>
        <v>7.6224963211095386E-3</v>
      </c>
      <c r="Y38" s="70" t="s">
        <v>31</v>
      </c>
      <c r="Z38" s="69"/>
      <c r="AA38" s="69"/>
      <c r="AB38" s="69"/>
      <c r="AC38" s="69"/>
      <c r="AD38" s="69"/>
      <c r="AE38" s="69"/>
      <c r="AF38" s="68"/>
    </row>
    <row r="39" spans="2:32" x14ac:dyDescent="0.35">
      <c r="B39" s="63">
        <v>46072</v>
      </c>
      <c r="C39" s="42" t="s">
        <v>146</v>
      </c>
      <c r="D39" s="75" t="s">
        <v>145</v>
      </c>
      <c r="E39" s="74">
        <v>1645.3889999999999</v>
      </c>
      <c r="F39" s="72">
        <v>1644.134</v>
      </c>
      <c r="G39" s="5">
        <f>(IF(F39="","",F39-E39))</f>
        <v>-1.2549999999998818</v>
      </c>
      <c r="H39" s="11">
        <f>IF(G39="","",G39/E39)</f>
        <v>-7.6273756540239535E-4</v>
      </c>
      <c r="I39" s="8">
        <v>5143</v>
      </c>
      <c r="J39" s="8">
        <v>5143</v>
      </c>
      <c r="K39" s="7">
        <f>(IF(J39="","",J39-I39))</f>
        <v>0</v>
      </c>
      <c r="L39" s="4" t="str">
        <f>IF(K39="","",K39/I39)</f>
        <v/>
      </c>
      <c r="M39" s="56">
        <f>IF(I39="","",(E39*I39)/1000000)</f>
        <v>8.4622356270000001</v>
      </c>
      <c r="N39" s="10">
        <f>IF(J39="","",(F39*J39)/1000000)</f>
        <v>8.455781162000001</v>
      </c>
      <c r="O39" s="9">
        <f>(IF(N39="","",N39-M39))</f>
        <v>-6.4544649999991321E-3</v>
      </c>
      <c r="P39" s="4">
        <f>IF(O39="","",O39/M39)</f>
        <v>-7.6273756540236456E-4</v>
      </c>
      <c r="Q39" s="73">
        <v>841782</v>
      </c>
      <c r="R39" s="8">
        <v>843893</v>
      </c>
      <c r="S39" s="7">
        <f>(IF(R39="","",R39-Q39))</f>
        <v>2111</v>
      </c>
      <c r="T39" s="4">
        <f>IF(S39="","",S39/Q39)</f>
        <v>2.5077751721942262E-3</v>
      </c>
      <c r="U39" s="55">
        <f>IF(Q39="","",(E39*Q39)/1000000)</f>
        <v>1385.058843198</v>
      </c>
      <c r="V39" s="6">
        <f>IF(R39="","",(F39*R39)/1000000)</f>
        <v>1387.4731736619999</v>
      </c>
      <c r="W39" s="5">
        <f>(IF(V39="","",V39-U39))</f>
        <v>2.4143304639999315</v>
      </c>
      <c r="X39" s="4">
        <f>IF(W39="","",W39/U39)</f>
        <v>1.7431248324622933E-3</v>
      </c>
      <c r="Y39" s="70" t="s">
        <v>129</v>
      </c>
      <c r="Z39" s="69"/>
      <c r="AA39" s="69"/>
      <c r="AB39" s="69"/>
      <c r="AC39" s="69"/>
      <c r="AD39" s="69"/>
      <c r="AE39" s="69"/>
      <c r="AF39" s="68"/>
    </row>
    <row r="40" spans="2:32" x14ac:dyDescent="0.35">
      <c r="B40" s="63">
        <v>46077</v>
      </c>
      <c r="C40" s="42" t="s">
        <v>144</v>
      </c>
      <c r="D40" s="75" t="s">
        <v>143</v>
      </c>
      <c r="E40" s="74">
        <v>1587.8510000000001</v>
      </c>
      <c r="F40" s="72">
        <v>1584.7550000000001</v>
      </c>
      <c r="G40" s="5">
        <f>(IF(F40="","",F40-E40))</f>
        <v>-3.0960000000000036</v>
      </c>
      <c r="H40" s="11">
        <f>IF(G40="","",G40/E40)</f>
        <v>-1.9498051139559085E-3</v>
      </c>
      <c r="I40" s="8">
        <v>4786.7020000000002</v>
      </c>
      <c r="J40" s="8">
        <v>4824</v>
      </c>
      <c r="K40" s="7">
        <f>(IF(J40="","",J40-I40))</f>
        <v>37.297999999999774</v>
      </c>
      <c r="L40" s="4">
        <f>IF(K40="","",K40/I40)</f>
        <v>7.7920037637604711E-3</v>
      </c>
      <c r="M40" s="56">
        <f>IF(I40="","",(E40*I40)/1000000)</f>
        <v>7.6005695574020011</v>
      </c>
      <c r="N40" s="10">
        <f>IF(J40="","",(F40*J40)/1000000)</f>
        <v>7.6448581200000003</v>
      </c>
      <c r="O40" s="9">
        <f>(IF(N40="","",N40-M40))</f>
        <v>4.4288562597999181E-2</v>
      </c>
      <c r="P40" s="4">
        <f>IF(O40="","",O40/M40)</f>
        <v>5.8270057610179593E-3</v>
      </c>
      <c r="Q40" s="73">
        <v>745818.50600000005</v>
      </c>
      <c r="R40" s="8">
        <v>749568</v>
      </c>
      <c r="S40" s="7">
        <f>(IF(R40="","",R40-Q40))</f>
        <v>3749.4939999999478</v>
      </c>
      <c r="T40" s="4">
        <f>IF(S40="","",S40/Q40)</f>
        <v>5.0273544700698905E-3</v>
      </c>
      <c r="U40" s="55">
        <f>IF(Q40="","",(E40*Q40)/1000000)</f>
        <v>1184.2486605706063</v>
      </c>
      <c r="V40" s="6">
        <f>IF(R40="","",(F40*R40)/1000000)</f>
        <v>1187.8816358400002</v>
      </c>
      <c r="W40" s="5">
        <f>(IF(V40="","",V40-U40))</f>
        <v>3.6329752693939099</v>
      </c>
      <c r="X40" s="4">
        <f>IF(W40="","",W40/U40)</f>
        <v>3.0677469946585661E-3</v>
      </c>
      <c r="Y40" s="70" t="s">
        <v>31</v>
      </c>
      <c r="Z40" s="69"/>
      <c r="AA40" s="69"/>
      <c r="AB40" s="69"/>
      <c r="AC40" s="69"/>
      <c r="AD40" s="69"/>
      <c r="AE40" s="69"/>
      <c r="AF40" s="68"/>
    </row>
    <row r="41" spans="2:32" x14ac:dyDescent="0.35">
      <c r="B41" s="63">
        <v>46077</v>
      </c>
      <c r="C41" s="42" t="s">
        <v>142</v>
      </c>
      <c r="D41" s="75" t="s">
        <v>141</v>
      </c>
      <c r="E41" s="74">
        <v>1675.049</v>
      </c>
      <c r="F41" s="72">
        <v>1669.896</v>
      </c>
      <c r="G41" s="5">
        <f>(IF(F41="","",F41-E41))</f>
        <v>-5.15300000000002</v>
      </c>
      <c r="H41" s="11">
        <f>IF(G41="","",G41/E41)</f>
        <v>-3.0763279163773835E-3</v>
      </c>
      <c r="I41" s="8">
        <v>5119</v>
      </c>
      <c r="J41" s="8">
        <v>5094</v>
      </c>
      <c r="K41" s="7">
        <f>(IF(J41="","",J41-I41))</f>
        <v>-25</v>
      </c>
      <c r="L41" s="4">
        <f>IF(K41="","",K41/I41)</f>
        <v>-4.883766360617308E-3</v>
      </c>
      <c r="M41" s="56">
        <f>IF(I41="","",(E41*I41)/1000000)</f>
        <v>8.5745758310000006</v>
      </c>
      <c r="N41" s="10">
        <f>IF(J41="","",(F41*J41)/1000000)</f>
        <v>8.5064502239999999</v>
      </c>
      <c r="O41" s="9">
        <f>(IF(N41="","",N41-M41))</f>
        <v>-6.8125607000000699E-2</v>
      </c>
      <c r="P41" s="4">
        <f>IF(O41="","",O41/M41)</f>
        <v>-7.9450702102025293E-3</v>
      </c>
      <c r="Q41" s="73">
        <v>780570</v>
      </c>
      <c r="R41" s="8">
        <v>778426</v>
      </c>
      <c r="S41" s="7">
        <f>(IF(R41="","",R41-Q41))</f>
        <v>-2144</v>
      </c>
      <c r="T41" s="4">
        <f>IF(S41="","",S41/Q41)</f>
        <v>-2.7467107370255069E-3</v>
      </c>
      <c r="U41" s="55">
        <f>IF(Q41="","",(E41*Q41)/1000000)</f>
        <v>1307.49299793</v>
      </c>
      <c r="V41" s="6">
        <f>IF(R41="","",(F41*R41)/1000000)</f>
        <v>1299.8904636959999</v>
      </c>
      <c r="W41" s="5">
        <f>(IF(V41="","",V41-U41))</f>
        <v>-7.6025342340001316</v>
      </c>
      <c r="X41" s="4">
        <f>IF(W41="","",W41/U41)</f>
        <v>-5.8145888704844544E-3</v>
      </c>
      <c r="Y41" s="70" t="s">
        <v>129</v>
      </c>
      <c r="Z41" s="69"/>
      <c r="AA41" s="69"/>
      <c r="AB41" s="69"/>
      <c r="AC41" s="69"/>
      <c r="AD41" s="69"/>
      <c r="AE41" s="69"/>
      <c r="AF41" s="68"/>
    </row>
    <row r="42" spans="2:32" x14ac:dyDescent="0.35">
      <c r="B42" s="63">
        <v>46077</v>
      </c>
      <c r="C42" s="42" t="s">
        <v>140</v>
      </c>
      <c r="D42" s="75" t="s">
        <v>139</v>
      </c>
      <c r="E42" s="74">
        <v>1673.0129999999999</v>
      </c>
      <c r="F42" s="72">
        <v>1668.76</v>
      </c>
      <c r="G42" s="5">
        <f>(IF(F42="","",F42-E42))</f>
        <v>-4.2529999999999291</v>
      </c>
      <c r="H42" s="11">
        <f>IF(G42="","",G42/E42)</f>
        <v>-2.5421201150259616E-3</v>
      </c>
      <c r="I42" s="8">
        <v>5177.4219999999996</v>
      </c>
      <c r="J42" s="8">
        <v>5301</v>
      </c>
      <c r="K42" s="7">
        <f>(IF(J42="","",J42-I42))</f>
        <v>123.57800000000043</v>
      </c>
      <c r="L42" s="4">
        <f>IF(K42="","",K42/I42)</f>
        <v>2.3868635780510152E-2</v>
      </c>
      <c r="M42" s="56">
        <f>IF(I42="","",(E42*I42)/1000000)</f>
        <v>8.6618943124859982</v>
      </c>
      <c r="N42" s="10">
        <f>IF(J42="","",(F42*J42)/1000000)</f>
        <v>8.84609676</v>
      </c>
      <c r="O42" s="9">
        <f>(IF(N42="","",N42-M42))</f>
        <v>0.18420244751400183</v>
      </c>
      <c r="P42" s="4">
        <f>IF(O42="","",O42/M42)</f>
        <v>2.1265838726348418E-2</v>
      </c>
      <c r="Q42" s="73">
        <v>759442.87100000004</v>
      </c>
      <c r="R42" s="8">
        <v>771700</v>
      </c>
      <c r="S42" s="7">
        <f>(IF(R42="","",R42-Q42))</f>
        <v>12257.128999999957</v>
      </c>
      <c r="T42" s="4">
        <f>IF(S42="","",S42/Q42)</f>
        <v>1.6139632707145336E-2</v>
      </c>
      <c r="U42" s="55">
        <f>IF(Q42="","",(E42*Q42)/1000000)</f>
        <v>1270.5577959403231</v>
      </c>
      <c r="V42" s="6">
        <f>IF(R42="","",(F42*R42)/1000000)</f>
        <v>1287.7820919999999</v>
      </c>
      <c r="W42" s="5">
        <f>(IF(V42="","",V42-U42))</f>
        <v>17.224296059676817</v>
      </c>
      <c r="X42" s="4">
        <f>IF(W42="","",W42/U42)</f>
        <v>1.3556483707165279E-2</v>
      </c>
      <c r="Y42" s="70" t="s">
        <v>31</v>
      </c>
      <c r="Z42" s="69"/>
      <c r="AA42" s="69"/>
      <c r="AB42" s="69"/>
      <c r="AC42" s="69"/>
      <c r="AD42" s="69"/>
      <c r="AE42" s="69"/>
      <c r="AF42" s="68"/>
    </row>
    <row r="43" spans="2:32" x14ac:dyDescent="0.35">
      <c r="B43" s="63">
        <v>46081</v>
      </c>
      <c r="C43" s="42" t="s">
        <v>138</v>
      </c>
      <c r="D43" s="75" t="s">
        <v>137</v>
      </c>
      <c r="E43" s="74">
        <v>1700.954</v>
      </c>
      <c r="F43" s="72">
        <v>1696.567</v>
      </c>
      <c r="G43" s="5">
        <f>(IF(F43="","",F43-E43))</f>
        <v>-4.3869999999999436</v>
      </c>
      <c r="H43" s="11">
        <f>IF(G43="","",G43/E43)</f>
        <v>-2.5791408821167084E-3</v>
      </c>
      <c r="I43" s="8">
        <v>5500</v>
      </c>
      <c r="J43" s="8">
        <v>5429</v>
      </c>
      <c r="K43" s="7">
        <f>(IF(J43="","",J43-I43))</f>
        <v>-71</v>
      </c>
      <c r="L43" s="4">
        <f>IF(K43="","",K43/I43)</f>
        <v>-1.2909090909090908E-2</v>
      </c>
      <c r="M43" s="56">
        <f>IF(I43="","",(E43*I43)/1000000)</f>
        <v>9.3552470000000003</v>
      </c>
      <c r="N43" s="10">
        <f>IF(J43="","",(F43*J43)/1000000)</f>
        <v>9.2106622430000016</v>
      </c>
      <c r="O43" s="9">
        <f>(IF(N43="","",N43-M43))</f>
        <v>-0.14458475699999873</v>
      </c>
      <c r="P43" s="4">
        <f>IF(O43="","",O43/M43)</f>
        <v>-1.5454937427092917E-2</v>
      </c>
      <c r="Q43" s="73">
        <v>786372</v>
      </c>
      <c r="R43" s="8">
        <v>773277</v>
      </c>
      <c r="S43" s="7">
        <f>(IF(R43="","",R43-Q43))</f>
        <v>-13095</v>
      </c>
      <c r="T43" s="4">
        <f>IF(S43="","",S43/Q43)</f>
        <v>-1.6652424043582428E-2</v>
      </c>
      <c r="U43" s="55">
        <f>IF(Q43="","",(E43*Q43)/1000000)</f>
        <v>1337.5825988880001</v>
      </c>
      <c r="V43" s="6">
        <f>IF(R43="","",(F43*R43)/1000000)</f>
        <v>1311.9162400590001</v>
      </c>
      <c r="W43" s="5">
        <f>(IF(V43="","",V43-U43))</f>
        <v>-25.666358829000046</v>
      </c>
      <c r="X43" s="4">
        <f>IF(W43="","",W43/U43)</f>
        <v>-1.9188615978062054E-2</v>
      </c>
      <c r="Y43" s="70" t="s">
        <v>136</v>
      </c>
      <c r="Z43" s="69"/>
      <c r="AA43" s="69"/>
      <c r="AB43" s="69"/>
      <c r="AC43" s="69"/>
      <c r="AD43" s="69"/>
      <c r="AE43" s="69"/>
      <c r="AF43" s="68"/>
    </row>
    <row r="44" spans="2:32" x14ac:dyDescent="0.35">
      <c r="B44" s="63">
        <v>46081</v>
      </c>
      <c r="C44" s="42" t="s">
        <v>135</v>
      </c>
      <c r="D44" s="75" t="s">
        <v>134</v>
      </c>
      <c r="E44" s="74">
        <v>1734.7439999999999</v>
      </c>
      <c r="F44" s="72">
        <v>1730.1690000000001</v>
      </c>
      <c r="G44" s="5">
        <f>(IF(F44="","",F44-E44))</f>
        <v>-4.5749999999998181</v>
      </c>
      <c r="H44" s="11">
        <f>IF(G44="","",G44/E44)</f>
        <v>-2.6372767393919899E-3</v>
      </c>
      <c r="I44" s="8">
        <v>5139.6930000000002</v>
      </c>
      <c r="J44" s="8">
        <v>5139</v>
      </c>
      <c r="K44" s="7">
        <f>(IF(J44="","",J44-I44))</f>
        <v>-0.693000000000211</v>
      </c>
      <c r="L44" s="4">
        <f>IF(K44="","",K44/I44)</f>
        <v>-1.3483295597620538E-4</v>
      </c>
      <c r="M44" s="56">
        <f>IF(I44="","",(E44*I44)/1000000)</f>
        <v>8.9160515935919999</v>
      </c>
      <c r="N44" s="10">
        <f>IF(J44="","",(F44*J44)/1000000)</f>
        <v>8.8913384910000008</v>
      </c>
      <c r="O44" s="9">
        <f>(IF(N44="","",N44-M44))</f>
        <v>-2.4713102591999103E-2</v>
      </c>
      <c r="P44" s="4">
        <f>IF(O44="","",O44/M44)</f>
        <v>-2.7717541035496593E-3</v>
      </c>
      <c r="Q44" s="73">
        <v>732620.66700000002</v>
      </c>
      <c r="R44" s="8">
        <v>735121</v>
      </c>
      <c r="S44" s="7">
        <f>(IF(R44="","",R44-Q44))</f>
        <v>2500.3329999999842</v>
      </c>
      <c r="T44" s="4">
        <f>IF(S44="","",S44/Q44)</f>
        <v>3.4128616794808276E-3</v>
      </c>
      <c r="U44" s="55">
        <f>IF(Q44="","",(E44*Q44)/1000000)</f>
        <v>1270.909306354248</v>
      </c>
      <c r="V44" s="6">
        <f>IF(R44="","",(F44*R44)/1000000)</f>
        <v>1271.8835654490001</v>
      </c>
      <c r="W44" s="5">
        <f>(IF(V44="","",V44-U44))</f>
        <v>0.97425909475214212</v>
      </c>
      <c r="X44" s="4">
        <f>IF(W44="","",W44/U44)</f>
        <v>7.6658427936680883E-4</v>
      </c>
      <c r="Y44" s="66" t="s">
        <v>31</v>
      </c>
      <c r="Z44" s="65"/>
      <c r="AA44" s="65"/>
      <c r="AB44" s="65"/>
      <c r="AC44" s="65"/>
      <c r="AD44" s="65"/>
      <c r="AE44" s="65"/>
      <c r="AF44" s="64"/>
    </row>
    <row r="45" spans="2:32" x14ac:dyDescent="0.35">
      <c r="B45" s="63">
        <v>46081</v>
      </c>
      <c r="C45" s="42" t="s">
        <v>133</v>
      </c>
      <c r="D45" s="75" t="s">
        <v>132</v>
      </c>
      <c r="E45" s="74">
        <v>1718.933</v>
      </c>
      <c r="F45" s="72">
        <v>1714.193</v>
      </c>
      <c r="G45" s="5">
        <f>(IF(F45="","",F45-E45))</f>
        <v>-4.7400000000000091</v>
      </c>
      <c r="H45" s="11">
        <f>IF(G45="","",G45/E45)</f>
        <v>-2.757524580655563E-3</v>
      </c>
      <c r="I45" s="8">
        <v>4845.607</v>
      </c>
      <c r="J45" s="8">
        <v>4879</v>
      </c>
      <c r="K45" s="7">
        <f>(IF(J45="","",J45-I45))</f>
        <v>33.393000000000029</v>
      </c>
      <c r="L45" s="4">
        <f>IF(K45="","",K45/I45)</f>
        <v>6.8913966815715823E-3</v>
      </c>
      <c r="M45" s="56">
        <f>IF(I45="","",(E45*I45)/1000000)</f>
        <v>8.3292737773310002</v>
      </c>
      <c r="N45" s="10">
        <f>IF(J45="","",(F45*J45)/1000000)</f>
        <v>8.3635476470000008</v>
      </c>
      <c r="O45" s="9">
        <f>(IF(N45="","",N45-M45))</f>
        <v>3.427386966900059E-2</v>
      </c>
      <c r="P45" s="4">
        <f>IF(O45="","",O45/M45)</f>
        <v>4.1148689051716068E-3</v>
      </c>
      <c r="Q45" s="73">
        <v>726706.01599999995</v>
      </c>
      <c r="R45" s="8">
        <v>728885</v>
      </c>
      <c r="S45" s="7">
        <f>(IF(R45="","",R45-Q45))</f>
        <v>2178.9840000000549</v>
      </c>
      <c r="T45" s="4">
        <f>IF(S45="","",S45/Q45)</f>
        <v>2.9984394679898386E-3</v>
      </c>
      <c r="U45" s="55">
        <f>IF(Q45="","",(E45*Q45)/1000000)</f>
        <v>1249.1589522009281</v>
      </c>
      <c r="V45" s="6">
        <f>IF(R45="","",(F45*R45)/1000000)</f>
        <v>1249.4495648050001</v>
      </c>
      <c r="W45" s="5">
        <f>(IF(V45="","",V45-U45))</f>
        <v>0.29061260407206646</v>
      </c>
      <c r="X45" s="4">
        <f>IF(W45="","",W45/U45)</f>
        <v>2.3264661679766853E-4</v>
      </c>
      <c r="Y45" s="59"/>
      <c r="Z45" s="58"/>
      <c r="AA45" s="58"/>
      <c r="AB45" s="58"/>
      <c r="AC45" s="58"/>
      <c r="AD45" s="58"/>
      <c r="AE45" s="58"/>
      <c r="AF45" s="57"/>
    </row>
    <row r="46" spans="2:32" x14ac:dyDescent="0.35">
      <c r="B46" s="63">
        <v>46092</v>
      </c>
      <c r="C46" s="42" t="s">
        <v>131</v>
      </c>
      <c r="D46" s="75" t="s">
        <v>130</v>
      </c>
      <c r="E46" s="74">
        <v>1637.6410000000001</v>
      </c>
      <c r="F46" s="72">
        <v>1631.4829999999999</v>
      </c>
      <c r="G46" s="5">
        <f>(IF(F46="","",F46-E46))</f>
        <v>-6.1580000000001291</v>
      </c>
      <c r="H46" s="11">
        <f>IF(G46="","",G46/E46)</f>
        <v>-3.7602869004868156E-3</v>
      </c>
      <c r="I46" s="8">
        <v>4381</v>
      </c>
      <c r="J46" s="8">
        <v>4357</v>
      </c>
      <c r="K46" s="7">
        <f>(IF(J46="","",J46-I46))</f>
        <v>-24</v>
      </c>
      <c r="L46" s="4">
        <f>IF(K46="","",K46/I46)</f>
        <v>-5.4782013238986529E-3</v>
      </c>
      <c r="M46" s="56">
        <f>IF(I46="","",(E46*I46)/1000000)</f>
        <v>7.1745052209999995</v>
      </c>
      <c r="N46" s="10">
        <f>IF(J46="","",(F46*J46)/1000000)</f>
        <v>7.1083714310000001</v>
      </c>
      <c r="O46" s="9">
        <f>(IF(N46="","",N46-M46))</f>
        <v>-6.6133789999999415E-2</v>
      </c>
      <c r="P46" s="4">
        <f>IF(O46="","",O46/M46)</f>
        <v>-9.2178886157088247E-3</v>
      </c>
      <c r="Q46" s="73">
        <v>702454</v>
      </c>
      <c r="R46" s="8">
        <v>705430</v>
      </c>
      <c r="S46" s="7">
        <f>(IF(R46="","",R46-Q46))</f>
        <v>2976</v>
      </c>
      <c r="T46" s="4">
        <f>IF(S46="","",S46/Q46)</f>
        <v>4.2365763452126403E-3</v>
      </c>
      <c r="U46" s="55">
        <f>IF(Q46="","",(E46*Q46)/1000000)</f>
        <v>1150.3674710139999</v>
      </c>
      <c r="V46" s="6">
        <f>IF(R46="","",(F46*R46)/1000000)</f>
        <v>1150.89705269</v>
      </c>
      <c r="W46" s="5">
        <f>(IF(V46="","",V46-U46))</f>
        <v>0.52958167600013439</v>
      </c>
      <c r="X46" s="4">
        <f>IF(W46="","",W46/U46)</f>
        <v>4.6035870219220533E-4</v>
      </c>
      <c r="Y46" s="70" t="s">
        <v>129</v>
      </c>
      <c r="Z46" s="69"/>
      <c r="AA46" s="69"/>
      <c r="AB46" s="69"/>
      <c r="AC46" s="69"/>
      <c r="AD46" s="69"/>
      <c r="AE46" s="69"/>
      <c r="AF46" s="68"/>
    </row>
    <row r="47" spans="2:32" x14ac:dyDescent="0.35">
      <c r="B47" s="63">
        <v>46092</v>
      </c>
      <c r="C47" s="42" t="s">
        <v>128</v>
      </c>
      <c r="D47" s="75" t="s">
        <v>127</v>
      </c>
      <c r="E47" s="74">
        <v>1749.4780000000001</v>
      </c>
      <c r="F47" s="72">
        <v>1747.845</v>
      </c>
      <c r="G47" s="5">
        <f>(IF(F47="","",F47-E47))</f>
        <v>-1.6330000000000382</v>
      </c>
      <c r="H47" s="11">
        <f>IF(G47="","",G47/E47)</f>
        <v>-9.3342128337712052E-4</v>
      </c>
      <c r="I47" s="8">
        <v>4836</v>
      </c>
      <c r="J47" s="8">
        <v>4779</v>
      </c>
      <c r="K47" s="7">
        <f>(IF(J47="","",J47-I47))</f>
        <v>-57</v>
      </c>
      <c r="L47" s="4">
        <f>IF(K47="","",K47/I47)</f>
        <v>-1.1786600496277916E-2</v>
      </c>
      <c r="M47" s="56">
        <f>IF(I47="","",(E47*I47)/1000000)</f>
        <v>8.4604756080000012</v>
      </c>
      <c r="N47" s="10">
        <f>IF(J47="","",(F47*J47)/1000000)</f>
        <v>8.3529512550000007</v>
      </c>
      <c r="O47" s="9">
        <f>(IF(N47="","",N47-M47))</f>
        <v>-0.10752435300000052</v>
      </c>
      <c r="P47" s="4">
        <f>IF(O47="","",O47/M47)</f>
        <v>-1.2709019915893184E-2</v>
      </c>
      <c r="Q47" s="73">
        <v>841593</v>
      </c>
      <c r="R47" s="8">
        <v>827041</v>
      </c>
      <c r="S47" s="7">
        <f>(IF(R47="","",R47-Q47))</f>
        <v>-14552</v>
      </c>
      <c r="T47" s="4">
        <f>IF(S47="","",S47/Q47)</f>
        <v>-1.729101834259553E-2</v>
      </c>
      <c r="U47" s="55">
        <f>IF(Q47="","",(E47*Q47)/1000000)</f>
        <v>1472.348438454</v>
      </c>
      <c r="V47" s="6">
        <f>IF(R47="","",(F47*R47)/1000000)</f>
        <v>1445.5394766449999</v>
      </c>
      <c r="W47" s="5">
        <f>(IF(V47="","",V47-U47))</f>
        <v>-26.808961809000039</v>
      </c>
      <c r="X47" s="4">
        <f>IF(W47="","",W47/U47)</f>
        <v>-1.8208299821440413E-2</v>
      </c>
      <c r="Y47" s="76"/>
      <c r="Z47" s="76"/>
      <c r="AA47" s="76"/>
    </row>
    <row r="48" spans="2:32" x14ac:dyDescent="0.35">
      <c r="B48" s="63">
        <v>46092</v>
      </c>
      <c r="C48" s="42" t="s">
        <v>126</v>
      </c>
      <c r="D48" s="75" t="s">
        <v>125</v>
      </c>
      <c r="E48" s="74">
        <v>1743.1079999999999</v>
      </c>
      <c r="F48" s="72">
        <v>1742.6089999999999</v>
      </c>
      <c r="G48" s="5">
        <f>(IF(F48="","",F48-E48))</f>
        <v>-0.49900000000002365</v>
      </c>
      <c r="H48" s="11">
        <f>IF(G48="","",G48/E48)</f>
        <v>-2.8627027126260887E-4</v>
      </c>
      <c r="I48" s="8">
        <v>4836</v>
      </c>
      <c r="J48" s="8">
        <v>4884</v>
      </c>
      <c r="K48" s="7">
        <f>(IF(J48="","",J48-I48))</f>
        <v>48</v>
      </c>
      <c r="L48" s="4">
        <f>IF(K48="","",K48/I48)</f>
        <v>9.9255583126550868E-3</v>
      </c>
      <c r="M48" s="56">
        <f>IF(I48="","",(E48*I48)/1000000)</f>
        <v>8.4296702880000005</v>
      </c>
      <c r="N48" s="10">
        <f>IF(J48="","",(F48*J48)/1000000)</f>
        <v>8.510902355999999</v>
      </c>
      <c r="O48" s="9">
        <f>(IF(N48="","",N48-M48))</f>
        <v>8.1232067999998492E-2</v>
      </c>
      <c r="P48" s="4">
        <f>IF(O48="","",O48/M48)</f>
        <v>9.6364466491217163E-3</v>
      </c>
      <c r="Q48" s="73">
        <v>885667</v>
      </c>
      <c r="R48" s="8">
        <v>885470</v>
      </c>
      <c r="S48" s="7">
        <f>(IF(R48="","",R48-Q48))</f>
        <v>-197</v>
      </c>
      <c r="T48" s="4">
        <f>IF(S48="","",S48/Q48)</f>
        <v>-2.2243122979630041E-4</v>
      </c>
      <c r="U48" s="55">
        <f>IF(Q48="","",(E48*Q48)/1000000)</f>
        <v>1543.8132330359999</v>
      </c>
      <c r="V48" s="6">
        <f>IF(R48="","",(F48*R48)/1000000)</f>
        <v>1543.02799123</v>
      </c>
      <c r="W48" s="5">
        <f>(IF(V48="","",V48-U48))</f>
        <v>-0.78524180599993088</v>
      </c>
      <c r="X48" s="4">
        <f>IF(W48="","",W48/U48)</f>
        <v>-5.0863782561035996E-4</v>
      </c>
      <c r="Y48" s="70" t="s">
        <v>124</v>
      </c>
      <c r="Z48" s="69"/>
      <c r="AA48" s="69"/>
      <c r="AB48" s="69"/>
      <c r="AC48" s="69"/>
      <c r="AD48" s="69"/>
      <c r="AE48" s="69"/>
      <c r="AF48" s="68"/>
    </row>
    <row r="49" spans="2:32" x14ac:dyDescent="0.35">
      <c r="B49" s="63">
        <v>46099</v>
      </c>
      <c r="C49" s="42" t="s">
        <v>123</v>
      </c>
      <c r="D49" s="75" t="s">
        <v>122</v>
      </c>
      <c r="E49" s="74">
        <v>1751.5630000000001</v>
      </c>
      <c r="F49" s="72">
        <v>1751.4880000000001</v>
      </c>
      <c r="G49" s="5">
        <f>(IF(F49="","",F49-E49))</f>
        <v>-7.5000000000045475E-2</v>
      </c>
      <c r="H49" s="11">
        <f>IF(G49="","",G49/E49)</f>
        <v>-4.2818899462962779E-5</v>
      </c>
      <c r="I49" s="8">
        <v>4773.5940000000001</v>
      </c>
      <c r="J49" s="8">
        <v>4805</v>
      </c>
      <c r="K49" s="7">
        <f>(IF(J49="","",J49-I49))</f>
        <v>31.405999999999949</v>
      </c>
      <c r="L49" s="4">
        <f>IF(K49="","",K49/I49)</f>
        <v>6.579109995529563E-3</v>
      </c>
      <c r="M49" s="56">
        <f>IF(I49="","",(E49*I49)/1000000)</f>
        <v>8.3612506274220006</v>
      </c>
      <c r="N49" s="10">
        <f>IF(J49="","",(F49*J49)/1000000)</f>
        <v>8.4158998399999998</v>
      </c>
      <c r="O49" s="9">
        <f>(IF(N49="","",N49-M49))</f>
        <v>5.4649212577999151E-2</v>
      </c>
      <c r="P49" s="4">
        <f>IF(O49="","",O49/M49)</f>
        <v>6.5360093858170803E-3</v>
      </c>
      <c r="Q49" s="73">
        <v>861874.74699999997</v>
      </c>
      <c r="R49" s="8">
        <v>859415</v>
      </c>
      <c r="S49" s="7">
        <f>(IF(R49="","",R49-Q49))</f>
        <v>-2459.7469999999739</v>
      </c>
      <c r="T49" s="4">
        <f>IF(S49="","",S49/Q49)</f>
        <v>-2.8539494962137161E-3</v>
      </c>
      <c r="U49" s="55">
        <f>IF(Q49="","",(E49*Q49)/1000000)</f>
        <v>1509.6279174795611</v>
      </c>
      <c r="V49" s="6">
        <f>IF(R49="","",(F49*R49)/1000000)</f>
        <v>1505.25505952</v>
      </c>
      <c r="W49" s="5">
        <f>(IF(V49="","",V49-U49))</f>
        <v>-4.3728579595610881</v>
      </c>
      <c r="X49" s="4">
        <f>IF(W49="","",W49/U49)</f>
        <v>-2.8966461927001906E-3</v>
      </c>
      <c r="Y49" s="66" t="s">
        <v>31</v>
      </c>
      <c r="Z49" s="65"/>
      <c r="AA49" s="65"/>
      <c r="AB49" s="65"/>
      <c r="AC49" s="65"/>
      <c r="AD49" s="65"/>
      <c r="AE49" s="65"/>
      <c r="AF49" s="64"/>
    </row>
    <row r="50" spans="2:32" x14ac:dyDescent="0.35">
      <c r="B50" s="63">
        <v>46099</v>
      </c>
      <c r="C50" s="42" t="s">
        <v>121</v>
      </c>
      <c r="D50" s="75" t="s">
        <v>120</v>
      </c>
      <c r="E50" s="74">
        <v>1745.8019999999999</v>
      </c>
      <c r="F50" s="72">
        <v>1747.3720000000001</v>
      </c>
      <c r="G50" s="5">
        <f>(IF(F50="","",F50-E50))</f>
        <v>1.5700000000001637</v>
      </c>
      <c r="H50" s="11">
        <f>IF(G50="","",G50/E50)</f>
        <v>8.9930014973070474E-4</v>
      </c>
      <c r="I50" s="8">
        <v>5027.9179999999997</v>
      </c>
      <c r="J50" s="8">
        <v>5075</v>
      </c>
      <c r="K50" s="7">
        <f>(IF(J50="","",J50-I50))</f>
        <v>47.082000000000335</v>
      </c>
      <c r="L50" s="4">
        <f>IF(K50="","",K50/I50)</f>
        <v>9.3641145301097475E-3</v>
      </c>
      <c r="M50" s="56">
        <f>IF(I50="","",(E50*I50)/1000000)</f>
        <v>8.7777493002359996</v>
      </c>
      <c r="N50" s="10">
        <f>IF(J50="","",(F50*J50)/1000000)</f>
        <v>8.8679129000000003</v>
      </c>
      <c r="O50" s="9">
        <f>(IF(N50="","",N50-M50))</f>
        <v>9.0163599764000679E-2</v>
      </c>
      <c r="P50" s="4">
        <f>IF(O50="","",O50/M50)</f>
        <v>1.027183582943939E-2</v>
      </c>
      <c r="Q50" s="73">
        <v>862690.103</v>
      </c>
      <c r="R50" s="8">
        <v>861571</v>
      </c>
      <c r="S50" s="7">
        <f>(IF(R50="","",R50-Q50))</f>
        <v>-1119.1030000000028</v>
      </c>
      <c r="T50" s="4">
        <f>IF(S50="","",S50/Q50)</f>
        <v>-1.2972248042585957E-3</v>
      </c>
      <c r="U50" s="55">
        <f>IF(Q50="","",(E50*Q50)/1000000)</f>
        <v>1506.0861071976058</v>
      </c>
      <c r="V50" s="6">
        <f>IF(R50="","",(F50*R50)/1000000)</f>
        <v>1505.4850414120001</v>
      </c>
      <c r="W50" s="5">
        <f>(IF(V50="","",V50-U50))</f>
        <v>-0.60106578560566959</v>
      </c>
      <c r="X50" s="4">
        <f>IF(W50="","",W50/U50)</f>
        <v>-3.9909124898846626E-4</v>
      </c>
      <c r="Y50" s="62"/>
      <c r="Z50" s="61"/>
      <c r="AA50" s="61"/>
      <c r="AB50" s="61"/>
      <c r="AC50" s="61"/>
      <c r="AD50" s="61"/>
      <c r="AE50" s="61"/>
      <c r="AF50" s="60"/>
    </row>
    <row r="51" spans="2:32" x14ac:dyDescent="0.35">
      <c r="B51" s="63">
        <v>46099</v>
      </c>
      <c r="C51" s="42" t="s">
        <v>119</v>
      </c>
      <c r="D51" s="75" t="s">
        <v>118</v>
      </c>
      <c r="E51" s="74">
        <v>1763.415</v>
      </c>
      <c r="F51" s="72">
        <v>1764.34</v>
      </c>
      <c r="G51" s="5">
        <f>(IF(F51="","",F51-E51))</f>
        <v>0.92499999999995453</v>
      </c>
      <c r="H51" s="11">
        <f>IF(G51="","",G51/E51)</f>
        <v>5.2455037526614806E-4</v>
      </c>
      <c r="I51" s="8">
        <v>4470.0919999999996</v>
      </c>
      <c r="J51" s="8">
        <v>4494</v>
      </c>
      <c r="K51" s="7">
        <f>(IF(J51="","",J51-I51))</f>
        <v>23.908000000000357</v>
      </c>
      <c r="L51" s="4">
        <f>IF(K51="","",K51/I51)</f>
        <v>5.3484357816349993E-3</v>
      </c>
      <c r="M51" s="56">
        <f>IF(I51="","",(E51*I51)/1000000)</f>
        <v>7.8826272841799998</v>
      </c>
      <c r="N51" s="10">
        <f>IF(J51="","",(F51*J51)/1000000)</f>
        <v>7.9289439599999998</v>
      </c>
      <c r="O51" s="9">
        <f>(IF(N51="","",N51-M51))</f>
        <v>4.6316675819999986E-2</v>
      </c>
      <c r="P51" s="4">
        <f>IF(O51="","",O51/M51)</f>
        <v>5.8757916808974357E-3</v>
      </c>
      <c r="Q51" s="73">
        <v>882586.74</v>
      </c>
      <c r="R51" s="8">
        <v>884876</v>
      </c>
      <c r="S51" s="7">
        <f>(IF(R51="","",R51-Q51))</f>
        <v>2289.2600000000093</v>
      </c>
      <c r="T51" s="4">
        <f>IF(S51="","",S51/Q51)</f>
        <v>2.5938073803374946E-3</v>
      </c>
      <c r="U51" s="55">
        <f>IF(Q51="","",(E51*Q51)/1000000)</f>
        <v>1556.3666961171</v>
      </c>
      <c r="V51" s="6">
        <f>IF(R51="","",(F51*R51)/1000000)</f>
        <v>1561.22212184</v>
      </c>
      <c r="W51" s="5">
        <f>(IF(V51="","",V51-U51))</f>
        <v>4.8554257229000086</v>
      </c>
      <c r="X51" s="4">
        <f>IF(W51="","",W51/U51)</f>
        <v>3.1197183382383874E-3</v>
      </c>
      <c r="Y51" s="62"/>
      <c r="Z51" s="61"/>
      <c r="AA51" s="61"/>
      <c r="AB51" s="61"/>
      <c r="AC51" s="61"/>
      <c r="AD51" s="61"/>
      <c r="AE51" s="61"/>
      <c r="AF51" s="60"/>
    </row>
    <row r="52" spans="2:32" x14ac:dyDescent="0.35">
      <c r="B52" s="63">
        <v>46108</v>
      </c>
      <c r="C52" s="42" t="s">
        <v>117</v>
      </c>
      <c r="D52" s="75" t="s">
        <v>116</v>
      </c>
      <c r="E52" s="74">
        <v>1762.8520000000001</v>
      </c>
      <c r="F52" s="72">
        <v>1762.269</v>
      </c>
      <c r="G52" s="5">
        <f>(IF(F52="","",F52-E52))</f>
        <v>-0.58300000000008367</v>
      </c>
      <c r="H52" s="11">
        <f>IF(G52="","",G52/E52)</f>
        <v>-3.3071409284505089E-4</v>
      </c>
      <c r="I52" s="8">
        <v>4434.1189999999997</v>
      </c>
      <c r="J52" s="8">
        <v>4466</v>
      </c>
      <c r="K52" s="7">
        <f>(IF(J52="","",J52-I52))</f>
        <v>31.881000000000313</v>
      </c>
      <c r="L52" s="4">
        <f>IF(K52="","",K52/I52)</f>
        <v>7.1899288223884646E-3</v>
      </c>
      <c r="M52" s="56">
        <f>IF(I52="","",(E52*I52)/1000000)</f>
        <v>7.8166955473879991</v>
      </c>
      <c r="N52" s="10">
        <f>IF(J52="","",(F52*J52)/1000000)</f>
        <v>7.8702933540000002</v>
      </c>
      <c r="O52" s="9">
        <f>(IF(N52="","",N52-M52))</f>
        <v>5.3597806612001087E-2</v>
      </c>
      <c r="P52" s="4">
        <f>IF(O52="","",O52/M52)</f>
        <v>6.8568369187554136E-3</v>
      </c>
      <c r="Q52" s="73">
        <v>886633.97900000005</v>
      </c>
      <c r="R52" s="8">
        <v>883698</v>
      </c>
      <c r="S52" s="7">
        <f>(IF(R52="","",R52-Q52))</f>
        <v>-2935.9790000000503</v>
      </c>
      <c r="T52" s="4">
        <f>IF(S52="","",S52/Q52)</f>
        <v>-3.3113765877904057E-3</v>
      </c>
      <c r="U52" s="55">
        <f>IF(Q52="","",(E52*Q52)/1000000)</f>
        <v>1563.0044831481082</v>
      </c>
      <c r="V52" s="6">
        <f>IF(R52="","",(F52*R52)/1000000)</f>
        <v>1557.3135907620001</v>
      </c>
      <c r="W52" s="5">
        <f>(IF(V52="","",V52-U52))</f>
        <v>-5.6908923861080893</v>
      </c>
      <c r="X52" s="4">
        <f>IF(W52="","",W52/U52)</f>
        <v>-3.6409955617311101E-3</v>
      </c>
      <c r="Y52" s="62"/>
      <c r="Z52" s="61"/>
      <c r="AA52" s="61"/>
      <c r="AB52" s="61"/>
      <c r="AC52" s="61"/>
      <c r="AD52" s="61"/>
      <c r="AE52" s="61"/>
      <c r="AF52" s="60"/>
    </row>
    <row r="53" spans="2:32" x14ac:dyDescent="0.35">
      <c r="B53" s="63">
        <v>46108</v>
      </c>
      <c r="C53" s="42" t="s">
        <v>115</v>
      </c>
      <c r="D53" s="75" t="s">
        <v>114</v>
      </c>
      <c r="E53" s="74">
        <v>1734.702</v>
      </c>
      <c r="F53" s="72">
        <v>1733.114</v>
      </c>
      <c r="G53" s="5">
        <f>(IF(F53="","",F53-E53))</f>
        <v>-1.5879999999999654</v>
      </c>
      <c r="H53" s="11">
        <f>IF(G53="","",G53/E53)</f>
        <v>-9.1543100774655554E-4</v>
      </c>
      <c r="I53" s="8">
        <v>4576.5110000000004</v>
      </c>
      <c r="J53" s="8">
        <v>4645</v>
      </c>
      <c r="K53" s="7">
        <f>(IF(J53="","",J53-I53))</f>
        <v>68.488999999999578</v>
      </c>
      <c r="L53" s="4">
        <f>IF(K53="","",K53/I53)</f>
        <v>1.4965330576065385E-2</v>
      </c>
      <c r="M53" s="56">
        <f>IF(I53="","",(E53*I53)/1000000)</f>
        <v>7.9388827847220007</v>
      </c>
      <c r="N53" s="10">
        <f>IF(J53="","",(F53*J53)/1000000)</f>
        <v>8.0503145299999996</v>
      </c>
      <c r="O53" s="9">
        <f>(IF(N53="","",N53-M53))</f>
        <v>0.11143174527799893</v>
      </c>
      <c r="P53" s="4">
        <f>IF(O53="","",O53/M53)</f>
        <v>1.4036199840668258E-2</v>
      </c>
      <c r="Q53" s="73">
        <v>860634.23899999994</v>
      </c>
      <c r="R53" s="8">
        <v>869473</v>
      </c>
      <c r="S53" s="7">
        <f>(IF(R53="","",R53-Q53))</f>
        <v>8838.7610000000568</v>
      </c>
      <c r="T53" s="4">
        <f>IF(S53="","",S53/Q53)</f>
        <v>1.0270055035539967E-2</v>
      </c>
      <c r="U53" s="55">
        <f>IF(Q53="","",(E53*Q53)/1000000)</f>
        <v>1492.9439356617779</v>
      </c>
      <c r="V53" s="6">
        <f>IF(R53="","",(F53*R53)/1000000)</f>
        <v>1506.895828922</v>
      </c>
      <c r="W53" s="5">
        <f>(IF(V53="","",V53-U53))</f>
        <v>13.95189326022205</v>
      </c>
      <c r="X53" s="4">
        <f>IF(W53="","",W53/U53)</f>
        <v>9.3452225009625616E-3</v>
      </c>
      <c r="Y53" s="62"/>
      <c r="Z53" s="61"/>
      <c r="AA53" s="61"/>
      <c r="AB53" s="61"/>
      <c r="AC53" s="61"/>
      <c r="AD53" s="61"/>
      <c r="AE53" s="61"/>
      <c r="AF53" s="60"/>
    </row>
    <row r="54" spans="2:32" x14ac:dyDescent="0.35">
      <c r="B54" s="63">
        <v>46108</v>
      </c>
      <c r="C54" s="42" t="s">
        <v>113</v>
      </c>
      <c r="D54" s="75" t="s">
        <v>112</v>
      </c>
      <c r="E54" s="74">
        <v>1744.1310000000001</v>
      </c>
      <c r="F54" s="72">
        <v>1741.9169999999999</v>
      </c>
      <c r="G54" s="5">
        <f>(IF(F54="","",F54-E54))</f>
        <v>-2.2140000000001692</v>
      </c>
      <c r="H54" s="11">
        <f>IF(G54="","",G54/E54)</f>
        <v>-1.2694000622660621E-3</v>
      </c>
      <c r="I54" s="8">
        <v>4560.0450000000001</v>
      </c>
      <c r="J54" s="8">
        <v>4647</v>
      </c>
      <c r="K54" s="7">
        <f>(IF(J54="","",J54-I54))</f>
        <v>86.954999999999927</v>
      </c>
      <c r="L54" s="4">
        <f>IF(K54="","",K54/I54)</f>
        <v>1.9068890767525305E-2</v>
      </c>
      <c r="M54" s="56">
        <f>IF(I54="","",(E54*I54)/1000000)</f>
        <v>7.9533158458950011</v>
      </c>
      <c r="N54" s="10">
        <f>IF(J54="","",(F54*J54)/1000000)</f>
        <v>8.0946882989999995</v>
      </c>
      <c r="O54" s="9">
        <f>(IF(N54="","",N54-M54))</f>
        <v>0.14137245310499846</v>
      </c>
      <c r="P54" s="4">
        <f>IF(O54="","",O54/M54)</f>
        <v>1.7775284654131519E-2</v>
      </c>
      <c r="Q54" s="73">
        <v>861179.18400000001</v>
      </c>
      <c r="R54" s="8">
        <v>872881</v>
      </c>
      <c r="S54" s="7">
        <f>(IF(R54="","",R54-Q54))</f>
        <v>11701.815999999992</v>
      </c>
      <c r="T54" s="4">
        <f>IF(S54="","",S54/Q54)</f>
        <v>1.3588131503187833E-2</v>
      </c>
      <c r="U54" s="55">
        <f>IF(Q54="","",(E54*Q54)/1000000)</f>
        <v>1502.0093113691041</v>
      </c>
      <c r="V54" s="6">
        <f>IF(R54="","",(F54*R54)/1000000)</f>
        <v>1520.4862528769997</v>
      </c>
      <c r="W54" s="5">
        <f>(IF(V54="","",V54-U54))</f>
        <v>18.476941507895617</v>
      </c>
      <c r="X54" s="4">
        <f>IF(W54="","",W54/U54)</f>
        <v>1.2301482665945397E-2</v>
      </c>
      <c r="Y54" s="62"/>
      <c r="Z54" s="61"/>
      <c r="AA54" s="61"/>
      <c r="AB54" s="61"/>
      <c r="AC54" s="61"/>
      <c r="AD54" s="61"/>
      <c r="AE54" s="61"/>
      <c r="AF54" s="60"/>
    </row>
    <row r="55" spans="2:32" x14ac:dyDescent="0.35">
      <c r="B55" s="63">
        <v>46108</v>
      </c>
      <c r="C55" s="42" t="s">
        <v>111</v>
      </c>
      <c r="D55" s="67" t="s">
        <v>110</v>
      </c>
      <c r="E55" s="12">
        <v>1768.152</v>
      </c>
      <c r="F55" s="72">
        <v>1766.6079999999999</v>
      </c>
      <c r="G55" s="5">
        <f>(IF(F55="","",F55-E55))</f>
        <v>-1.5440000000000964</v>
      </c>
      <c r="H55" s="11">
        <f>IF(G55="","",G55/E55)</f>
        <v>-8.7322809351237697E-4</v>
      </c>
      <c r="I55" s="8">
        <v>4143.7950000000001</v>
      </c>
      <c r="J55" s="8">
        <v>4198</v>
      </c>
      <c r="K55" s="7">
        <f>(IF(J55="","",J55-I55))</f>
        <v>54.204999999999927</v>
      </c>
      <c r="L55" s="4">
        <f>IF(K55="","",K55/I55)</f>
        <v>1.3081004248520963E-2</v>
      </c>
      <c r="M55" s="56">
        <f>IF(I55="","",(E55*I55)/1000000)</f>
        <v>7.3268594168399996</v>
      </c>
      <c r="N55" s="10">
        <f>IF(J55="","",(F55*J55)/1000000)</f>
        <v>7.4162203839999998</v>
      </c>
      <c r="O55" s="9">
        <f>(IF(N55="","",N55-M55))</f>
        <v>8.9360967160000193E-2</v>
      </c>
      <c r="P55" s="4">
        <f>IF(O55="","",O55/M55)</f>
        <v>1.2196353454607524E-2</v>
      </c>
      <c r="Q55" s="8">
        <v>853972.72400000005</v>
      </c>
      <c r="R55" s="8">
        <v>854824</v>
      </c>
      <c r="S55" s="7">
        <f>(IF(R55="","",R55-Q55))</f>
        <v>851.27599999995437</v>
      </c>
      <c r="T55" s="4">
        <f>IF(S55="","",S55/Q55)</f>
        <v>9.9684214270051369E-4</v>
      </c>
      <c r="U55" s="55">
        <f>IF(Q55="","",(E55*Q55)/1000000)</f>
        <v>1509.9535798860481</v>
      </c>
      <c r="V55" s="6">
        <f>IF(R55="","",(F55*R55)/1000000)</f>
        <v>1510.1389169919998</v>
      </c>
      <c r="W55" s="5">
        <f>(IF(V55="","",V55-U55))</f>
        <v>0.18533710595170305</v>
      </c>
      <c r="X55" s="4">
        <f>IF(W55="","",W55/U55)</f>
        <v>1.2274357862424479E-4</v>
      </c>
      <c r="Y55" s="62"/>
      <c r="Z55" s="61"/>
      <c r="AA55" s="61"/>
      <c r="AB55" s="61"/>
      <c r="AC55" s="61"/>
      <c r="AD55" s="61"/>
      <c r="AE55" s="61"/>
      <c r="AF55" s="60"/>
    </row>
    <row r="56" spans="2:32" x14ac:dyDescent="0.35">
      <c r="B56" s="63">
        <v>46111.365335647948</v>
      </c>
      <c r="C56" s="42" t="s">
        <v>109</v>
      </c>
      <c r="D56" s="67" t="s">
        <v>108</v>
      </c>
      <c r="E56" s="12">
        <v>1771.3030000000001</v>
      </c>
      <c r="F56" s="72">
        <v>1773.1279999999999</v>
      </c>
      <c r="G56" s="5">
        <f>(IF(F56="","",F56-E56))</f>
        <v>1.8249999999998181</v>
      </c>
      <c r="H56" s="11">
        <f>IF(G56="","",G56/E56)</f>
        <v>1.0303149715208623E-3</v>
      </c>
      <c r="I56" s="8">
        <v>4400.9390000000003</v>
      </c>
      <c r="J56" s="8">
        <v>4434</v>
      </c>
      <c r="K56" s="7">
        <f>(IF(J56="","",J56-I56))</f>
        <v>33.060999999999694</v>
      </c>
      <c r="L56" s="4">
        <f>IF(K56="","",K56/I56)</f>
        <v>7.5122604516898988E-3</v>
      </c>
      <c r="M56" s="56">
        <f>IF(I56="","",(E56*I56)/1000000)</f>
        <v>7.7953964535170011</v>
      </c>
      <c r="N56" s="10">
        <f>IF(J56="","",(F56*J56)/1000000)</f>
        <v>7.8620495520000002</v>
      </c>
      <c r="O56" s="9">
        <f>(IF(N56="","",N56-M56))</f>
        <v>6.6653098482999162E-2</v>
      </c>
      <c r="P56" s="4">
        <f>IF(O56="","",O56/M56)</f>
        <v>8.5503154176241672E-3</v>
      </c>
      <c r="Q56" s="8">
        <v>855650.34400000004</v>
      </c>
      <c r="R56" s="8">
        <v>854876</v>
      </c>
      <c r="S56" s="7">
        <f>(IF(R56="","",R56-Q56))</f>
        <v>-774.34400000004098</v>
      </c>
      <c r="T56" s="4">
        <f>IF(S56="","",S56/Q56)</f>
        <v>-9.0497713865237567E-4</v>
      </c>
      <c r="U56" s="55">
        <f>IF(Q56="","",(E56*Q56)/1000000)</f>
        <v>1515.6160212782322</v>
      </c>
      <c r="V56" s="6">
        <f>IF(R56="","",(F56*R56)/1000000)</f>
        <v>1515.804572128</v>
      </c>
      <c r="W56" s="5">
        <f>(IF(V56="","",V56-U56))</f>
        <v>0.18855084976780745</v>
      </c>
      <c r="X56" s="4">
        <f>IF(W56="","",W56/U56)</f>
        <v>1.2440542137367249E-4</v>
      </c>
      <c r="Y56" s="59"/>
      <c r="Z56" s="58"/>
      <c r="AA56" s="58"/>
      <c r="AB56" s="58"/>
      <c r="AC56" s="58"/>
      <c r="AD56" s="58"/>
      <c r="AE56" s="58"/>
      <c r="AF56" s="57"/>
    </row>
    <row r="57" spans="2:32" x14ac:dyDescent="0.35">
      <c r="B57" s="63">
        <v>46111.368263889104</v>
      </c>
      <c r="C57" s="42" t="s">
        <v>107</v>
      </c>
      <c r="D57" s="67" t="s">
        <v>106</v>
      </c>
      <c r="E57" s="12">
        <v>1758.0309999999999</v>
      </c>
      <c r="F57" s="12">
        <v>1756.144</v>
      </c>
      <c r="G57" s="5">
        <f>(IF(F57="","",F57-E57))</f>
        <v>-1.8869999999999436</v>
      </c>
      <c r="H57" s="11">
        <f>IF(G57="","",G57/E57)</f>
        <v>-1.0733599123109569E-3</v>
      </c>
      <c r="I57" s="8">
        <v>4791</v>
      </c>
      <c r="J57" s="8">
        <v>4810</v>
      </c>
      <c r="K57" s="7">
        <f>(IF(J57="","",J57-I57))</f>
        <v>19</v>
      </c>
      <c r="L57" s="4">
        <f>IF(K57="","",K57/I57)</f>
        <v>3.9657691504905029E-3</v>
      </c>
      <c r="M57" s="56">
        <f>IF(I57="","",(E57*I57)/1000000)</f>
        <v>8.4227265209999995</v>
      </c>
      <c r="N57" s="10">
        <f>IF(J57="","",(F57*J57)/1000000)</f>
        <v>8.4470526400000008</v>
      </c>
      <c r="O57" s="9">
        <f>(IF(N57="","",N57-M57))</f>
        <v>2.4326119000001256E-2</v>
      </c>
      <c r="P57" s="4">
        <f>IF(O57="","",O57/M57)</f>
        <v>2.8881525405520473E-3</v>
      </c>
      <c r="Q57" s="8">
        <v>853954</v>
      </c>
      <c r="R57" s="8">
        <v>852081</v>
      </c>
      <c r="S57" s="71">
        <f>(IF(R57="","",R57-Q57))</f>
        <v>-1873</v>
      </c>
      <c r="T57" s="4">
        <f>IF(S57="","",S57/Q57)</f>
        <v>-2.1933265726256919E-3</v>
      </c>
      <c r="U57" s="55">
        <f>IF(Q57="","",(E57*Q57)/1000000)</f>
        <v>1501.277604574</v>
      </c>
      <c r="V57" s="6">
        <f>IF(R57="","",(F57*R57)/1000000)</f>
        <v>1496.376935664</v>
      </c>
      <c r="W57" s="5">
        <f>(IF(V57="","",V57-U57))</f>
        <v>-4.9006689099999221</v>
      </c>
      <c r="X57" s="4">
        <f>IF(W57="","",W57/U57)</f>
        <v>-3.2643322561189659E-3</v>
      </c>
      <c r="Y57" s="70" t="s">
        <v>105</v>
      </c>
      <c r="Z57" s="69"/>
      <c r="AA57" s="69"/>
      <c r="AB57" s="69"/>
      <c r="AC57" s="69"/>
      <c r="AD57" s="69"/>
      <c r="AE57" s="69"/>
      <c r="AF57" s="68"/>
    </row>
    <row r="58" spans="2:32" x14ac:dyDescent="0.35">
      <c r="B58" s="63">
        <v>46111.372511574067</v>
      </c>
      <c r="C58" s="42" t="s">
        <v>104</v>
      </c>
      <c r="D58" s="67" t="s">
        <v>103</v>
      </c>
      <c r="E58" s="12">
        <v>1161.999</v>
      </c>
      <c r="F58" s="12">
        <v>1160.4970000000001</v>
      </c>
      <c r="G58" s="5">
        <f>(IF(F58="","",F58-E58))</f>
        <v>-1.5019999999999527</v>
      </c>
      <c r="H58" s="11">
        <f>IF(G58="","",G58/E58)</f>
        <v>-1.2926000796902172E-3</v>
      </c>
      <c r="I58" s="8">
        <v>4769.402</v>
      </c>
      <c r="J58" s="8">
        <v>4840</v>
      </c>
      <c r="K58" s="7">
        <f>(IF(J58="","",J58-I58))</f>
        <v>70.597999999999956</v>
      </c>
      <c r="L58" s="4">
        <f>IF(K58="","",K58/I58)</f>
        <v>1.4802275002191041E-2</v>
      </c>
      <c r="M58" s="56">
        <f>IF(I58="","",(E58*I58)/1000000)</f>
        <v>5.5420403545979999</v>
      </c>
      <c r="N58" s="10">
        <f>IF(J58="","",(F58*J58)/1000000)</f>
        <v>5.61680548</v>
      </c>
      <c r="O58" s="9">
        <f>(IF(N58="","",N58-M58))</f>
        <v>7.4765125402000088E-2</v>
      </c>
      <c r="P58" s="4">
        <f>IF(O58="","",O58/M58)</f>
        <v>1.349054150065338E-2</v>
      </c>
      <c r="Q58" s="8">
        <v>868180.49100000004</v>
      </c>
      <c r="R58" s="8">
        <v>868948</v>
      </c>
      <c r="S58" s="7">
        <f>(IF(R58="","",R58-Q58))</f>
        <v>767.50899999996182</v>
      </c>
      <c r="T58" s="4">
        <f>IF(S58="","",S58/Q58)</f>
        <v>8.8404313153353476E-4</v>
      </c>
      <c r="U58" s="55">
        <f>IF(Q58="","",(E58*Q58)/1000000)</f>
        <v>1008.8248623615091</v>
      </c>
      <c r="V58" s="6">
        <f>IF(R58="","",(F58*R58)/1000000)</f>
        <v>1008.411547156</v>
      </c>
      <c r="W58" s="5">
        <f>(IF(V58="","",V58-U58))</f>
        <v>-0.41331520550909318</v>
      </c>
      <c r="X58" s="4">
        <f>IF(W58="","",W58/U58)</f>
        <v>-4.096996623790414E-4</v>
      </c>
      <c r="Y58" s="66" t="s">
        <v>31</v>
      </c>
      <c r="Z58" s="65"/>
      <c r="AA58" s="65"/>
      <c r="AB58" s="65"/>
      <c r="AC58" s="65"/>
      <c r="AD58" s="65"/>
      <c r="AE58" s="65"/>
      <c r="AF58" s="64"/>
    </row>
    <row r="59" spans="2:32" x14ac:dyDescent="0.35">
      <c r="B59" s="63">
        <v>46111.37512731459</v>
      </c>
      <c r="C59" s="42" t="s">
        <v>102</v>
      </c>
      <c r="D59" s="30" t="s">
        <v>101</v>
      </c>
      <c r="E59" s="12">
        <v>1272.7809999999999</v>
      </c>
      <c r="F59" s="12">
        <v>1272.1949999999999</v>
      </c>
      <c r="G59" s="5">
        <f>(IF(F59="","",F59-E59))</f>
        <v>-0.58600000000001273</v>
      </c>
      <c r="H59" s="11">
        <f>IF(G59="","",G59/E59)</f>
        <v>-4.6040913558578636E-4</v>
      </c>
      <c r="I59" s="8">
        <v>4650.402</v>
      </c>
      <c r="J59" s="8">
        <v>4712</v>
      </c>
      <c r="K59" s="7">
        <f>(IF(J59="","",J59-I59))</f>
        <v>61.597999999999956</v>
      </c>
      <c r="L59" s="4">
        <f>IF(K59="","",K59/I59)</f>
        <v>1.3245736605136492E-2</v>
      </c>
      <c r="M59" s="56">
        <f>IF(I59="","",(E59*I59)/1000000)</f>
        <v>5.9189433079619995</v>
      </c>
      <c r="N59" s="10">
        <f>IF(J59="","",(F59*J59)/1000000)</f>
        <v>5.9945828399999996</v>
      </c>
      <c r="O59" s="9">
        <f>(IF(N59="","",N59-M59))</f>
        <v>7.5639532038000112E-2</v>
      </c>
      <c r="P59" s="4">
        <f>IF(O59="","",O59/M59)</f>
        <v>1.2779229011410178E-2</v>
      </c>
      <c r="Q59" s="8">
        <v>846974.63800000004</v>
      </c>
      <c r="R59" s="8">
        <v>843781</v>
      </c>
      <c r="S59" s="7">
        <f>(IF(R59="","",R59-Q59))</f>
        <v>-3193.6380000000354</v>
      </c>
      <c r="T59" s="4">
        <f>IF(S59="","",S59/Q59)</f>
        <v>-3.7706418311902689E-3</v>
      </c>
      <c r="U59" s="55">
        <f>IF(Q59="","",(E59*Q59)/1000000)</f>
        <v>1078.0132267282779</v>
      </c>
      <c r="V59" s="6">
        <f>IF(R59="","",(F59*R59)/1000000)</f>
        <v>1073.453969295</v>
      </c>
      <c r="W59" s="5">
        <f>(IF(V59="","",V59-U59))</f>
        <v>-4.559257433277935</v>
      </c>
      <c r="X59" s="4">
        <f>IF(W59="","",W59/U59)</f>
        <v>-4.2293149288298417E-3</v>
      </c>
      <c r="Y59" s="62"/>
      <c r="Z59" s="61"/>
      <c r="AA59" s="61"/>
      <c r="AB59" s="61"/>
      <c r="AC59" s="61"/>
      <c r="AD59" s="61"/>
      <c r="AE59" s="61"/>
      <c r="AF59" s="60"/>
    </row>
    <row r="60" spans="2:32" x14ac:dyDescent="0.35">
      <c r="B60" s="63">
        <v>46126</v>
      </c>
      <c r="C60" s="42" t="s">
        <v>100</v>
      </c>
      <c r="D60" s="30" t="s">
        <v>99</v>
      </c>
      <c r="E60" s="12">
        <v>1693.9559999999999</v>
      </c>
      <c r="F60" s="12">
        <v>1695.4670000000001</v>
      </c>
      <c r="G60" s="5">
        <f>(IF(F60="","",F60-E60))</f>
        <v>1.5110000000001946</v>
      </c>
      <c r="H60" s="11">
        <f>IF(G60="","",G60/E60)</f>
        <v>8.9199483339602364E-4</v>
      </c>
      <c r="I60" s="8">
        <v>4720.2700000000004</v>
      </c>
      <c r="J60" s="8">
        <v>4744</v>
      </c>
      <c r="K60" s="7">
        <f>(IF(J60="","",J60-I60))</f>
        <v>23.729999999999563</v>
      </c>
      <c r="L60" s="4">
        <f>IF(K60="","",K60/I60)</f>
        <v>5.0272547968653403E-3</v>
      </c>
      <c r="M60" s="56">
        <f>IF(I60="","",(E60*I60)/1000000)</f>
        <v>7.9959296881200004</v>
      </c>
      <c r="N60" s="10">
        <f>IF(J60="","",(F60*J60)/1000000)</f>
        <v>8.0432954480000003</v>
      </c>
      <c r="O60" s="9">
        <f>(IF(N60="","",N60-M60))</f>
        <v>4.7365759879999914E-2</v>
      </c>
      <c r="P60" s="4">
        <f>IF(O60="","",O60/M60)</f>
        <v>5.9237339155663003E-3</v>
      </c>
      <c r="Q60" s="8">
        <v>875230.85699999996</v>
      </c>
      <c r="R60" s="8">
        <v>874764</v>
      </c>
      <c r="S60" s="7">
        <f>(IF(R60="","",R60-Q60))</f>
        <v>-466.85699999995995</v>
      </c>
      <c r="T60" s="4">
        <f>IF(S60="","",S60/Q60)</f>
        <v>-5.3341012404451815E-4</v>
      </c>
      <c r="U60" s="55">
        <f>IF(Q60="","",(E60*Q60)/1000000)</f>
        <v>1482.6025616002917</v>
      </c>
      <c r="V60" s="6">
        <f>IF(R60="","",(F60*R60)/1000000)</f>
        <v>1483.133494788</v>
      </c>
      <c r="W60" s="5">
        <f>(IF(V60="","",V60-U60))</f>
        <v>0.5309331877083423</v>
      </c>
      <c r="X60" s="4">
        <f>IF(W60="","",W60/U60)</f>
        <v>3.5810891027684695E-4</v>
      </c>
      <c r="Y60" s="62"/>
      <c r="Z60" s="61"/>
      <c r="AA60" s="61"/>
      <c r="AB60" s="61"/>
      <c r="AC60" s="61"/>
      <c r="AD60" s="61"/>
      <c r="AE60" s="61"/>
      <c r="AF60" s="60"/>
    </row>
    <row r="61" spans="2:32" x14ac:dyDescent="0.35">
      <c r="B61" s="49">
        <v>46126</v>
      </c>
      <c r="C61" s="42" t="s">
        <v>98</v>
      </c>
      <c r="D61" s="30" t="s">
        <v>97</v>
      </c>
      <c r="E61" s="12">
        <v>1734.8579999999999</v>
      </c>
      <c r="F61" s="12">
        <v>1739.4649999999999</v>
      </c>
      <c r="G61" s="5">
        <f>(IF(F61="","",F61-E61))</f>
        <v>4.6069999999999709</v>
      </c>
      <c r="H61" s="11">
        <f>IF(G61="","",G61/E61)</f>
        <v>2.6555487538461194E-3</v>
      </c>
      <c r="I61" s="8">
        <v>4670.7150000000001</v>
      </c>
      <c r="J61" s="8">
        <v>4700</v>
      </c>
      <c r="K61" s="7">
        <f>(IF(J61="","",J61-I61))</f>
        <v>29.284999999999854</v>
      </c>
      <c r="L61" s="4">
        <f>IF(K61="","",K61/I61)</f>
        <v>6.2699179890016521E-3</v>
      </c>
      <c r="M61" s="56">
        <f>IF(I61="","",(E61*I61)/1000000)</f>
        <v>8.1030272834700003</v>
      </c>
      <c r="N61" s="10">
        <f>IF(J61="","",(F61*J61)/1000000)</f>
        <v>8.1754855000000006</v>
      </c>
      <c r="O61" s="9">
        <f>(IF(N61="","",N61-M61))</f>
        <v>7.2458216530000286E-2</v>
      </c>
      <c r="P61" s="4">
        <f>IF(O61="","",O61/M61)</f>
        <v>8.9421168157502659E-3</v>
      </c>
      <c r="Q61" s="8">
        <v>866615.62600000005</v>
      </c>
      <c r="R61" s="8">
        <v>871093</v>
      </c>
      <c r="S61" s="7">
        <f>(IF(R61="","",R61-Q61))</f>
        <v>4477.3739999999525</v>
      </c>
      <c r="T61" s="4">
        <f>IF(S61="","",S61/Q61)</f>
        <v>5.1665050406094941E-3</v>
      </c>
      <c r="U61" s="55">
        <f>IF(Q61="","",(E61*Q61)/1000000)</f>
        <v>1503.4550516911079</v>
      </c>
      <c r="V61" s="6">
        <f>IF(R61="","",(F61*R61)/1000000)</f>
        <v>1515.235785245</v>
      </c>
      <c r="W61" s="5">
        <f>(IF(V61="","",V61-U61))</f>
        <v>11.780733553892105</v>
      </c>
      <c r="X61" s="4">
        <f>IF(W61="","",W61/U61)</f>
        <v>7.835773700478086E-3</v>
      </c>
      <c r="Y61" s="62"/>
      <c r="Z61" s="61"/>
      <c r="AA61" s="61"/>
      <c r="AB61" s="61"/>
      <c r="AC61" s="61"/>
      <c r="AD61" s="61"/>
      <c r="AE61" s="61"/>
      <c r="AF61" s="60"/>
    </row>
    <row r="62" spans="2:32" x14ac:dyDescent="0.35">
      <c r="B62" s="49">
        <v>46126</v>
      </c>
      <c r="C62" s="42" t="s">
        <v>96</v>
      </c>
      <c r="D62" s="30" t="s">
        <v>95</v>
      </c>
      <c r="E62" s="12">
        <v>1736.289</v>
      </c>
      <c r="F62" s="12">
        <v>1736.3589999999999</v>
      </c>
      <c r="G62" s="5">
        <f>(IF(F62="","",F62-E62))</f>
        <v>6.9999999999936335E-2</v>
      </c>
      <c r="H62" s="11">
        <f>IF(G62="","",G62/E62)</f>
        <v>4.0315869074754452E-5</v>
      </c>
      <c r="I62" s="8">
        <v>4675.2129999999997</v>
      </c>
      <c r="J62" s="8">
        <v>4620</v>
      </c>
      <c r="K62" s="7">
        <f>(IF(J62="","",J62-I62))</f>
        <v>-55.212999999999738</v>
      </c>
      <c r="L62" s="4">
        <f>IF(K62="","",K62/I62)</f>
        <v>-1.1809729310728675E-2</v>
      </c>
      <c r="M62" s="56">
        <f>IF(I62="","",(E62*I62)/1000000)</f>
        <v>8.1175209045570007</v>
      </c>
      <c r="N62" s="10">
        <f>IF(J62="","",(F62*J62)/1000000)</f>
        <v>8.0219785800000007</v>
      </c>
      <c r="O62" s="9">
        <f>(IF(N62="","",N62-M62))</f>
        <v>-9.5542324556999958E-2</v>
      </c>
      <c r="P62" s="4">
        <f>IF(O62="","",O62/M62)</f>
        <v>-1.1769889561154634E-2</v>
      </c>
      <c r="Q62" s="8">
        <v>863669.45</v>
      </c>
      <c r="R62" s="8">
        <v>859135</v>
      </c>
      <c r="S62" s="7">
        <f>(IF(R62="","",R62-Q62))</f>
        <v>-4534.4499999999534</v>
      </c>
      <c r="T62" s="4">
        <f>IF(S62="","",S62/Q62)</f>
        <v>-5.2502146509870807E-3</v>
      </c>
      <c r="U62" s="55">
        <f>IF(Q62="","",(E62*Q62)/1000000)</f>
        <v>1499.5797656710499</v>
      </c>
      <c r="V62" s="6">
        <f>IF(R62="","",(F62*R62)/1000000)</f>
        <v>1491.7667894649999</v>
      </c>
      <c r="W62" s="5">
        <f>(IF(V62="","",V62-U62))</f>
        <v>-7.8129762060500525</v>
      </c>
      <c r="X62" s="4">
        <f>IF(W62="","",W62/U62)</f>
        <v>-5.2101104488788616E-3</v>
      </c>
      <c r="Y62" s="62"/>
      <c r="Z62" s="61"/>
      <c r="AA62" s="61"/>
      <c r="AB62" s="61"/>
      <c r="AC62" s="61"/>
      <c r="AD62" s="61"/>
      <c r="AE62" s="61"/>
      <c r="AF62" s="60"/>
    </row>
    <row r="63" spans="2:32" x14ac:dyDescent="0.35">
      <c r="B63" s="49">
        <v>46126</v>
      </c>
      <c r="C63" s="42" t="s">
        <v>94</v>
      </c>
      <c r="D63" s="30" t="s">
        <v>93</v>
      </c>
      <c r="E63" s="12">
        <v>1726.88</v>
      </c>
      <c r="F63" s="12">
        <v>1724.9870000000001</v>
      </c>
      <c r="G63" s="5">
        <f>(IF(F63="","",F63-E63))</f>
        <v>-1.8930000000000291</v>
      </c>
      <c r="H63" s="11">
        <f>IF(G63="","",G63/E63)</f>
        <v>-1.0961966089132013E-3</v>
      </c>
      <c r="I63" s="8">
        <v>5275.4539999999997</v>
      </c>
      <c r="J63" s="8">
        <v>5302</v>
      </c>
      <c r="K63" s="7">
        <f>(IF(J63="","",J63-I63))</f>
        <v>26.546000000000276</v>
      </c>
      <c r="L63" s="4">
        <f>IF(K63="","",K63/I63)</f>
        <v>5.0319839771136811E-3</v>
      </c>
      <c r="M63" s="56">
        <f>IF(I63="","",(E63*I63)/1000000)</f>
        <v>9.1100760035200015</v>
      </c>
      <c r="N63" s="10">
        <f>IF(J63="","",(F63*J63)/1000000)</f>
        <v>9.1458810740000018</v>
      </c>
      <c r="O63" s="9">
        <f>(IF(N63="","",N63-M63))</f>
        <v>3.5805070480000367E-2</v>
      </c>
      <c r="P63" s="4">
        <f>IF(O63="","",O63/M63)</f>
        <v>3.9302713244286662E-3</v>
      </c>
      <c r="Q63" s="8">
        <v>886075.21200000006</v>
      </c>
      <c r="R63" s="8">
        <v>890109</v>
      </c>
      <c r="S63" s="7">
        <f>(IF(R63="","",R63-Q63))</f>
        <v>4033.7879999999423</v>
      </c>
      <c r="T63" s="4">
        <f>IF(S63="","",S63/Q63)</f>
        <v>4.552421674109468E-3</v>
      </c>
      <c r="U63" s="55">
        <f>IF(Q63="","",(E63*Q63)/1000000)</f>
        <v>1530.14556209856</v>
      </c>
      <c r="V63" s="6">
        <f>IF(R63="","",(F63*R63)/1000000)</f>
        <v>1535.4264535830002</v>
      </c>
      <c r="W63" s="5">
        <f>(IF(V63="","",V63-U63))</f>
        <v>5.2808914844401897</v>
      </c>
      <c r="X63" s="4">
        <f>IF(W63="","",W63/U63)</f>
        <v>3.4512347159949713E-3</v>
      </c>
      <c r="Y63" s="62"/>
      <c r="Z63" s="61"/>
      <c r="AA63" s="61"/>
      <c r="AB63" s="61"/>
      <c r="AC63" s="61"/>
      <c r="AD63" s="61"/>
      <c r="AE63" s="61"/>
      <c r="AF63" s="60"/>
    </row>
    <row r="64" spans="2:32" x14ac:dyDescent="0.35">
      <c r="B64" s="49">
        <v>46137</v>
      </c>
      <c r="C64" s="42" t="s">
        <v>92</v>
      </c>
      <c r="D64" s="30" t="s">
        <v>91</v>
      </c>
      <c r="E64" s="12">
        <v>1724.422</v>
      </c>
      <c r="F64" s="12">
        <v>1725.0350000000001</v>
      </c>
      <c r="G64" s="5">
        <f>(IF(F64="","",F64-E64))</f>
        <v>0.61300000000005639</v>
      </c>
      <c r="H64" s="11">
        <f>IF(G64="","",G64/E64)</f>
        <v>3.5548143087948101E-4</v>
      </c>
      <c r="I64" s="8">
        <v>5023.58</v>
      </c>
      <c r="J64" s="8">
        <v>5044</v>
      </c>
      <c r="K64" s="7">
        <f>(IF(J64="","",J64-I64))</f>
        <v>20.420000000000073</v>
      </c>
      <c r="L64" s="4">
        <f>IF(K64="","",K64/I64)</f>
        <v>4.0648302604915365E-3</v>
      </c>
      <c r="M64" s="56">
        <f>IF(I64="","",(E64*I64)/1000000)</f>
        <v>8.6627718707599985</v>
      </c>
      <c r="N64" s="10">
        <f>IF(J64="","",(F64*J64)/1000000)</f>
        <v>8.7010765400000007</v>
      </c>
      <c r="O64" s="9">
        <f>(IF(N64="","",N64-M64))</f>
        <v>3.8304669240002198E-2</v>
      </c>
      <c r="P64" s="4">
        <f>IF(O64="","",O64/M64)</f>
        <v>4.4217566630485065E-3</v>
      </c>
      <c r="Q64" s="8">
        <v>876880.51100000006</v>
      </c>
      <c r="R64" s="8">
        <v>875572</v>
      </c>
      <c r="S64" s="7">
        <f>(IF(R64="","",R64-Q64))</f>
        <v>-1308.5110000000568</v>
      </c>
      <c r="T64" s="4">
        <f>IF(S64="","",S64/Q64)</f>
        <v>-1.4922340998408353E-3</v>
      </c>
      <c r="U64" s="55">
        <f>IF(Q64="","",(E64*Q64)/1000000)</f>
        <v>1512.1120445396421</v>
      </c>
      <c r="V64" s="6">
        <f>IF(R64="","",(F64*R64)/1000000)</f>
        <v>1510.39234502</v>
      </c>
      <c r="W64" s="5">
        <f>(IF(V64="","",V64-U64))</f>
        <v>-1.719699519642063</v>
      </c>
      <c r="X64" s="4">
        <f>IF(W64="","",W64/U64)</f>
        <v>-1.1372831304743826E-3</v>
      </c>
      <c r="Y64" s="62"/>
      <c r="Z64" s="61"/>
      <c r="AA64" s="61"/>
      <c r="AB64" s="61"/>
      <c r="AC64" s="61"/>
      <c r="AD64" s="61"/>
      <c r="AE64" s="61"/>
      <c r="AF64" s="60"/>
    </row>
    <row r="65" spans="2:32" x14ac:dyDescent="0.35">
      <c r="B65" s="49">
        <v>46137</v>
      </c>
      <c r="C65" s="42" t="s">
        <v>90</v>
      </c>
      <c r="D65" s="30" t="s">
        <v>89</v>
      </c>
      <c r="E65" s="12">
        <v>1744.4079999999999</v>
      </c>
      <c r="F65" s="12">
        <v>1745.374</v>
      </c>
      <c r="G65" s="5">
        <f>(IF(F65="","",F65-E65))</f>
        <v>0.96600000000012187</v>
      </c>
      <c r="H65" s="11">
        <f>IF(G65="","",G65/E65)</f>
        <v>5.5376953098135412E-4</v>
      </c>
      <c r="I65" s="8">
        <v>4774.5010000000002</v>
      </c>
      <c r="J65" s="8">
        <v>4813</v>
      </c>
      <c r="K65" s="7">
        <f>(IF(J65="","",J65-I65))</f>
        <v>38.498999999999796</v>
      </c>
      <c r="L65" s="4">
        <f>IF(K65="","",K65/I65)</f>
        <v>8.0634604537730328E-3</v>
      </c>
      <c r="M65" s="56">
        <f>IF(I65="","",(E65*I65)/1000000)</f>
        <v>8.3286777404079988</v>
      </c>
      <c r="N65" s="10">
        <f>IF(J65="","",(F65*J65)/1000000)</f>
        <v>8.4004850620000013</v>
      </c>
      <c r="O65" s="9">
        <f>(IF(N65="","",N65-M65))</f>
        <v>7.1807321592002538E-2</v>
      </c>
      <c r="P65" s="4">
        <f>IF(O65="","",O65/M65)</f>
        <v>8.6216952834682371E-3</v>
      </c>
      <c r="Q65" s="8">
        <v>873625.304</v>
      </c>
      <c r="R65" s="8">
        <v>874842</v>
      </c>
      <c r="S65" s="7">
        <f>(IF(R65="","",R65-Q65))</f>
        <v>1216.6959999999963</v>
      </c>
      <c r="T65" s="4">
        <f>IF(S65="","",S65/Q65)</f>
        <v>1.3926977554670238E-3</v>
      </c>
      <c r="U65" s="55">
        <f>IF(Q65="","",(E65*Q65)/1000000)</f>
        <v>1523.9589693000319</v>
      </c>
      <c r="V65" s="6">
        <f>IF(R65="","",(F65*R65)/1000000)</f>
        <v>1526.926480908</v>
      </c>
      <c r="W65" s="5">
        <f>(IF(V65="","",V65-U65))</f>
        <v>2.9675116079681629</v>
      </c>
      <c r="X65" s="4">
        <f>IF(W65="","",W65/U65)</f>
        <v>1.9472385200312629E-3</v>
      </c>
      <c r="Y65" s="62"/>
      <c r="Z65" s="61"/>
      <c r="AA65" s="61"/>
      <c r="AB65" s="61"/>
      <c r="AC65" s="61"/>
      <c r="AD65" s="61"/>
      <c r="AE65" s="61"/>
      <c r="AF65" s="60"/>
    </row>
    <row r="66" spans="2:32" x14ac:dyDescent="0.35">
      <c r="B66" s="49">
        <v>46137</v>
      </c>
      <c r="C66" s="42" t="s">
        <v>88</v>
      </c>
      <c r="D66" s="30" t="s">
        <v>87</v>
      </c>
      <c r="E66" s="12">
        <v>1743.828</v>
      </c>
      <c r="F66" s="12">
        <v>1741.999</v>
      </c>
      <c r="G66" s="5">
        <f>(IF(F66="","",F66-E66))</f>
        <v>-1.8289999999999509</v>
      </c>
      <c r="H66" s="11">
        <f>IF(G66="","",G66/E66)</f>
        <v>-1.0488419729468451E-3</v>
      </c>
      <c r="I66" s="8">
        <v>4550.95</v>
      </c>
      <c r="J66" s="8">
        <v>4617</v>
      </c>
      <c r="K66" s="7">
        <f>(IF(J66="","",J66-I66))</f>
        <v>66.050000000000182</v>
      </c>
      <c r="L66" s="4">
        <f>IF(K66="","",K66/I66)</f>
        <v>1.4513453235038878E-2</v>
      </c>
      <c r="M66" s="56">
        <f>IF(I66="","",(E66*I66)/1000000)</f>
        <v>7.9360740365999991</v>
      </c>
      <c r="N66" s="10">
        <f>IF(J66="","",(F66*J66)/1000000)</f>
        <v>8.0428093829999998</v>
      </c>
      <c r="O66" s="9">
        <f>(IF(N66="","",N66-M66))</f>
        <v>0.10673534640000071</v>
      </c>
      <c r="P66" s="4">
        <f>IF(O66="","",O66/M66)</f>
        <v>1.3449388943166746E-2</v>
      </c>
      <c r="Q66" s="8">
        <v>862467.16200000001</v>
      </c>
      <c r="R66" s="8">
        <v>868877</v>
      </c>
      <c r="S66" s="7">
        <f>(IF(R66="","",R66-Q66))</f>
        <v>6409.8379999999888</v>
      </c>
      <c r="T66" s="4">
        <f>IF(S66="","",S66/Q66)</f>
        <v>7.4319791899508736E-3</v>
      </c>
      <c r="U66" s="55">
        <f>IF(Q66="","",(E66*Q66)/1000000)</f>
        <v>1503.994386176136</v>
      </c>
      <c r="V66" s="6">
        <f>IF(R66="","",(F66*R66)/1000000)</f>
        <v>1513.5828651229999</v>
      </c>
      <c r="W66" s="5">
        <f>(IF(V66="","",V66-U66))</f>
        <v>9.5884789468639156</v>
      </c>
      <c r="X66" s="4">
        <f>IF(W66="","",W66/U66)</f>
        <v>6.3753422452874691E-3</v>
      </c>
      <c r="Y66" s="62"/>
      <c r="Z66" s="61"/>
      <c r="AA66" s="61"/>
      <c r="AB66" s="61"/>
      <c r="AC66" s="61"/>
      <c r="AD66" s="61"/>
      <c r="AE66" s="61"/>
      <c r="AF66" s="60"/>
    </row>
    <row r="67" spans="2:32" x14ac:dyDescent="0.35">
      <c r="B67" s="49">
        <v>46142</v>
      </c>
      <c r="C67" s="42" t="s">
        <v>86</v>
      </c>
      <c r="D67" s="30" t="s">
        <v>85</v>
      </c>
      <c r="E67" s="12">
        <v>1744.1010000000001</v>
      </c>
      <c r="F67" s="12">
        <v>1744.42</v>
      </c>
      <c r="G67" s="5">
        <f>(IF(F67="","",F67-E67))</f>
        <v>0.31899999999995998</v>
      </c>
      <c r="H67" s="11">
        <f>IF(G67="","",G67/E67)</f>
        <v>1.8290225164710068E-4</v>
      </c>
      <c r="I67" s="8">
        <v>4505.0889999999999</v>
      </c>
      <c r="J67" s="8">
        <v>4462</v>
      </c>
      <c r="K67" s="7">
        <f>(IF(J67="","",J67-I67))</f>
        <v>-43.088999999999942</v>
      </c>
      <c r="L67" s="4">
        <f>IF(K67="","",K67/I67)</f>
        <v>-9.5645169274125204E-3</v>
      </c>
      <c r="M67" s="56">
        <f>IF(I67="","",(E67*I67)/1000000)</f>
        <v>7.8573302299890004</v>
      </c>
      <c r="N67" s="10">
        <f>IF(J67="","",(F67*J67)/1000000)</f>
        <v>7.7836020399999999</v>
      </c>
      <c r="O67" s="9">
        <f>(IF(N67="","",N67-M67))</f>
        <v>-7.3728189989000548E-2</v>
      </c>
      <c r="P67" s="4">
        <f>IF(O67="","",O67/M67)</f>
        <v>-9.3833640474474192E-3</v>
      </c>
      <c r="Q67" s="8">
        <v>877750.95700000005</v>
      </c>
      <c r="R67" s="8">
        <v>868531</v>
      </c>
      <c r="S67" s="7">
        <f>(IF(R67="","",R67-Q67))</f>
        <v>-9219.9570000000531</v>
      </c>
      <c r="T67" s="4">
        <f>IF(S67="","",S67/Q67)</f>
        <v>-1.0504069436178412E-2</v>
      </c>
      <c r="U67" s="55">
        <f>IF(Q67="","",(E67*Q67)/1000000)</f>
        <v>1530.8863218546571</v>
      </c>
      <c r="V67" s="6">
        <f>IF(R67="","",(F67*R67)/1000000)</f>
        <v>1515.0828470199999</v>
      </c>
      <c r="W67" s="5">
        <f>(IF(V67="","",V67-U67))</f>
        <v>-15.803474834657209</v>
      </c>
      <c r="X67" s="4">
        <f>IF(W67="","",W67/U67)</f>
        <v>-1.0323088402482699E-2</v>
      </c>
      <c r="Y67" s="62"/>
      <c r="Z67" s="61"/>
      <c r="AA67" s="61"/>
      <c r="AB67" s="61"/>
      <c r="AC67" s="61"/>
      <c r="AD67" s="61"/>
      <c r="AE67" s="61"/>
      <c r="AF67" s="60"/>
    </row>
    <row r="68" spans="2:32" x14ac:dyDescent="0.35">
      <c r="B68" s="49">
        <v>46142</v>
      </c>
      <c r="C68" s="42" t="s">
        <v>84</v>
      </c>
      <c r="D68" s="30" t="s">
        <v>83</v>
      </c>
      <c r="E68" s="12">
        <v>1749.4880000000001</v>
      </c>
      <c r="F68" s="12">
        <v>1748.15</v>
      </c>
      <c r="G68" s="5">
        <f>(IF(F68="","",F68-E68))</f>
        <v>-1.3379999999999654</v>
      </c>
      <c r="H68" s="11">
        <f>IF(G68="","",G68/E68)</f>
        <v>-7.6479518579148037E-4</v>
      </c>
      <c r="I68" s="8">
        <v>4506.0889999999999</v>
      </c>
      <c r="J68" s="8">
        <v>4533</v>
      </c>
      <c r="K68" s="7">
        <f>(IF(J68="","",J68-I68))</f>
        <v>26.911000000000058</v>
      </c>
      <c r="L68" s="4">
        <f>IF(K68="","",K68/I68)</f>
        <v>5.9721412515376547E-3</v>
      </c>
      <c r="M68" s="56">
        <f>IF(I68="","",(E68*I68)/1000000)</f>
        <v>7.8833486324319999</v>
      </c>
      <c r="N68" s="10">
        <f>IF(J68="","",(F68*J68)/1000000)</f>
        <v>7.92436395</v>
      </c>
      <c r="O68" s="9">
        <f>(IF(N68="","",N68-M68))</f>
        <v>4.1015317568000143E-2</v>
      </c>
      <c r="P68" s="4">
        <f>IF(O68="","",O68/M68)</f>
        <v>5.2027786008681165E-3</v>
      </c>
      <c r="Q68" s="8">
        <v>860155.42</v>
      </c>
      <c r="R68" s="8">
        <v>856843</v>
      </c>
      <c r="S68" s="7">
        <f>(IF(R68="","",R68-Q68))</f>
        <v>-3312.4200000000419</v>
      </c>
      <c r="T68" s="4">
        <f>IF(S68="","",S68/Q68)</f>
        <v>-3.8509552145820831E-3</v>
      </c>
      <c r="U68" s="55">
        <f>IF(Q68="","",(E68*Q68)/1000000)</f>
        <v>1504.8315854249602</v>
      </c>
      <c r="V68" s="6">
        <f>IF(R68="","",(F68*R68)/1000000)</f>
        <v>1497.8900904500001</v>
      </c>
      <c r="W68" s="5">
        <f>(IF(V68="","",V68-U68))</f>
        <v>-6.941494974960051</v>
      </c>
      <c r="X68" s="4">
        <f>IF(W68="","",W68/U68)</f>
        <v>-4.6128052083647571E-3</v>
      </c>
      <c r="Y68" s="62"/>
      <c r="Z68" s="61"/>
      <c r="AA68" s="61"/>
      <c r="AB68" s="61"/>
      <c r="AC68" s="61"/>
      <c r="AD68" s="61"/>
      <c r="AE68" s="61"/>
      <c r="AF68" s="60"/>
    </row>
    <row r="69" spans="2:32" x14ac:dyDescent="0.35">
      <c r="B69" s="49">
        <v>46142</v>
      </c>
      <c r="C69" s="42" t="s">
        <v>82</v>
      </c>
      <c r="D69" s="30" t="s">
        <v>81</v>
      </c>
      <c r="E69" s="12">
        <v>1702.9159999999999</v>
      </c>
      <c r="F69" s="12">
        <v>1702.7760000000001</v>
      </c>
      <c r="G69" s="5">
        <f>(IF(F69="","",F69-E69))</f>
        <v>-0.13999999999987267</v>
      </c>
      <c r="H69" s="11">
        <f>IF(G69="","",G69/E69)</f>
        <v>-8.221192354753416E-5</v>
      </c>
      <c r="I69" s="8">
        <v>4494.8990000000003</v>
      </c>
      <c r="J69" s="8">
        <v>4483</v>
      </c>
      <c r="K69" s="7">
        <f>(IF(J69="","",J69-I69))</f>
        <v>-11.899000000000342</v>
      </c>
      <c r="L69" s="4">
        <f>IF(K69="","",K69/I69)</f>
        <v>-2.6472229965568395E-3</v>
      </c>
      <c r="M69" s="56">
        <f>IF(I69="","",(E69*I69)/1000000)</f>
        <v>7.6544354254840004</v>
      </c>
      <c r="N69" s="10">
        <f>IF(J69="","",(F69*J69)/1000000)</f>
        <v>7.6335448079999999</v>
      </c>
      <c r="O69" s="9">
        <f>(IF(N69="","",N69-M69))</f>
        <v>-2.0890617484000451E-2</v>
      </c>
      <c r="P69" s="4">
        <f>IF(O69="","",O69/M69)</f>
        <v>-2.7292172868098249E-3</v>
      </c>
      <c r="Q69" s="8">
        <v>824569.59499999997</v>
      </c>
      <c r="R69" s="8">
        <v>822770</v>
      </c>
      <c r="S69" s="7">
        <f>(IF(R69="","",R69-Q69))</f>
        <v>-1799.5949999999721</v>
      </c>
      <c r="T69" s="4">
        <f>IF(S69="","",S69/Q69)</f>
        <v>-2.1824658717860827E-3</v>
      </c>
      <c r="U69" s="55">
        <f>IF(Q69="","",(E69*Q69)/1000000)</f>
        <v>1404.1727564390198</v>
      </c>
      <c r="V69" s="6">
        <f>IF(R69="","",(F69*R69)/1000000)</f>
        <v>1400.99300952</v>
      </c>
      <c r="W69" s="5">
        <f>(IF(V69="","",V69-U69))</f>
        <v>-3.1797469190198626</v>
      </c>
      <c r="X69" s="4">
        <f>IF(W69="","",W69/U69)</f>
        <v>-2.2644983706162315E-3</v>
      </c>
      <c r="Y69" s="62"/>
      <c r="Z69" s="61"/>
      <c r="AA69" s="61"/>
      <c r="AB69" s="61"/>
      <c r="AC69" s="61"/>
      <c r="AD69" s="61"/>
      <c r="AE69" s="61"/>
      <c r="AF69" s="60"/>
    </row>
    <row r="70" spans="2:32" x14ac:dyDescent="0.35">
      <c r="B70" s="49">
        <v>46142</v>
      </c>
      <c r="C70" s="42" t="s">
        <v>80</v>
      </c>
      <c r="D70" s="30" t="s">
        <v>79</v>
      </c>
      <c r="E70" s="12">
        <v>830.072</v>
      </c>
      <c r="F70" s="12">
        <v>828.73099999999999</v>
      </c>
      <c r="G70" s="5">
        <f>(IF(F70="","",F70-E70))</f>
        <v>-1.3410000000000082</v>
      </c>
      <c r="H70" s="11">
        <f>IF(G70="","",G70/E70)</f>
        <v>-1.6155225088908048E-3</v>
      </c>
      <c r="I70" s="8">
        <v>4631.982</v>
      </c>
      <c r="J70" s="8">
        <v>4667</v>
      </c>
      <c r="K70" s="7">
        <f>(IF(J70="","",J70-I70))</f>
        <v>35.018000000000029</v>
      </c>
      <c r="L70" s="4">
        <f>IF(K70="","",K70/I70)</f>
        <v>7.5600466495767968E-3</v>
      </c>
      <c r="M70" s="56">
        <f>IF(I70="","",(E70*I70)/1000000)</f>
        <v>3.8448785627040003</v>
      </c>
      <c r="N70" s="10">
        <f>IF(J70="","",(F70*J70)/1000000)</f>
        <v>3.8676875769999999</v>
      </c>
      <c r="O70" s="9">
        <f>(IF(N70="","",N70-M70))</f>
        <v>2.2809014295999575E-2</v>
      </c>
      <c r="P70" s="4">
        <f>IF(O70="","",O70/M70)</f>
        <v>5.9323107151552281E-3</v>
      </c>
      <c r="Q70" s="8">
        <v>845879.35800000001</v>
      </c>
      <c r="R70" s="8">
        <v>844440</v>
      </c>
      <c r="S70" s="7">
        <f>(IF(R70="","",R70-Q70))</f>
        <v>-1439.3580000000075</v>
      </c>
      <c r="T70" s="4">
        <f>IF(S70="","",S70/Q70)</f>
        <v>-1.7016114489461361E-3</v>
      </c>
      <c r="U70" s="55">
        <f>IF(Q70="","",(E70*Q70)/1000000)</f>
        <v>702.14077045377599</v>
      </c>
      <c r="V70" s="6">
        <f>IF(R70="","",(F70*R70)/1000000)</f>
        <v>699.81360563999999</v>
      </c>
      <c r="W70" s="5">
        <f>(IF(V70="","",V70-U70))</f>
        <v>-2.3271648137759939</v>
      </c>
      <c r="X70" s="4">
        <f>IF(W70="","",W70/U70)</f>
        <v>-3.314384966239755E-3</v>
      </c>
      <c r="Y70" s="62"/>
      <c r="Z70" s="61"/>
      <c r="AA70" s="61"/>
      <c r="AB70" s="61"/>
      <c r="AC70" s="61"/>
      <c r="AD70" s="61"/>
      <c r="AE70" s="61"/>
      <c r="AF70" s="60"/>
    </row>
    <row r="71" spans="2:32" x14ac:dyDescent="0.35">
      <c r="B71" s="49">
        <v>46154</v>
      </c>
      <c r="C71" s="42" t="s">
        <v>78</v>
      </c>
      <c r="D71" s="30" t="s">
        <v>77</v>
      </c>
      <c r="E71" s="12">
        <v>1765.837</v>
      </c>
      <c r="F71" s="12">
        <v>1765.471</v>
      </c>
      <c r="G71" s="5">
        <f>(IF(F71="","",F71-E71))</f>
        <v>-0.36599999999998545</v>
      </c>
      <c r="H71" s="11">
        <f>IF(G71="","",G71/E71)</f>
        <v>-2.0726714866660143E-4</v>
      </c>
      <c r="I71" s="8">
        <v>4161.0550000000003</v>
      </c>
      <c r="J71" s="8">
        <v>4202</v>
      </c>
      <c r="K71" s="7">
        <f>(IF(J71="","",J71-I71))</f>
        <v>40.944999999999709</v>
      </c>
      <c r="L71" s="4">
        <f>IF(K71="","",K71/I71)</f>
        <v>9.840052582818469E-3</v>
      </c>
      <c r="M71" s="56">
        <f>IF(I71="","",(E71*I71)/1000000)</f>
        <v>7.3477448780350008</v>
      </c>
      <c r="N71" s="10">
        <f>IF(J71="","",(F71*J71)/1000000)</f>
        <v>7.4185091419999996</v>
      </c>
      <c r="O71" s="9">
        <f>(IF(N71="","",N71-M71))</f>
        <v>7.0764263964998797E-2</v>
      </c>
      <c r="P71" s="4">
        <f>IF(O71="","",O71/M71)</f>
        <v>9.6307459145101946E-3</v>
      </c>
      <c r="Q71" s="8">
        <v>886604.38600000006</v>
      </c>
      <c r="R71" s="8">
        <v>895020</v>
      </c>
      <c r="S71" s="7">
        <f>(IF(R71="","",R71-Q71))</f>
        <v>8415.6139999999432</v>
      </c>
      <c r="T71" s="4">
        <f>IF(S71="","",S71/Q71)</f>
        <v>9.4919607131290946E-3</v>
      </c>
      <c r="U71" s="55">
        <f>IF(Q71="","",(E71*Q71)/1000000)</f>
        <v>1565.598829161082</v>
      </c>
      <c r="V71" s="6">
        <f>IF(R71="","",(F71*R71)/1000000)</f>
        <v>1580.1318544200001</v>
      </c>
      <c r="W71" s="5">
        <f>(IF(V71="","",V71-U71))</f>
        <v>14.533025258918087</v>
      </c>
      <c r="X71" s="4">
        <f>IF(W71="","",W71/U71)</f>
        <v>9.2827261928303383E-3</v>
      </c>
      <c r="Y71" s="62"/>
      <c r="Z71" s="61"/>
      <c r="AA71" s="61"/>
      <c r="AB71" s="61"/>
      <c r="AC71" s="61"/>
      <c r="AD71" s="61"/>
      <c r="AE71" s="61"/>
      <c r="AF71" s="60"/>
    </row>
    <row r="72" spans="2:32" x14ac:dyDescent="0.35">
      <c r="B72" s="49">
        <v>46154</v>
      </c>
      <c r="C72" s="42" t="s">
        <v>76</v>
      </c>
      <c r="D72" s="30" t="s">
        <v>75</v>
      </c>
      <c r="E72" s="12">
        <v>1699.3879999999999</v>
      </c>
      <c r="F72" s="12">
        <v>1698.123</v>
      </c>
      <c r="G72" s="5">
        <f>(IF(F72="","",F72-E72))</f>
        <v>-1.2649999999998727</v>
      </c>
      <c r="H72" s="11">
        <f>IF(G72="","",G72/E72)</f>
        <v>-7.4438562588406698E-4</v>
      </c>
      <c r="I72" s="8">
        <v>4156.3689999999997</v>
      </c>
      <c r="J72" s="8">
        <v>4174</v>
      </c>
      <c r="K72" s="7">
        <f>(IF(J72="","",J72-I72))</f>
        <v>17.631000000000313</v>
      </c>
      <c r="L72" s="4">
        <f>IF(K72="","",K72/I72)</f>
        <v>4.2419236598098759E-3</v>
      </c>
      <c r="M72" s="56">
        <f>IF(I72="","",(E72*I72)/1000000)</f>
        <v>7.0632836021719996</v>
      </c>
      <c r="N72" s="10">
        <f>IF(J72="","",(F72*J72)/1000000)</f>
        <v>7.087965402</v>
      </c>
      <c r="O72" s="9">
        <f>(IF(N72="","",N72-M72))</f>
        <v>2.468179982800045E-2</v>
      </c>
      <c r="P72" s="4">
        <f>IF(O72="","",O72/M72)</f>
        <v>3.4943804069272623E-3</v>
      </c>
      <c r="Q72" s="8">
        <v>879036.76699999999</v>
      </c>
      <c r="R72" s="8">
        <v>878187</v>
      </c>
      <c r="S72" s="7">
        <f>(IF(R72="","",R72-Q72))</f>
        <v>-849.76699999999255</v>
      </c>
      <c r="T72" s="4">
        <f>IF(S72="","",S72/Q72)</f>
        <v>-9.667024542103056E-4</v>
      </c>
      <c r="U72" s="55">
        <f>IF(Q72="","",(E72*Q72)/1000000)</f>
        <v>1493.8245333985958</v>
      </c>
      <c r="V72" s="6">
        <f>IF(R72="","",(F72*R72)/1000000)</f>
        <v>1491.2695430009999</v>
      </c>
      <c r="W72" s="5">
        <f>(IF(V72="","",V72-U72))</f>
        <v>-2.5549903975959296</v>
      </c>
      <c r="X72" s="4">
        <f>IF(W72="","",W72/U72)</f>
        <v>-1.7103684806829879E-3</v>
      </c>
      <c r="Y72" s="62"/>
      <c r="Z72" s="61"/>
      <c r="AA72" s="61"/>
      <c r="AB72" s="61"/>
      <c r="AC72" s="61"/>
      <c r="AD72" s="61"/>
      <c r="AE72" s="61"/>
      <c r="AF72" s="60"/>
    </row>
    <row r="73" spans="2:32" x14ac:dyDescent="0.35">
      <c r="B73" s="49">
        <v>46154</v>
      </c>
      <c r="C73" s="42" t="s">
        <v>74</v>
      </c>
      <c r="D73" s="30" t="s">
        <v>73</v>
      </c>
      <c r="E73" s="12">
        <v>1618.153</v>
      </c>
      <c r="F73" s="12">
        <v>1621.527</v>
      </c>
      <c r="G73" s="5">
        <f>(IF(F73="","",F73-E73))</f>
        <v>3.3740000000000236</v>
      </c>
      <c r="H73" s="11">
        <f>IF(G73="","",G73/E73)</f>
        <v>2.0850933131786819E-3</v>
      </c>
      <c r="I73" s="8">
        <v>4056.1010000000001</v>
      </c>
      <c r="J73" s="8">
        <v>4062</v>
      </c>
      <c r="K73" s="7">
        <f>(IF(J73="","",J73-I73))</f>
        <v>5.8989999999998872</v>
      </c>
      <c r="L73" s="4">
        <f>IF(K73="","",K73/I73)</f>
        <v>1.4543523447763966E-3</v>
      </c>
      <c r="M73" s="56">
        <f>IF(I73="","",(E73*I73)/1000000)</f>
        <v>6.5633920014529998</v>
      </c>
      <c r="N73" s="10">
        <f>IF(J73="","",(F73*J73)/1000000)</f>
        <v>6.5866426740000001</v>
      </c>
      <c r="O73" s="9">
        <f>(IF(N73="","",N73-M73))</f>
        <v>2.3250672547000306E-2</v>
      </c>
      <c r="P73" s="4">
        <f>IF(O73="","",O73/M73)</f>
        <v>3.5424781183042374E-3</v>
      </c>
      <c r="Q73" s="8">
        <v>859708.61600000004</v>
      </c>
      <c r="R73" s="8">
        <v>862574</v>
      </c>
      <c r="S73" s="7">
        <f>(IF(R73="","",R73-Q73))</f>
        <v>2865.3839999999618</v>
      </c>
      <c r="T73" s="4">
        <f>IF(S73="","",S73/Q73)</f>
        <v>3.3329711330937293E-3</v>
      </c>
      <c r="U73" s="55">
        <f>IF(Q73="","",(E73*Q73)/1000000)</f>
        <v>1391.1400761062482</v>
      </c>
      <c r="V73" s="6">
        <f>IF(R73="","",(F73*R73)/1000000)</f>
        <v>1398.6870304980002</v>
      </c>
      <c r="W73" s="5">
        <f>(IF(V73="","",V73-U73))</f>
        <v>7.5469543917520241</v>
      </c>
      <c r="X73" s="4">
        <f>IF(W73="","",W73/U73)</f>
        <v>5.4250140020950886E-3</v>
      </c>
      <c r="Y73" s="62"/>
      <c r="Z73" s="61"/>
      <c r="AA73" s="61"/>
      <c r="AB73" s="61"/>
      <c r="AC73" s="61"/>
      <c r="AD73" s="61"/>
      <c r="AE73" s="61"/>
      <c r="AF73" s="60"/>
    </row>
    <row r="74" spans="2:32" x14ac:dyDescent="0.35">
      <c r="B74" s="49">
        <v>46154</v>
      </c>
      <c r="C74" s="42" t="s">
        <v>72</v>
      </c>
      <c r="D74" s="30" t="s">
        <v>71</v>
      </c>
      <c r="E74" s="12">
        <v>1676.9929999999999</v>
      </c>
      <c r="F74" s="12">
        <v>1677.905</v>
      </c>
      <c r="G74" s="5">
        <f>(IF(F74="","",F74-E74))</f>
        <v>0.91200000000003456</v>
      </c>
      <c r="H74" s="11">
        <f>IF(G74="","",G74/E74)</f>
        <v>5.4383053477267626E-4</v>
      </c>
      <c r="I74" s="8">
        <v>3994.5610000000001</v>
      </c>
      <c r="J74" s="8">
        <v>4057</v>
      </c>
      <c r="K74" s="7">
        <f>(IF(J74="","",J74-I74))</f>
        <v>62.438999999999851</v>
      </c>
      <c r="L74" s="4">
        <f>IF(K74="","",K74/I74)</f>
        <v>1.5631004258039833E-2</v>
      </c>
      <c r="M74" s="56">
        <f>IF(I74="","",(E74*I74)/1000000)</f>
        <v>6.6988508350729994</v>
      </c>
      <c r="N74" s="10">
        <f>IF(J74="","",(F74*J74)/1000000)</f>
        <v>6.8072605849999999</v>
      </c>
      <c r="O74" s="9">
        <f>(IF(N74="","",N74-M74))</f>
        <v>0.10840974992700048</v>
      </c>
      <c r="P74" s="4">
        <f>IF(O74="","",O74/M74)</f>
        <v>1.618333541021728E-2</v>
      </c>
      <c r="Q74" s="8">
        <v>837912.52899999998</v>
      </c>
      <c r="R74" s="8">
        <v>842342</v>
      </c>
      <c r="S74" s="7">
        <f>(IF(R74="","",R74-Q74))</f>
        <v>4429.4710000000196</v>
      </c>
      <c r="T74" s="4">
        <f>IF(S74="","",S74/Q74)</f>
        <v>5.2863167057381711E-3</v>
      </c>
      <c r="U74" s="55">
        <f>IF(Q74="","",(E74*Q74)/1000000)</f>
        <v>1405.1734457452969</v>
      </c>
      <c r="V74" s="6">
        <f>IF(R74="","",(F74*R74)/1000000)</f>
        <v>1413.36985351</v>
      </c>
      <c r="W74" s="5">
        <f>(IF(V74="","",V74-U74))</f>
        <v>8.1964077647030535</v>
      </c>
      <c r="X74" s="4">
        <f>IF(W74="","",W74/U74)</f>
        <v>5.8330221009519007E-3</v>
      </c>
      <c r="Y74" s="62"/>
      <c r="Z74" s="61"/>
      <c r="AA74" s="61"/>
      <c r="AB74" s="61"/>
      <c r="AC74" s="61"/>
      <c r="AD74" s="61"/>
      <c r="AE74" s="61"/>
      <c r="AF74" s="60"/>
    </row>
    <row r="75" spans="2:32" x14ac:dyDescent="0.35">
      <c r="B75" s="49">
        <v>46163</v>
      </c>
      <c r="C75" s="42" t="s">
        <v>70</v>
      </c>
      <c r="D75" s="30" t="s">
        <v>69</v>
      </c>
      <c r="E75" s="12">
        <v>1651.1189999999999</v>
      </c>
      <c r="F75" s="12">
        <v>1656.452</v>
      </c>
      <c r="G75" s="5">
        <f>(IF(F75="","",F75-E75))</f>
        <v>5.3330000000000837</v>
      </c>
      <c r="H75" s="11">
        <f>IF(G75="","",G75/E75)</f>
        <v>3.2299307318249524E-3</v>
      </c>
      <c r="I75" s="8">
        <v>4163.8590000000004</v>
      </c>
      <c r="J75" s="8">
        <v>4181</v>
      </c>
      <c r="K75" s="7">
        <f>(IF(J75="","",J75-I75))</f>
        <v>17.140999999999622</v>
      </c>
      <c r="L75" s="4">
        <f>IF(K75="","",K75/I75)</f>
        <v>4.1166139391366563E-3</v>
      </c>
      <c r="M75" s="56">
        <f>IF(I75="","",(E75*I75)/1000000)</f>
        <v>6.875026708221001</v>
      </c>
      <c r="N75" s="10">
        <f>IF(J75="","",(F75*J75)/1000000)</f>
        <v>6.9256258119999998</v>
      </c>
      <c r="O75" s="9">
        <f>(IF(N75="","",N75-M75))</f>
        <v>5.0599103778998789E-2</v>
      </c>
      <c r="P75" s="4">
        <f>IF(O75="","",O75/M75)</f>
        <v>7.359841048834549E-3</v>
      </c>
      <c r="Q75" s="8">
        <v>851150.201</v>
      </c>
      <c r="R75" s="8">
        <v>847891</v>
      </c>
      <c r="S75" s="7">
        <f>(IF(R75="","",R75-Q75))</f>
        <v>-3259.2010000000009</v>
      </c>
      <c r="T75" s="4">
        <f>IF(S75="","",S75/Q75)</f>
        <v>-3.8291725669227692E-3</v>
      </c>
      <c r="U75" s="55">
        <f>IF(Q75="","",(E75*Q75)/1000000)</f>
        <v>1405.3502687249188</v>
      </c>
      <c r="V75" s="6">
        <f>IF(R75="","",(F75*R75)/1000000)</f>
        <v>1404.4907427320002</v>
      </c>
      <c r="W75" s="5">
        <f>(IF(V75="","",V75-U75))</f>
        <v>-0.85952599291863407</v>
      </c>
      <c r="X75" s="4">
        <f>IF(W75="","",W75/U75)</f>
        <v>-6.1160979724897066E-4</v>
      </c>
      <c r="Y75" s="62"/>
      <c r="Z75" s="61"/>
      <c r="AA75" s="61"/>
      <c r="AB75" s="61"/>
      <c r="AC75" s="61"/>
      <c r="AD75" s="61"/>
      <c r="AE75" s="61"/>
      <c r="AF75" s="60"/>
    </row>
    <row r="76" spans="2:32" x14ac:dyDescent="0.35">
      <c r="B76" s="49">
        <v>46163</v>
      </c>
      <c r="C76" s="42" t="s">
        <v>68</v>
      </c>
      <c r="D76" s="30" t="s">
        <v>67</v>
      </c>
      <c r="E76" s="12">
        <v>1691.11</v>
      </c>
      <c r="F76" s="12">
        <v>1691.8209999999999</v>
      </c>
      <c r="G76" s="5">
        <f>(IF(F76="","",F76-E76))</f>
        <v>0.71100000000001273</v>
      </c>
      <c r="H76" s="11">
        <f>IF(G76="","",G76/E76)</f>
        <v>4.20433916185235E-4</v>
      </c>
      <c r="I76" s="8">
        <v>4768.8609999999999</v>
      </c>
      <c r="J76" s="8">
        <v>4824</v>
      </c>
      <c r="K76" s="7">
        <f>(IF(J76="","",J76-I76))</f>
        <v>55.139000000000124</v>
      </c>
      <c r="L76" s="4">
        <f>IF(K76="","",K76/I76)</f>
        <v>1.1562299677008855E-2</v>
      </c>
      <c r="M76" s="56">
        <f>IF(I76="","",(E76*I76)/1000000)</f>
        <v>8.0646685257099993</v>
      </c>
      <c r="N76" s="10">
        <f>IF(J76="","",(F76*J76)/1000000)</f>
        <v>8.1613445040000006</v>
      </c>
      <c r="O76" s="9">
        <f>(IF(N76="","",N76-M76))</f>
        <v>9.6675978290001297E-2</v>
      </c>
      <c r="P76" s="4">
        <f>IF(O76="","",O76/M76)</f>
        <v>1.1987594776127529E-2</v>
      </c>
      <c r="Q76" s="8">
        <v>802718.88300000003</v>
      </c>
      <c r="R76" s="8">
        <v>802627</v>
      </c>
      <c r="S76" s="7">
        <f>(IF(R76="","",R76-Q76))</f>
        <v>-91.883000000030734</v>
      </c>
      <c r="T76" s="4">
        <f>IF(S76="","",S76/Q76)</f>
        <v>-1.1446472974030029E-4</v>
      </c>
      <c r="U76" s="55">
        <f>IF(Q76="","",(E76*Q76)/1000000)</f>
        <v>1357.48593023013</v>
      </c>
      <c r="V76" s="6">
        <f>IF(R76="","",(F76*R76)/1000000)</f>
        <v>1357.9012137669999</v>
      </c>
      <c r="W76" s="5">
        <f>(IF(V76="","",V76-U76))</f>
        <v>0.41528353686999253</v>
      </c>
      <c r="X76" s="4">
        <f>IF(W76="","",W76/U76)</f>
        <v>3.0592106159037019E-4</v>
      </c>
      <c r="Y76" s="62"/>
      <c r="Z76" s="61"/>
      <c r="AA76" s="61"/>
      <c r="AB76" s="61"/>
      <c r="AC76" s="61"/>
      <c r="AD76" s="61"/>
      <c r="AE76" s="61"/>
      <c r="AF76" s="60"/>
    </row>
    <row r="77" spans="2:32" x14ac:dyDescent="0.35">
      <c r="B77" s="49">
        <v>46163</v>
      </c>
      <c r="C77" s="42" t="s">
        <v>66</v>
      </c>
      <c r="D77" s="30" t="s">
        <v>65</v>
      </c>
      <c r="E77" s="12">
        <v>1663.9069999999999</v>
      </c>
      <c r="F77" s="12">
        <v>1662.395</v>
      </c>
      <c r="G77" s="5">
        <f>(IF(F77="","",F77-E77))</f>
        <v>-1.5119999999999436</v>
      </c>
      <c r="H77" s="11">
        <f>IF(G77="","",G77/E77)</f>
        <v>-9.0870463313150532E-4</v>
      </c>
      <c r="I77" s="8">
        <v>4758.5020000000004</v>
      </c>
      <c r="J77" s="8">
        <v>4814</v>
      </c>
      <c r="K77" s="7">
        <f>(IF(J77="","",J77-I77))</f>
        <v>55.497999999999593</v>
      </c>
      <c r="L77" s="4">
        <f>IF(K77="","",K77/I77)</f>
        <v>1.1662914085146877E-2</v>
      </c>
      <c r="M77" s="56">
        <f>IF(I77="","",(E77*I77)/1000000)</f>
        <v>7.9177047873140003</v>
      </c>
      <c r="N77" s="10">
        <f>IF(J77="","",(F77*J77)/1000000)</f>
        <v>8.0027695300000001</v>
      </c>
      <c r="O77" s="9">
        <f>(IF(N77="","",N77-M77))</f>
        <v>8.5064742685999839E-2</v>
      </c>
      <c r="P77" s="4">
        <f>IF(O77="","",O77/M77)</f>
        <v>1.0743611307950417E-2</v>
      </c>
      <c r="Q77" s="8">
        <v>803970.14500000002</v>
      </c>
      <c r="R77" s="8">
        <v>805828</v>
      </c>
      <c r="S77" s="7">
        <f>(IF(R77="","",R77-Q77))</f>
        <v>1857.8549999999814</v>
      </c>
      <c r="T77" s="4">
        <f>IF(S77="","",S77/Q77)</f>
        <v>2.3108507343888762E-3</v>
      </c>
      <c r="U77" s="55">
        <f>IF(Q77="","",(E77*Q77)/1000000)</f>
        <v>1337.7315520565151</v>
      </c>
      <c r="V77" s="6">
        <f>IF(R77="","",(F77*R77)/1000000)</f>
        <v>1339.6044380599999</v>
      </c>
      <c r="W77" s="5">
        <f>(IF(V77="","",V77-U77))</f>
        <v>1.8728860034848367</v>
      </c>
      <c r="X77" s="4">
        <f>IF(W77="","",W77/U77)</f>
        <v>1.4000462204884236E-3</v>
      </c>
      <c r="Y77" s="62"/>
      <c r="Z77" s="61"/>
      <c r="AA77" s="61"/>
      <c r="AB77" s="61"/>
      <c r="AC77" s="61"/>
      <c r="AD77" s="61"/>
      <c r="AE77" s="61"/>
      <c r="AF77" s="60"/>
    </row>
    <row r="78" spans="2:32" x14ac:dyDescent="0.35">
      <c r="B78" s="49">
        <v>46163</v>
      </c>
      <c r="C78" s="42" t="s">
        <v>64</v>
      </c>
      <c r="D78" s="30" t="s">
        <v>63</v>
      </c>
      <c r="E78" s="12">
        <v>1757.9570000000001</v>
      </c>
      <c r="F78" s="12">
        <v>1762.1669999999999</v>
      </c>
      <c r="G78" s="5">
        <f>(IF(F78="","",F78-E78))</f>
        <v>4.209999999999809</v>
      </c>
      <c r="H78" s="11">
        <f>IF(G78="","",G78/E78)</f>
        <v>2.3948253569341053E-3</v>
      </c>
      <c r="I78" s="8">
        <v>5007.2950000000001</v>
      </c>
      <c r="J78" s="8">
        <v>5012</v>
      </c>
      <c r="K78" s="7">
        <f>(IF(J78="","",J78-I78))</f>
        <v>4.7049999999999272</v>
      </c>
      <c r="L78" s="4">
        <f>IF(K78="","",K78/I78)</f>
        <v>9.3962908117055757E-4</v>
      </c>
      <c r="M78" s="56">
        <f>IF(I78="","",(E78*I78)/1000000)</f>
        <v>8.8026092963150013</v>
      </c>
      <c r="N78" s="10">
        <f>IF(J78="","",(F78*J78)/1000000)</f>
        <v>8.8319810039999993</v>
      </c>
      <c r="O78" s="9">
        <f>(IF(N78="","",N78-M78))</f>
        <v>2.9371707684997972E-2</v>
      </c>
      <c r="P78" s="4">
        <f>IF(O78="","",O78/M78)</f>
        <v>3.3367046856542554E-3</v>
      </c>
      <c r="Q78" s="8">
        <v>802770.10600000003</v>
      </c>
      <c r="R78" s="8">
        <v>802028</v>
      </c>
      <c r="S78" s="7">
        <f>(IF(R78="","",R78-Q78))</f>
        <v>-742.10600000002887</v>
      </c>
      <c r="T78" s="4">
        <f>IF(S78="","",S78/Q78)</f>
        <v>-9.2443153332870723E-4</v>
      </c>
      <c r="U78" s="55">
        <f>IF(Q78="","",(E78*Q78)/1000000)</f>
        <v>1411.2353272334421</v>
      </c>
      <c r="V78" s="6">
        <f>IF(R78="","",(F78*R78)/1000000)</f>
        <v>1413.3072746759999</v>
      </c>
      <c r="W78" s="5">
        <f>(IF(V78="","",V78-U78))</f>
        <v>2.0719474425577573</v>
      </c>
      <c r="X78" s="4">
        <f>IF(W78="","",W78/U78)</f>
        <v>1.4681799715286054E-3</v>
      </c>
      <c r="Y78" s="62"/>
      <c r="Z78" s="61"/>
      <c r="AA78" s="61"/>
      <c r="AB78" s="61"/>
      <c r="AC78" s="61"/>
      <c r="AD78" s="61"/>
      <c r="AE78" s="61"/>
      <c r="AF78" s="60"/>
    </row>
    <row r="79" spans="2:32" x14ac:dyDescent="0.35">
      <c r="B79" s="49">
        <v>46169</v>
      </c>
      <c r="C79" s="42" t="s">
        <v>62</v>
      </c>
      <c r="D79" s="30" t="s">
        <v>61</v>
      </c>
      <c r="E79" s="12">
        <v>1761.202</v>
      </c>
      <c r="F79" s="12">
        <v>1759.2270000000001</v>
      </c>
      <c r="G79" s="5">
        <f>(IF(F79="","",F79-E79))</f>
        <v>-1.9749999999999091</v>
      </c>
      <c r="H79" s="11">
        <f>IF(G79="","",G79/E79)</f>
        <v>-1.1213932303051604E-3</v>
      </c>
      <c r="I79" s="8">
        <v>4753.3760000000002</v>
      </c>
      <c r="J79" s="8">
        <v>4762</v>
      </c>
      <c r="K79" s="7">
        <f>(IF(J79="","",J79-I79))</f>
        <v>8.6239999999997963</v>
      </c>
      <c r="L79" s="4">
        <f>IF(K79="","",K79/I79)</f>
        <v>1.8142894650033567E-3</v>
      </c>
      <c r="M79" s="56">
        <f>IF(I79="","",(E79*I79)/1000000)</f>
        <v>8.3716553179520012</v>
      </c>
      <c r="N79" s="10">
        <f>IF(J79="","",(F79*J79)/1000000)</f>
        <v>8.3774389740000004</v>
      </c>
      <c r="O79" s="9">
        <f>(IF(N79="","",N79-M79))</f>
        <v>5.7836560479991306E-3</v>
      </c>
      <c r="P79" s="4">
        <f>IF(O79="","",O79/M79)</f>
        <v>6.9086170277421488E-4</v>
      </c>
      <c r="Q79" s="8">
        <v>820992.90899999999</v>
      </c>
      <c r="R79" s="8">
        <v>823173</v>
      </c>
      <c r="S79" s="7">
        <f>(IF(R79="","",R79-Q79))</f>
        <v>2180.0910000000149</v>
      </c>
      <c r="T79" s="4">
        <f>IF(S79="","",S79/Q79)</f>
        <v>2.6554321920459058E-3</v>
      </c>
      <c r="U79" s="55">
        <f>IF(Q79="","",(E79*Q79)/1000000)</f>
        <v>1445.9343533166179</v>
      </c>
      <c r="V79" s="6">
        <f>IF(R79="","",(F79*R79)/1000000)</f>
        <v>1448.1481672710001</v>
      </c>
      <c r="W79" s="5">
        <f>(IF(V79="","",V79-U79))</f>
        <v>2.2138139543822035</v>
      </c>
      <c r="X79" s="4">
        <f>IF(W79="","",W79/U79)</f>
        <v>1.5310611780571218E-3</v>
      </c>
      <c r="Y79" s="62"/>
      <c r="Z79" s="61"/>
      <c r="AA79" s="61"/>
      <c r="AB79" s="61"/>
      <c r="AC79" s="61"/>
      <c r="AD79" s="61"/>
      <c r="AE79" s="61"/>
      <c r="AF79" s="60"/>
    </row>
    <row r="80" spans="2:32" x14ac:dyDescent="0.35">
      <c r="B80" s="49">
        <v>46169</v>
      </c>
      <c r="C80" s="42" t="s">
        <v>60</v>
      </c>
      <c r="D80" s="30" t="s">
        <v>59</v>
      </c>
      <c r="E80" s="12">
        <v>1711.42</v>
      </c>
      <c r="F80" s="12">
        <v>1711.6759999999999</v>
      </c>
      <c r="G80" s="5">
        <f>(IF(F80="","",F80-E80))</f>
        <v>0.25599999999985812</v>
      </c>
      <c r="H80" s="11">
        <f>IF(G80="","",G80/E80)</f>
        <v>1.4958338689501004E-4</v>
      </c>
      <c r="I80" s="8">
        <v>4938.357</v>
      </c>
      <c r="J80" s="8">
        <v>4997</v>
      </c>
      <c r="K80" s="7">
        <f>(IF(J80="","",J80-I80))</f>
        <v>58.643000000000029</v>
      </c>
      <c r="L80" s="4">
        <f>IF(K80="","",K80/I80)</f>
        <v>1.18750021515253E-2</v>
      </c>
      <c r="M80" s="56">
        <f>IF(I80="","",(E80*I80)/1000000)</f>
        <v>8.4516029369399988</v>
      </c>
      <c r="N80" s="10">
        <f>IF(J80="","",(F80*J80)/1000000)</f>
        <v>8.5532449719999999</v>
      </c>
      <c r="O80" s="9">
        <f>(IF(N80="","",N80-M80))</f>
        <v>0.10164203506000113</v>
      </c>
      <c r="P80" s="4">
        <f>IF(O80="","",O80/M80)</f>
        <v>1.2026361841461735E-2</v>
      </c>
      <c r="Q80" s="8">
        <v>846569.71299999999</v>
      </c>
      <c r="R80" s="8">
        <v>845549</v>
      </c>
      <c r="S80" s="7">
        <f>(IF(R80="","",R80-Q80))</f>
        <v>-1020.7129999999888</v>
      </c>
      <c r="T80" s="4">
        <f>IF(S80="","",S80/Q80)</f>
        <v>-1.2057046033254308E-3</v>
      </c>
      <c r="U80" s="55">
        <f>IF(Q80="","",(E80*Q80)/1000000)</f>
        <v>1448.83633822246</v>
      </c>
      <c r="V80" s="6">
        <f>IF(R80="","",(F80*R80)/1000000)</f>
        <v>1447.3059301239998</v>
      </c>
      <c r="W80" s="5">
        <f>(IF(V80="","",V80-U80))</f>
        <v>-1.5304080984601569</v>
      </c>
      <c r="X80" s="4">
        <f>IF(W80="","",W80/U80)</f>
        <v>-1.0563015698086197E-3</v>
      </c>
      <c r="Y80" s="62"/>
      <c r="Z80" s="61"/>
      <c r="AA80" s="61"/>
      <c r="AB80" s="61"/>
      <c r="AC80" s="61"/>
      <c r="AD80" s="61"/>
      <c r="AE80" s="61"/>
      <c r="AF80" s="60"/>
    </row>
    <row r="81" spans="2:32" x14ac:dyDescent="0.35">
      <c r="B81" s="49">
        <v>46172</v>
      </c>
      <c r="C81" s="42" t="s">
        <v>58</v>
      </c>
      <c r="D81" s="30" t="s">
        <v>57</v>
      </c>
      <c r="E81" s="12">
        <v>1768.5340000000001</v>
      </c>
      <c r="F81" s="12">
        <v>1769.57</v>
      </c>
      <c r="G81" s="5">
        <f>(IF(F81="","",F81-E81))</f>
        <v>1.0359999999998308</v>
      </c>
      <c r="H81" s="11">
        <f>IF(G81="","",G81/E81)</f>
        <v>5.8579591910578525E-4</v>
      </c>
      <c r="I81" s="8">
        <v>5256.1469999999999</v>
      </c>
      <c r="J81" s="8">
        <v>5319</v>
      </c>
      <c r="K81" s="7">
        <f>(IF(J81="","",J81-I81))</f>
        <v>62.853000000000065</v>
      </c>
      <c r="L81" s="4">
        <f>IF(K81="","",K81/I81)</f>
        <v>1.1957998891583525E-2</v>
      </c>
      <c r="M81" s="56">
        <f>IF(I81="","",(E81*I81)/1000000)</f>
        <v>9.2956746784979991</v>
      </c>
      <c r="N81" s="10">
        <f>IF(J81="","",(F81*J81)/1000000)</f>
        <v>9.41234283</v>
      </c>
      <c r="O81" s="9">
        <f>(IF(N81="","",N81-M81))</f>
        <v>0.11666815150200094</v>
      </c>
      <c r="P81" s="4">
        <f>IF(O81="","",O81/M81)</f>
        <v>1.2550799757640858E-2</v>
      </c>
      <c r="Q81" s="8">
        <v>867068.13500000001</v>
      </c>
      <c r="R81" s="8">
        <v>867594</v>
      </c>
      <c r="S81" s="7">
        <f>(IF(R81="","",R81-Q81))</f>
        <v>525.86499999999069</v>
      </c>
      <c r="T81" s="4">
        <f>IF(S81="","",S81/Q81)</f>
        <v>6.0648636338133993E-4</v>
      </c>
      <c r="U81" s="55">
        <f>IF(Q81="","",(E81*Q81)/1000000)</f>
        <v>1533.4394770640899</v>
      </c>
      <c r="V81" s="6">
        <f>IF(R81="","",(F81*R81)/1000000)</f>
        <v>1535.2683145799999</v>
      </c>
      <c r="W81" s="5">
        <f>(IF(V81="","",V81-U81))</f>
        <v>1.8288375159099814</v>
      </c>
      <c r="X81" s="4">
        <f>IF(W81="","",W81/U81)</f>
        <v>1.1926375597238817E-3</v>
      </c>
      <c r="Y81" s="62"/>
      <c r="Z81" s="61"/>
      <c r="AA81" s="61"/>
      <c r="AB81" s="61"/>
      <c r="AC81" s="61"/>
      <c r="AD81" s="61"/>
      <c r="AE81" s="61"/>
      <c r="AF81" s="60"/>
    </row>
    <row r="82" spans="2:32" x14ac:dyDescent="0.35">
      <c r="B82" s="49">
        <v>46172</v>
      </c>
      <c r="C82" s="42" t="s">
        <v>56</v>
      </c>
      <c r="D82" s="30" t="s">
        <v>55</v>
      </c>
      <c r="E82" s="12">
        <v>1719.489</v>
      </c>
      <c r="F82" s="12">
        <v>1720.8109999999999</v>
      </c>
      <c r="G82" s="5">
        <f>(IF(F82="","",F82-E82))</f>
        <v>1.321999999999889</v>
      </c>
      <c r="H82" s="11">
        <f>IF(G82="","",G82/E82)</f>
        <v>7.6883306610271371E-4</v>
      </c>
      <c r="I82" s="8">
        <v>5005.9120000000003</v>
      </c>
      <c r="J82" s="8">
        <v>5031</v>
      </c>
      <c r="K82" s="7">
        <f>(IF(J82="","",J82-I82))</f>
        <v>25.087999999999738</v>
      </c>
      <c r="L82" s="4">
        <f>IF(K82="","",K82/I82)</f>
        <v>5.0116741964300882E-3</v>
      </c>
      <c r="M82" s="56">
        <f>IF(I82="","",(E82*I82)/1000000)</f>
        <v>8.6076106189680015</v>
      </c>
      <c r="N82" s="10">
        <f>IF(J82="","",(F82*J82)/1000000)</f>
        <v>8.6574001409999983</v>
      </c>
      <c r="O82" s="9">
        <f>(IF(N82="","",N82-M82))</f>
        <v>4.9789522031996825E-2</v>
      </c>
      <c r="P82" s="4">
        <f>IF(O82="","",O82/M82)</f>
        <v>5.7843604033712987E-3</v>
      </c>
      <c r="Q82" s="8">
        <v>858943.82499999995</v>
      </c>
      <c r="R82" s="8">
        <v>857959</v>
      </c>
      <c r="S82" s="7">
        <f>(IF(R82="","",R82-Q82))</f>
        <v>-984.82499999995343</v>
      </c>
      <c r="T82" s="4">
        <f>IF(S82="","",S82/Q82)</f>
        <v>-1.1465534431194654E-3</v>
      </c>
      <c r="U82" s="55">
        <f>IF(Q82="","",(E82*Q82)/1000000)</f>
        <v>1476.9444587054249</v>
      </c>
      <c r="V82" s="6">
        <f>IF(R82="","",(F82*R82)/1000000)</f>
        <v>1476.3852847489998</v>
      </c>
      <c r="W82" s="5">
        <f>(IF(V82="","",V82-U82))</f>
        <v>-0.55917395642518386</v>
      </c>
      <c r="X82" s="4">
        <f>IF(W82="","",W82/U82)</f>
        <v>-3.7860188521599003E-4</v>
      </c>
      <c r="Y82" s="59"/>
      <c r="Z82" s="58"/>
      <c r="AA82" s="58"/>
      <c r="AB82" s="58"/>
      <c r="AC82" s="58"/>
      <c r="AD82" s="58"/>
      <c r="AE82" s="58"/>
      <c r="AF82" s="57"/>
    </row>
    <row r="83" spans="2:32" x14ac:dyDescent="0.35">
      <c r="B83" s="49">
        <v>46172</v>
      </c>
      <c r="C83" s="27" t="s">
        <v>54</v>
      </c>
      <c r="D83" s="30" t="s">
        <v>53</v>
      </c>
      <c r="E83" s="12">
        <v>1361.7</v>
      </c>
      <c r="F83" s="12">
        <v>1360.288</v>
      </c>
      <c r="G83" s="5">
        <f>(IF(F83="","",F83-E83))</f>
        <v>-1.4120000000000346</v>
      </c>
      <c r="H83" s="11">
        <f>IF(G83="","",G83/E83)</f>
        <v>-1.0369391202174007E-3</v>
      </c>
      <c r="I83" s="8">
        <v>4741.1750000000002</v>
      </c>
      <c r="J83" s="8">
        <v>4750</v>
      </c>
      <c r="K83" s="7">
        <f>(IF(J83="","",J83-I83))</f>
        <v>8.8249999999998181</v>
      </c>
      <c r="L83" s="4">
        <f>IF(K83="","",K83/I83)</f>
        <v>1.8613529346627824E-3</v>
      </c>
      <c r="M83" s="56">
        <f>IF(I83="","",(E83*I83)/1000000)</f>
        <v>6.4560579975000003</v>
      </c>
      <c r="N83" s="10">
        <f>IF(J83="","",(F83*J83)/1000000)</f>
        <v>6.4613680000000002</v>
      </c>
      <c r="O83" s="9">
        <f>(IF(N83="","",N83-M83))</f>
        <v>5.3100024999999107E-3</v>
      </c>
      <c r="P83" s="4">
        <f>IF(O83="","",O83/M83)</f>
        <v>8.2248370477094846E-4</v>
      </c>
      <c r="Q83" s="8">
        <v>864079.81900000002</v>
      </c>
      <c r="R83" s="8">
        <v>862122</v>
      </c>
      <c r="S83" s="7">
        <f>(IF(R83="","",R83-Q83))</f>
        <v>-1957.8190000000177</v>
      </c>
      <c r="T83" s="4">
        <f>IF(S83="","",S83/Q83)</f>
        <v>-2.2657848927264642E-3</v>
      </c>
      <c r="U83" s="55">
        <f>IF(Q83="","",(E83*Q83)/1000000)</f>
        <v>1176.6174895322999</v>
      </c>
      <c r="V83" s="6">
        <f>IF(R83="","",(F83*R83)/1000000)</f>
        <v>1172.7342111359999</v>
      </c>
      <c r="W83" s="5">
        <f>(IF(V83="","",V83-U83))</f>
        <v>-3.8832783963000566</v>
      </c>
      <c r="X83" s="4">
        <f>IF(W83="","",W83/U83)</f>
        <v>-3.3003745319506016E-3</v>
      </c>
      <c r="Y83" s="17"/>
      <c r="Z83" s="16"/>
      <c r="AA83" s="16"/>
      <c r="AB83" s="16"/>
      <c r="AC83" s="16"/>
      <c r="AD83" s="16"/>
      <c r="AE83" s="16"/>
      <c r="AF83" s="15"/>
    </row>
    <row r="84" spans="2:32" x14ac:dyDescent="0.35">
      <c r="B84" s="49">
        <v>46172</v>
      </c>
      <c r="C84" s="42" t="s">
        <v>52</v>
      </c>
      <c r="D84" s="30" t="s">
        <v>51</v>
      </c>
      <c r="E84" s="12">
        <v>1089.0530000000001</v>
      </c>
      <c r="F84" s="12">
        <v>1089.5740000000001</v>
      </c>
      <c r="G84" s="5">
        <f>(IF(F84="","",F84-E84))</f>
        <v>0.52099999999995816</v>
      </c>
      <c r="H84" s="11">
        <f>IF(G84="","",G84/E84)</f>
        <v>4.7839728644974867E-4</v>
      </c>
      <c r="I84" s="8">
        <v>4710.9369999999999</v>
      </c>
      <c r="J84" s="8">
        <v>4746</v>
      </c>
      <c r="K84" s="7">
        <f>(IF(J84="","",J84-I84))</f>
        <v>35.063000000000102</v>
      </c>
      <c r="L84" s="4">
        <f>IF(K84="","",K84/I84)</f>
        <v>7.4428929955972882E-3</v>
      </c>
      <c r="M84" s="56">
        <f>IF(I84="","",(E84*I84)/1000000)</f>
        <v>5.1304600726610001</v>
      </c>
      <c r="N84" s="10">
        <f>IF(J84="","",(F84*J84)/1000000)</f>
        <v>5.1711182039999999</v>
      </c>
      <c r="O84" s="9">
        <f>(IF(N84="","",N84-M84))</f>
        <v>4.0658131338999759E-2</v>
      </c>
      <c r="P84" s="4">
        <f>IF(O84="","",O84/M84)</f>
        <v>7.9248509418594366E-3</v>
      </c>
      <c r="Q84" s="8">
        <v>860486.821</v>
      </c>
      <c r="R84" s="8">
        <v>863318</v>
      </c>
      <c r="S84" s="7">
        <f>(IF(R84="","",R84-Q84))</f>
        <v>2831.1790000000037</v>
      </c>
      <c r="T84" s="4">
        <f>IF(S84="","",S84/Q84)</f>
        <v>3.2902061146152101E-3</v>
      </c>
      <c r="U84" s="55">
        <f>IF(Q84="","",(E84*Q84)/1000000)</f>
        <v>937.11575387051312</v>
      </c>
      <c r="V84" s="6">
        <f>IF(R84="","",(F84*R84)/1000000)</f>
        <v>940.64884653200011</v>
      </c>
      <c r="W84" s="5">
        <f>(IF(V84="","",V84-U84))</f>
        <v>3.5330926614869895</v>
      </c>
      <c r="X84" s="4">
        <f>IF(W84="","",W84/U84)</f>
        <v>3.7701774267420735E-3</v>
      </c>
      <c r="Y84" s="46" t="s">
        <v>31</v>
      </c>
      <c r="Z84" s="45"/>
      <c r="AA84" s="45"/>
      <c r="AB84" s="45"/>
      <c r="AC84" s="45"/>
      <c r="AD84" s="45"/>
      <c r="AE84" s="45"/>
      <c r="AF84" s="54"/>
    </row>
    <row r="85" spans="2:32" x14ac:dyDescent="0.35">
      <c r="B85" s="49">
        <v>46183</v>
      </c>
      <c r="C85" s="42">
        <v>73</v>
      </c>
      <c r="D85" s="30" t="s">
        <v>50</v>
      </c>
      <c r="E85" s="12">
        <v>1678.943</v>
      </c>
      <c r="F85" s="12">
        <v>1677.364</v>
      </c>
      <c r="G85" s="5">
        <f>(IF(F85="","",F85-E85))</f>
        <v>-1.5789999999999509</v>
      </c>
      <c r="H85" s="11">
        <f>IF(G85="","",G85/E85)</f>
        <v>-9.4047266643355431E-4</v>
      </c>
      <c r="I85" s="8">
        <v>4382.9179999999997</v>
      </c>
      <c r="J85" s="8">
        <v>4422</v>
      </c>
      <c r="K85" s="7">
        <f>(IF(J85="","",J85-I85))</f>
        <v>39.082000000000335</v>
      </c>
      <c r="L85" s="4">
        <f>IF(K85="","",K85/I85)</f>
        <v>8.9168905281824425E-3</v>
      </c>
      <c r="M85" s="10">
        <f>IF(I85="","",(E85*I85)/1000000)</f>
        <v>7.3586694956739995</v>
      </c>
      <c r="N85" s="10">
        <f>IF(J85="","",(F85*J85)/1000000)</f>
        <v>7.4173036080000001</v>
      </c>
      <c r="O85" s="9">
        <f>(IF(N85="","",N85-M85))</f>
        <v>5.8634112326000576E-2</v>
      </c>
      <c r="P85" s="4">
        <f>IF(O85="","",O85/M85)</f>
        <v>7.9680317699375256E-3</v>
      </c>
      <c r="Q85" s="8">
        <v>855239.78500000003</v>
      </c>
      <c r="R85" s="8">
        <v>858348</v>
      </c>
      <c r="S85" s="7">
        <f>(IF(R85="","",R85-Q85))</f>
        <v>3108.2149999999674</v>
      </c>
      <c r="T85" s="4">
        <f>IF(S85="","",S85/Q85)</f>
        <v>3.6343199351980184E-3</v>
      </c>
      <c r="U85" s="6">
        <f>IF(Q85="","",(E85*Q85)/1000000)</f>
        <v>1435.8988503472549</v>
      </c>
      <c r="V85" s="6">
        <f>IF(R85="","",(F85*R85)/1000000)</f>
        <v>1439.762034672</v>
      </c>
      <c r="W85" s="5">
        <f>(IF(V85="","",V85-U85))</f>
        <v>3.8631843247451343</v>
      </c>
      <c r="X85" s="4">
        <f>IF(W85="","",W85/U85)</f>
        <v>2.6904292902044384E-3</v>
      </c>
      <c r="Y85" s="41"/>
      <c r="Z85" s="40"/>
      <c r="AA85" s="40"/>
      <c r="AB85" s="40"/>
      <c r="AC85" s="40"/>
      <c r="AD85" s="40"/>
      <c r="AE85" s="40"/>
      <c r="AF85" s="53"/>
    </row>
    <row r="86" spans="2:32" x14ac:dyDescent="0.35">
      <c r="B86" s="49">
        <v>46183</v>
      </c>
      <c r="C86" s="52">
        <v>74</v>
      </c>
      <c r="D86" s="30" t="s">
        <v>49</v>
      </c>
      <c r="E86" s="12">
        <v>1699.114</v>
      </c>
      <c r="F86" s="12">
        <v>1698.557</v>
      </c>
      <c r="G86" s="5">
        <f>(IF(F86="","",F86-E86))</f>
        <v>-0.55700000000001637</v>
      </c>
      <c r="H86" s="11">
        <f>IF(G86="","",G86/E86)</f>
        <v>-3.2781790980476668E-4</v>
      </c>
      <c r="I86" s="51">
        <v>4353.2370000000001</v>
      </c>
      <c r="J86" s="51">
        <v>4222</v>
      </c>
      <c r="K86" s="50">
        <f>(IF(J86="","",J86-I86))</f>
        <v>-131.23700000000008</v>
      </c>
      <c r="L86" s="4">
        <f>IF(K86="","",K86/I86)</f>
        <v>-3.0146991767275727E-2</v>
      </c>
      <c r="M86" s="10">
        <f>IF(I86="","",(E86*I86)/1000000)</f>
        <v>7.3966459320180009</v>
      </c>
      <c r="N86" s="10">
        <f>IF(J86="","",(F86*J86)/1000000)</f>
        <v>7.1713076540000005</v>
      </c>
      <c r="O86" s="9">
        <f>(IF(N86="","",N86-M86))</f>
        <v>-0.22533827801800044</v>
      </c>
      <c r="P86" s="4">
        <f>IF(O86="","",O86/M86)</f>
        <v>-3.046492695325247E-2</v>
      </c>
      <c r="Q86" s="51">
        <v>837007.01</v>
      </c>
      <c r="R86" s="51">
        <v>818454</v>
      </c>
      <c r="S86" s="50">
        <f>(IF(R86="","",R86-Q86))</f>
        <v>-18553.010000000009</v>
      </c>
      <c r="T86" s="4">
        <f>IF(S86="","",S86/Q86)</f>
        <v>-2.2165895599846899E-2</v>
      </c>
      <c r="U86" s="6">
        <f>IF(Q86="","",(E86*Q86)/1000000)</f>
        <v>1422.1703287891401</v>
      </c>
      <c r="V86" s="6">
        <f>IF(R86="","",(F86*R86)/1000000)</f>
        <v>1390.190770878</v>
      </c>
      <c r="W86" s="5">
        <f>(IF(V86="","",V86-U86))</f>
        <v>-31.979557911140091</v>
      </c>
      <c r="X86" s="4">
        <f>IF(W86="","",W86/U86)</f>
        <v>-2.2486447132087216E-2</v>
      </c>
    </row>
    <row r="87" spans="2:32" x14ac:dyDescent="0.35">
      <c r="B87" s="49">
        <v>46183</v>
      </c>
      <c r="C87" s="42">
        <v>75</v>
      </c>
      <c r="D87" s="30" t="s">
        <v>48</v>
      </c>
      <c r="E87" s="12">
        <v>1677.8019999999999</v>
      </c>
      <c r="F87" s="12">
        <v>1678.2270000000001</v>
      </c>
      <c r="G87" s="5">
        <f>(IF(F87="","",F87-E87))</f>
        <v>0.4250000000001819</v>
      </c>
      <c r="H87" s="11">
        <f>IF(G87="","",G87/E87)</f>
        <v>2.533076012546069E-4</v>
      </c>
      <c r="I87" s="8">
        <v>4070.0079999999998</v>
      </c>
      <c r="J87" s="8">
        <v>4110</v>
      </c>
      <c r="K87" s="7">
        <f>(IF(J87="","",J87-I87))</f>
        <v>39.992000000000189</v>
      </c>
      <c r="L87" s="4">
        <f>IF(K87="","",K87/I87)</f>
        <v>9.8260249119903921E-3</v>
      </c>
      <c r="M87" s="10">
        <f>IF(I87="","",(E87*I87)/1000000)</f>
        <v>6.8286675624159994</v>
      </c>
      <c r="N87" s="10">
        <f>IF(J87="","",(F87*J87)/1000000)</f>
        <v>6.8975129700000011</v>
      </c>
      <c r="O87" s="9">
        <f>(IF(N87="","",N87-M87))</f>
        <v>6.8845407584001705E-2</v>
      </c>
      <c r="P87" s="4">
        <f>IF(O87="","",O87/M87)</f>
        <v>1.0081821520045418E-2</v>
      </c>
      <c r="Q87" s="8">
        <v>804023.03599999996</v>
      </c>
      <c r="R87" s="8">
        <v>807113</v>
      </c>
      <c r="S87" s="7">
        <f>(IF(R87="","",R87-Q87))</f>
        <v>3089.9640000000363</v>
      </c>
      <c r="T87" s="4">
        <f>IF(S87="","",S87/Q87)</f>
        <v>3.8431286936411067E-3</v>
      </c>
      <c r="U87" s="6">
        <f>IF(Q87="","",(E87*Q87)/1000000)</f>
        <v>1348.9914578468718</v>
      </c>
      <c r="V87" s="6">
        <f>IF(R87="","",(F87*R87)/1000000)</f>
        <v>1354.5188286509999</v>
      </c>
      <c r="W87" s="5">
        <f>(IF(V87="","",V87-U87))</f>
        <v>5.5273708041281679</v>
      </c>
      <c r="X87" s="4">
        <f>IF(W87="","",W87/U87)</f>
        <v>4.097409788606384E-3</v>
      </c>
      <c r="Y87" s="17"/>
      <c r="Z87" s="16"/>
      <c r="AA87" s="16"/>
      <c r="AB87" s="16"/>
      <c r="AC87" s="16"/>
      <c r="AD87" s="16"/>
      <c r="AE87" s="16"/>
      <c r="AF87" s="15"/>
    </row>
    <row r="88" spans="2:32" x14ac:dyDescent="0.35">
      <c r="B88" s="49">
        <v>46183</v>
      </c>
      <c r="C88" s="42">
        <v>76</v>
      </c>
      <c r="D88" s="30" t="s">
        <v>47</v>
      </c>
      <c r="E88" s="12">
        <v>1741.896</v>
      </c>
      <c r="F88" s="12">
        <v>1740.1320000000001</v>
      </c>
      <c r="G88" s="5">
        <f>(IF(F88="","",F88-E88))</f>
        <v>-1.7639999999998963</v>
      </c>
      <c r="H88" s="11">
        <f>IF(G88="","",G88/E88)</f>
        <v>-1.0126896209646824E-3</v>
      </c>
      <c r="I88" s="8">
        <v>4101.9989999999998</v>
      </c>
      <c r="J88" s="8">
        <v>4076</v>
      </c>
      <c r="K88" s="7">
        <f>(IF(J88="","",J88-I88))</f>
        <v>-25.998999999999796</v>
      </c>
      <c r="L88" s="4">
        <f>IF(K88="","",K88/I88)</f>
        <v>-6.3381292876960229E-3</v>
      </c>
      <c r="M88" s="10">
        <f>IF(I88="","",(E88*I88)/1000000)</f>
        <v>7.1452556501039997</v>
      </c>
      <c r="N88" s="10">
        <f>IF(J88="","",(F88*J88)/1000000)</f>
        <v>7.0927780320000009</v>
      </c>
      <c r="O88" s="9">
        <f>(IF(N88="","",N88-M88))</f>
        <v>-5.2477618103998758E-2</v>
      </c>
      <c r="P88" s="4">
        <f>IF(O88="","",O88/M88)</f>
        <v>-7.3444003509146576E-3</v>
      </c>
      <c r="Q88" s="8">
        <v>827244.17799999996</v>
      </c>
      <c r="R88" s="8">
        <v>822407</v>
      </c>
      <c r="S88" s="7">
        <f>(IF(R88="","",R88-Q88))</f>
        <v>-4837.1779999999562</v>
      </c>
      <c r="T88" s="4">
        <f>IF(S88="","",S88/Q88)</f>
        <v>-5.8473400341053309E-3</v>
      </c>
      <c r="U88" s="6">
        <f>IF(Q88="","",(E88*Q88)/1000000)</f>
        <v>1440.9733246814878</v>
      </c>
      <c r="V88" s="6">
        <f>IF(R88="","",(F88*R88)/1000000)</f>
        <v>1431.0967377239999</v>
      </c>
      <c r="W88" s="5">
        <f>(IF(V88="","",V88-U88))</f>
        <v>-9.8765869574879162</v>
      </c>
      <c r="X88" s="4">
        <f>IF(W88="","",W88/U88)</f>
        <v>-6.854108114507278E-3</v>
      </c>
      <c r="Y88" s="17"/>
      <c r="Z88" s="16"/>
      <c r="AA88" s="16"/>
      <c r="AB88" s="16"/>
      <c r="AC88" s="16"/>
      <c r="AD88" s="16"/>
      <c r="AE88" s="16"/>
      <c r="AF88" s="15"/>
    </row>
    <row r="89" spans="2:32" x14ac:dyDescent="0.35">
      <c r="B89" s="49">
        <v>46193</v>
      </c>
      <c r="C89" s="42">
        <v>77</v>
      </c>
      <c r="D89" s="30" t="s">
        <v>46</v>
      </c>
      <c r="E89" s="12">
        <v>1745.374</v>
      </c>
      <c r="F89" s="12">
        <v>1745.4169999999999</v>
      </c>
      <c r="G89" s="5">
        <f>(IF(F89="","",F89-E89))</f>
        <v>4.299999999989268E-2</v>
      </c>
      <c r="H89" s="11">
        <f>IF(G89="","",G89/E89)</f>
        <v>2.4636553540898786E-5</v>
      </c>
      <c r="I89" s="8">
        <v>4178.9530000000004</v>
      </c>
      <c r="J89" s="8">
        <v>4179</v>
      </c>
      <c r="K89" s="7">
        <f>(IF(J89="","",J89-I89))</f>
        <v>4.6999999999570719E-2</v>
      </c>
      <c r="L89" s="4">
        <f>IF(K89="","",K89/I89)</f>
        <v>1.1246836228971878E-5</v>
      </c>
      <c r="M89" s="10">
        <f>IF(I89="","",(E89*I89)/1000000)</f>
        <v>7.2938359134220008</v>
      </c>
      <c r="N89" s="10">
        <f>IF(J89="","",(F89*J89)/1000000)</f>
        <v>7.2940976429999989</v>
      </c>
      <c r="O89" s="9">
        <f>(IF(N89="","",N89-M89))</f>
        <v>2.6172957799808216E-4</v>
      </c>
      <c r="P89" s="4">
        <f>IF(O89="","",O89/M89)</f>
        <v>3.5883666853054861E-5</v>
      </c>
      <c r="Q89" s="8">
        <v>867826.10699999996</v>
      </c>
      <c r="R89" s="8">
        <v>859433</v>
      </c>
      <c r="S89" s="7">
        <f>(IF(R89="","",R89-Q89))</f>
        <v>-8393.10699999996</v>
      </c>
      <c r="T89" s="4">
        <f>IF(S89="","",S89/Q89)</f>
        <v>-9.6714156583906051E-3</v>
      </c>
      <c r="U89" s="6">
        <f>IF(Q89="","",(E89*Q89)/1000000)</f>
        <v>1514.6811236790181</v>
      </c>
      <c r="V89" s="6">
        <f>IF(R89="","",(F89*R89)/1000000)</f>
        <v>1500.0689685609998</v>
      </c>
      <c r="W89" s="5">
        <f>(IF(V89="","",V89-U89))</f>
        <v>-14.612155118018336</v>
      </c>
      <c r="X89" s="4">
        <f>IF(W89="","",W89/U89)</f>
        <v>-9.6470173751995961E-3</v>
      </c>
    </row>
    <row r="90" spans="2:32" x14ac:dyDescent="0.35">
      <c r="B90" s="49">
        <v>46193</v>
      </c>
      <c r="C90" s="42">
        <v>78</v>
      </c>
      <c r="D90" s="30" t="s">
        <v>45</v>
      </c>
      <c r="E90" s="12">
        <v>1752.6479999999999</v>
      </c>
      <c r="F90" s="12">
        <v>1751.3309999999999</v>
      </c>
      <c r="G90" s="5">
        <f>(IF(F90="","",F90-E90))</f>
        <v>-1.3170000000000073</v>
      </c>
      <c r="H90" s="11">
        <f>IF(G90="","",G90/E90)</f>
        <v>-7.51434400974986E-4</v>
      </c>
      <c r="I90" s="8">
        <v>4116.1000000000004</v>
      </c>
      <c r="J90" s="8">
        <v>4179</v>
      </c>
      <c r="K90" s="7">
        <f>(IF(J90="","",J90-I90))</f>
        <v>62.899999999999636</v>
      </c>
      <c r="L90" s="4">
        <f>IF(K90="","",K90/I90)</f>
        <v>1.5281455746944833E-2</v>
      </c>
      <c r="M90" s="10">
        <f>IF(I90="","",(E90*I90)/1000000)</f>
        <v>7.2140744328000004</v>
      </c>
      <c r="N90" s="10">
        <f>IF(J90="","",(F90*J90)/1000000)</f>
        <v>7.3188122489999996</v>
      </c>
      <c r="O90" s="9">
        <f>(IF(N90="","",N90-M90))</f>
        <v>0.10473781619999922</v>
      </c>
      <c r="P90" s="4">
        <f>IF(O90="","",O90/M90)</f>
        <v>1.4518538334424602E-2</v>
      </c>
      <c r="Q90" s="8">
        <v>868461.55299999996</v>
      </c>
      <c r="R90" s="8">
        <v>872330</v>
      </c>
      <c r="S90" s="7">
        <f>(IF(R90="","",R90-Q90))</f>
        <v>3868.4470000000438</v>
      </c>
      <c r="T90" s="4">
        <f>IF(S90="","",S90/Q90)</f>
        <v>4.4543675959366784E-3</v>
      </c>
      <c r="U90" s="6">
        <f>IF(Q90="","",(E90*Q90)/1000000)</f>
        <v>1522.107403942344</v>
      </c>
      <c r="V90" s="6">
        <f>IF(R90="","",(F90*R90)/1000000)</f>
        <v>1527.7385712299999</v>
      </c>
      <c r="W90" s="5">
        <f>(IF(V90="","",V90-U90))</f>
        <v>5.6311672876558987</v>
      </c>
      <c r="X90" s="4">
        <f>IF(W90="","",W90/U90)</f>
        <v>3.6995860299154039E-3</v>
      </c>
      <c r="Y90" s="17"/>
      <c r="Z90" s="16"/>
      <c r="AA90" s="16"/>
      <c r="AB90" s="16"/>
      <c r="AC90" s="16"/>
      <c r="AD90" s="16"/>
      <c r="AE90" s="16"/>
      <c r="AF90" s="15"/>
    </row>
    <row r="91" spans="2:32" x14ac:dyDescent="0.35">
      <c r="B91" s="49">
        <v>46193</v>
      </c>
      <c r="C91" s="42">
        <v>79</v>
      </c>
      <c r="D91" s="30" t="s">
        <v>44</v>
      </c>
      <c r="E91" s="12">
        <v>1773.0809999999999</v>
      </c>
      <c r="F91" s="12">
        <v>1771.7159999999999</v>
      </c>
      <c r="G91" s="5">
        <f>(IF(F91="","",F91-E91))</f>
        <v>-1.3650000000000091</v>
      </c>
      <c r="H91" s="11">
        <f>IF(G91="","",G91/E91)</f>
        <v>-7.6984638603651452E-4</v>
      </c>
      <c r="I91" s="8">
        <v>4133.4759999999997</v>
      </c>
      <c r="J91" s="8">
        <v>4194</v>
      </c>
      <c r="K91" s="7">
        <f>(IF(J91="","",J91-I91))</f>
        <v>60.524000000000342</v>
      </c>
      <c r="L91" s="4">
        <f>IF(K91="","",K91/I91)</f>
        <v>1.4642397826913799E-2</v>
      </c>
      <c r="M91" s="10">
        <f>IF(I91="","",(E91*I91)/1000000)</f>
        <v>7.3289877595559991</v>
      </c>
      <c r="N91" s="10">
        <f>IF(J91="","",(F91*J91)/1000000)</f>
        <v>7.4305769039999996</v>
      </c>
      <c r="O91" s="9">
        <f>(IF(N91="","",N91-M91))</f>
        <v>0.10158914444400047</v>
      </c>
      <c r="P91" s="4">
        <f>IF(O91="","",O91/M91)</f>
        <v>1.3861279043827314E-2</v>
      </c>
      <c r="Q91" s="8">
        <v>847380.77399999998</v>
      </c>
      <c r="R91" s="8">
        <v>851680</v>
      </c>
      <c r="S91" s="7">
        <f>(IF(R91="","",R91-Q91))</f>
        <v>4299.2260000000242</v>
      </c>
      <c r="T91" s="4">
        <f>IF(S91="","",S91/Q91)</f>
        <v>5.0735467831136138E-3</v>
      </c>
      <c r="U91" s="6">
        <f>IF(Q91="","",(E91*Q91)/1000000)</f>
        <v>1502.4747501446939</v>
      </c>
      <c r="V91" s="18">
        <f>IF(R91="","",(F91*R91)/1000000)</f>
        <v>1508.93508288</v>
      </c>
      <c r="W91" s="19">
        <f>(IF(V91="","",V91-U91))</f>
        <v>6.4603327353061104</v>
      </c>
      <c r="X91" s="4">
        <f>IF(W91="","",W91/U91)</f>
        <v>4.2997945454217824E-3</v>
      </c>
      <c r="Y91" s="17"/>
      <c r="Z91" s="16"/>
      <c r="AA91" s="16"/>
      <c r="AB91" s="16"/>
      <c r="AC91" s="16"/>
      <c r="AD91" s="16"/>
      <c r="AE91" s="16"/>
      <c r="AF91" s="15"/>
    </row>
    <row r="92" spans="2:32" x14ac:dyDescent="0.35">
      <c r="B92" s="29">
        <v>46193</v>
      </c>
      <c r="C92" s="42">
        <v>80</v>
      </c>
      <c r="D92" s="48" t="s">
        <v>43</v>
      </c>
      <c r="E92" s="20">
        <v>1724.356</v>
      </c>
      <c r="F92" s="20">
        <v>1724.6389999999999</v>
      </c>
      <c r="G92" s="19">
        <f>(IF(F92="","",F92-E92))</f>
        <v>0.28299999999990177</v>
      </c>
      <c r="H92" s="11">
        <f>IF(G92="","",G92/E92)</f>
        <v>1.6411924219818981E-4</v>
      </c>
      <c r="I92" s="22">
        <v>4273.6170000000002</v>
      </c>
      <c r="J92" s="22">
        <v>4291</v>
      </c>
      <c r="K92" s="21">
        <f>(IF(J92="","",J92-I92))</f>
        <v>17.382999999999811</v>
      </c>
      <c r="L92" s="4">
        <f>IF(K92="","",K92/I92)</f>
        <v>4.0675147070970115E-3</v>
      </c>
      <c r="M92" s="24">
        <f>IF(I92="","",(E92*I92)/1000000)</f>
        <v>7.3692371156520009</v>
      </c>
      <c r="N92" s="24">
        <f>IF(J92="","",(F92*J92)/1000000)</f>
        <v>7.4004259489999988</v>
      </c>
      <c r="O92" s="23">
        <f>(IF(N92="","",N92-M92))</f>
        <v>3.1188833347997935E-2</v>
      </c>
      <c r="P92" s="4">
        <f>IF(O92="","",O92/M92)</f>
        <v>4.2323015067263813E-3</v>
      </c>
      <c r="Q92" s="22">
        <v>843368.49</v>
      </c>
      <c r="R92" s="22">
        <v>841604</v>
      </c>
      <c r="S92" s="21">
        <f>(IF(R92="","",R92-Q92))</f>
        <v>-1764.4899999999907</v>
      </c>
      <c r="T92" s="4">
        <f>IF(S92="","",S92/Q92)</f>
        <v>-2.0921934135812812E-3</v>
      </c>
      <c r="U92" s="18">
        <f>IF(Q92="","",(E92*Q92)/1000000)</f>
        <v>1454.26751594244</v>
      </c>
      <c r="V92" s="18">
        <f>IF(R92="","",(F92*R92)/1000000)</f>
        <v>1451.4630809559999</v>
      </c>
      <c r="W92" s="19">
        <f>(IF(V92="","",V92-U92))</f>
        <v>-2.8044349864401283</v>
      </c>
      <c r="X92" s="4">
        <f>IF(W92="","",W92/U92)</f>
        <v>-1.928417540580703E-3</v>
      </c>
    </row>
    <row r="93" spans="2:32" x14ac:dyDescent="0.35">
      <c r="B93" s="29">
        <v>46197</v>
      </c>
      <c r="C93" s="42">
        <v>81</v>
      </c>
      <c r="D93" s="30" t="s">
        <v>42</v>
      </c>
      <c r="E93" s="20">
        <v>1588.6969999999999</v>
      </c>
      <c r="F93" s="20">
        <v>1586.1849999999999</v>
      </c>
      <c r="G93" s="19">
        <f>(IF(F93="","",F93-E93))</f>
        <v>-2.5119999999999436</v>
      </c>
      <c r="H93" s="11">
        <f>IF(G93="","",G93/E93)</f>
        <v>-1.5811699776609031E-3</v>
      </c>
      <c r="I93" s="22">
        <v>4397.5950000000003</v>
      </c>
      <c r="J93" s="22">
        <v>4385</v>
      </c>
      <c r="K93" s="21">
        <f>(IF(J93="","",J93-I93))</f>
        <v>-12.595000000000255</v>
      </c>
      <c r="L93" s="4">
        <f>IF(K93="","",K93/I93)</f>
        <v>-2.864065472150176E-3</v>
      </c>
      <c r="M93" s="24">
        <f>IF(I93="","",(E93*I93)/1000000)</f>
        <v>6.9864459837149999</v>
      </c>
      <c r="N93" s="24">
        <f>IF(J93="","",(F93*J93)/1000000)</f>
        <v>6.9554212249999994</v>
      </c>
      <c r="O93" s="23">
        <f>(IF(N93="","",N93-M93))</f>
        <v>-3.1024758715000544E-2</v>
      </c>
      <c r="P93" s="4">
        <f>IF(O93="","",O93/M93)</f>
        <v>-4.4407068754725157E-3</v>
      </c>
      <c r="Q93" s="22">
        <v>843152.86899999995</v>
      </c>
      <c r="R93" s="22">
        <v>836968</v>
      </c>
      <c r="S93" s="21">
        <f>(IF(R93="","",R93-Q93))</f>
        <v>-6184.8689999999478</v>
      </c>
      <c r="T93" s="4">
        <f>IF(S93="","",S93/Q93)</f>
        <v>-7.33540645759215E-3</v>
      </c>
      <c r="U93" s="18">
        <f>IF(Q93="","",(E93*Q93)/1000000)</f>
        <v>1339.5144335216928</v>
      </c>
      <c r="V93" s="18">
        <f>IF(R93="","",(F93*R93)/1000000)</f>
        <v>1327.58608708</v>
      </c>
      <c r="W93" s="19">
        <f>(IF(V93="","",V93-U93))</f>
        <v>-11.928346441692838</v>
      </c>
      <c r="X93" s="4">
        <f>IF(W93="","",W93/U93)</f>
        <v>-8.9049779107883455E-3</v>
      </c>
    </row>
    <row r="94" spans="2:32" x14ac:dyDescent="0.35">
      <c r="B94" s="29">
        <v>46197</v>
      </c>
      <c r="C94" s="42">
        <v>82</v>
      </c>
      <c r="D94" s="30" t="s">
        <v>41</v>
      </c>
      <c r="E94" s="20">
        <v>1654.441</v>
      </c>
      <c r="F94" s="20">
        <v>1652.597</v>
      </c>
      <c r="G94" s="19">
        <f>(IF(F94="","",F94-E94))</f>
        <v>-1.8440000000000509</v>
      </c>
      <c r="H94" s="11">
        <f>IF(G94="","",G94/E94)</f>
        <v>-1.1145758597617267E-3</v>
      </c>
      <c r="I94" s="22">
        <v>4615.4650000000001</v>
      </c>
      <c r="J94" s="22">
        <v>4634</v>
      </c>
      <c r="K94" s="21">
        <f>(IF(J94="","",J94-I94))</f>
        <v>18.534999999999854</v>
      </c>
      <c r="L94" s="4">
        <f>IF(K94="","",K94/I94)</f>
        <v>4.0158467240028585E-3</v>
      </c>
      <c r="M94" s="24">
        <f>IF(I94="","",(E94*I94)/1000000)</f>
        <v>7.6360145300650002</v>
      </c>
      <c r="N94" s="24">
        <f>IF(J94="","",(F94*J94)/1000000)</f>
        <v>7.6581344979999999</v>
      </c>
      <c r="O94" s="23">
        <f>(IF(N94="","",N94-M94))</f>
        <v>2.2119967934999707E-2</v>
      </c>
      <c r="P94" s="4">
        <f>IF(O94="","",O94/M94)</f>
        <v>2.896794898426079E-3</v>
      </c>
      <c r="Q94" s="22">
        <v>775348.60499999998</v>
      </c>
      <c r="R94" s="22">
        <v>774730</v>
      </c>
      <c r="S94" s="21">
        <f>(IF(R94="","",R94-Q94))</f>
        <v>-618.60499999998137</v>
      </c>
      <c r="T94" s="4">
        <f>IF(S94="","",S94/Q94)</f>
        <v>-7.9784112076912992E-4</v>
      </c>
      <c r="U94" s="18">
        <f>IF(Q94="","",(E94*Q94)/1000000)</f>
        <v>1282.7685214048049</v>
      </c>
      <c r="V94" s="18">
        <f>IF(R94="","",(F94*R94)/1000000)</f>
        <v>1280.3164738099999</v>
      </c>
      <c r="W94" s="19">
        <f>(IF(V94="","",V94-U94))</f>
        <v>-2.4520475948049807</v>
      </c>
      <c r="X94" s="4">
        <f>IF(W94="","",W94/U94)</f>
        <v>-1.9115277260777005E-3</v>
      </c>
      <c r="Y94" s="17"/>
      <c r="Z94" s="16"/>
      <c r="AA94" s="16"/>
      <c r="AB94" s="16"/>
      <c r="AC94" s="16"/>
      <c r="AD94" s="16"/>
      <c r="AE94" s="16"/>
      <c r="AF94" s="15"/>
    </row>
    <row r="95" spans="2:32" x14ac:dyDescent="0.35">
      <c r="B95" s="29">
        <v>46197</v>
      </c>
      <c r="C95" s="42">
        <v>83</v>
      </c>
      <c r="D95" s="48" t="s">
        <v>40</v>
      </c>
      <c r="E95" s="20">
        <v>1633.2080000000001</v>
      </c>
      <c r="F95" s="20">
        <v>1634.1310000000001</v>
      </c>
      <c r="G95" s="19">
        <f>(IF(F95="","",F95-E95))</f>
        <v>0.92300000000000182</v>
      </c>
      <c r="H95" s="11">
        <f>IF(G95="","",G95/E95)</f>
        <v>5.651454070761359E-4</v>
      </c>
      <c r="I95" s="22">
        <v>4444.8029999999999</v>
      </c>
      <c r="J95" s="22">
        <v>4490</v>
      </c>
      <c r="K95" s="21">
        <f>(IF(J95="","",J95-I95))</f>
        <v>45.197000000000116</v>
      </c>
      <c r="L95" s="4">
        <f>IF(K95="","",K95/I95)</f>
        <v>1.0168504655886913E-2</v>
      </c>
      <c r="M95" s="24">
        <f>IF(I95="","",(E95*I95)/1000000)</f>
        <v>7.2592878180240001</v>
      </c>
      <c r="N95" s="24">
        <f>IF(J95="","",(F95*J95)/1000000)</f>
        <v>7.3372481900000004</v>
      </c>
      <c r="O95" s="23">
        <f>(IF(N95="","",N95-M95))</f>
        <v>7.7960371976000253E-2</v>
      </c>
      <c r="P95" s="4">
        <f>IF(O95="","",O95/M95)</f>
        <v>1.0739396746666163E-2</v>
      </c>
      <c r="Q95" s="22">
        <v>778909.897</v>
      </c>
      <c r="R95" s="22">
        <v>784761</v>
      </c>
      <c r="S95" s="21">
        <f>(IF(R95="","",R95-Q95))</f>
        <v>5851.1030000000028</v>
      </c>
      <c r="T95" s="4">
        <f>IF(S95="","",S95/Q95)</f>
        <v>7.5119125107226655E-3</v>
      </c>
      <c r="U95" s="18">
        <f>IF(Q95="","",(E95*Q95)/1000000)</f>
        <v>1272.121875059576</v>
      </c>
      <c r="V95" s="18">
        <f>IF(R95="","",(F95*R95)/1000000)</f>
        <v>1282.4022776909999</v>
      </c>
      <c r="W95" s="19">
        <f>(IF(V95="","",V95-U95))</f>
        <v>10.28040263142384</v>
      </c>
      <c r="X95" s="4">
        <f>IF(W95="","",W95/U95)</f>
        <v>8.081303240652463E-3</v>
      </c>
      <c r="Y95" s="17"/>
      <c r="Z95" s="16"/>
      <c r="AA95" s="16"/>
      <c r="AB95" s="16"/>
      <c r="AC95" s="16"/>
      <c r="AD95" s="16"/>
      <c r="AE95" s="16"/>
      <c r="AF95" s="15"/>
    </row>
    <row r="96" spans="2:32" x14ac:dyDescent="0.35">
      <c r="B96" s="29">
        <v>46200</v>
      </c>
      <c r="C96" s="42">
        <v>84</v>
      </c>
      <c r="D96" s="30" t="s">
        <v>39</v>
      </c>
      <c r="E96" s="20">
        <v>1619.4839999999999</v>
      </c>
      <c r="F96" s="20">
        <v>1617.7919999999999</v>
      </c>
      <c r="G96" s="19">
        <f>(IF(F96="","",F96-E96))</f>
        <v>-1.6920000000000073</v>
      </c>
      <c r="H96" s="11">
        <f>IF(G96="","",G96/E96)</f>
        <v>-1.0447772253384456E-3</v>
      </c>
      <c r="I96" s="22">
        <v>4152.5910000000003</v>
      </c>
      <c r="J96" s="22">
        <v>4248</v>
      </c>
      <c r="K96" s="21">
        <f>(IF(J96="","",J96-I96))</f>
        <v>95.408999999999651</v>
      </c>
      <c r="L96" s="4">
        <f>IF(K96="","",K96/I96)</f>
        <v>2.2975775846934995E-2</v>
      </c>
      <c r="M96" s="24">
        <f>IF(I96="","",(E96*I96)/1000000)</f>
        <v>6.7250546830440001</v>
      </c>
      <c r="N96" s="24">
        <f>IF(J96="","",(F96*J96)/1000000)</f>
        <v>6.8723804159999995</v>
      </c>
      <c r="O96" s="23">
        <f>(IF(N96="","",N96-M96))</f>
        <v>0.14732573295599938</v>
      </c>
      <c r="P96" s="4">
        <f>IF(O96="","",O96/M96)</f>
        <v>2.1906994054257188E-2</v>
      </c>
      <c r="Q96" s="22">
        <v>785425.22499999998</v>
      </c>
      <c r="R96" s="22">
        <v>795578</v>
      </c>
      <c r="S96" s="21">
        <f>(IF(R96="","",R96-Q96))</f>
        <v>10152.775000000023</v>
      </c>
      <c r="T96" s="4">
        <f>IF(S96="","",S96/Q96)</f>
        <v>1.2926469225635099E-2</v>
      </c>
      <c r="U96" s="18">
        <f>IF(Q96="","",(E96*Q96)/1000000)</f>
        <v>1271.9835850838999</v>
      </c>
      <c r="V96" s="18">
        <f>IF(R96="","",(F96*R96)/1000000)</f>
        <v>1287.079723776</v>
      </c>
      <c r="W96" s="19">
        <f>(IF(V96="","",V96-U96))</f>
        <v>15.096138692100112</v>
      </c>
      <c r="X96" s="4">
        <f>IF(W96="","",W96/U96)</f>
        <v>1.1868186719645735E-2</v>
      </c>
      <c r="Y96" s="46" t="s">
        <v>31</v>
      </c>
      <c r="Z96" s="45"/>
      <c r="AA96" s="45"/>
      <c r="AB96" s="45"/>
      <c r="AC96" s="45"/>
      <c r="AD96" s="45"/>
      <c r="AE96" s="45"/>
      <c r="AF96" s="45"/>
    </row>
    <row r="97" spans="2:32" x14ac:dyDescent="0.35">
      <c r="B97" s="29">
        <v>46200</v>
      </c>
      <c r="C97" s="42">
        <v>85</v>
      </c>
      <c r="D97" s="30" t="s">
        <v>38</v>
      </c>
      <c r="E97" s="20">
        <v>1615.854</v>
      </c>
      <c r="F97" s="20">
        <v>1617.5889999999999</v>
      </c>
      <c r="G97" s="19">
        <f>(IF(F97="","",F97-E97))</f>
        <v>1.7349999999999</v>
      </c>
      <c r="H97" s="11">
        <f>IF(G97="","",G97/E97)</f>
        <v>1.0737356221539199E-3</v>
      </c>
      <c r="I97" s="22">
        <v>3326.27</v>
      </c>
      <c r="J97" s="22">
        <v>3372</v>
      </c>
      <c r="K97" s="21">
        <f>(IF(J97="","",J97-I97))</f>
        <v>45.730000000000018</v>
      </c>
      <c r="L97" s="4">
        <f>IF(K97="","",K97/I97)</f>
        <v>1.3748132292327447E-2</v>
      </c>
      <c r="M97" s="24">
        <f>IF(I97="","",(E97*I97)/1000000)</f>
        <v>5.37476668458</v>
      </c>
      <c r="N97" s="24">
        <f>IF(J97="","",(F97*J97)/1000000)</f>
        <v>5.454510108</v>
      </c>
      <c r="O97" s="23">
        <f>(IF(N97="","",N97-M97))</f>
        <v>7.974342342000007E-2</v>
      </c>
      <c r="P97" s="4">
        <f>IF(O97="","",O97/M97)</f>
        <v>1.4836629773861795E-2</v>
      </c>
      <c r="Q97" s="22">
        <v>756371.22900000005</v>
      </c>
      <c r="R97" s="22">
        <v>761173</v>
      </c>
      <c r="S97" s="21">
        <f>(IF(R97="","",R97-Q97))</f>
        <v>4801.7709999999497</v>
      </c>
      <c r="T97" s="4">
        <f>IF(S97="","",S97/Q97)</f>
        <v>6.3484315847766723E-3</v>
      </c>
      <c r="U97" s="18">
        <f>IF(Q97="","",(E97*Q97)/1000000)</f>
        <v>1222.1854758645661</v>
      </c>
      <c r="V97" s="18">
        <f>IF(R97="","",(F97*R97)/1000000)</f>
        <v>1231.2650718970001</v>
      </c>
      <c r="W97" s="19">
        <f>(IF(V97="","",V97-U97))</f>
        <v>9.0795960324339831</v>
      </c>
      <c r="X97" s="4">
        <f>IF(W97="","",W97/U97)</f>
        <v>7.4289837440680885E-3</v>
      </c>
      <c r="Y97" s="44"/>
      <c r="Z97" s="43"/>
      <c r="AA97" s="43"/>
      <c r="AB97" s="43"/>
      <c r="AC97" s="43"/>
      <c r="AD97" s="43"/>
      <c r="AE97" s="43"/>
      <c r="AF97" s="43"/>
    </row>
    <row r="98" spans="2:32" x14ac:dyDescent="0.35">
      <c r="B98" s="29">
        <v>46200</v>
      </c>
      <c r="C98" s="42">
        <v>86</v>
      </c>
      <c r="D98" s="30" t="s">
        <v>37</v>
      </c>
      <c r="E98" s="20">
        <v>1531.9179999999999</v>
      </c>
      <c r="F98" s="20">
        <v>1532.838</v>
      </c>
      <c r="G98" s="19">
        <f>(IF(F98="","",F98-E98))</f>
        <v>0.92000000000007276</v>
      </c>
      <c r="H98" s="11">
        <f>IF(G98="","",G98/E98)</f>
        <v>6.0055433776486263E-4</v>
      </c>
      <c r="I98" s="22">
        <v>3215.94</v>
      </c>
      <c r="J98" s="22">
        <v>3255</v>
      </c>
      <c r="K98" s="21">
        <f>(IF(J98="","",J98-I98))</f>
        <v>39.059999999999945</v>
      </c>
      <c r="L98" s="4">
        <f>IF(K98="","",K98/I98)</f>
        <v>1.2145748987854234E-2</v>
      </c>
      <c r="M98" s="24">
        <f>IF(I98="","",(E98*I98)/1000000)</f>
        <v>4.9265563729200004</v>
      </c>
      <c r="N98" s="24">
        <f>IF(J98="","",(F98*J98)/1000000)</f>
        <v>4.9893876899999992</v>
      </c>
      <c r="O98" s="23">
        <f>(IF(N98="","",N98-M98))</f>
        <v>6.2831317079998783E-2</v>
      </c>
      <c r="P98" s="4">
        <f>IF(O98="","",O98/M98)</f>
        <v>1.2753597507858877E-2</v>
      </c>
      <c r="Q98" s="22">
        <v>749676.27399999998</v>
      </c>
      <c r="R98" s="22">
        <v>754378</v>
      </c>
      <c r="S98" s="21">
        <f>(IF(R98="","",R98-Q98))</f>
        <v>4701.7260000000242</v>
      </c>
      <c r="T98" s="4">
        <f>IF(S98="","",S98/Q98)</f>
        <v>6.2716750723793404E-3</v>
      </c>
      <c r="U98" s="18">
        <f>IF(Q98="","",(E98*Q98)/1000000)</f>
        <v>1148.4425783135318</v>
      </c>
      <c r="V98" s="18">
        <f>IF(R98="","",(F98*R98)/1000000)</f>
        <v>1156.3392647639998</v>
      </c>
      <c r="W98" s="19">
        <f>(IF(V98="","",V98-U98))</f>
        <v>7.8966864504679961</v>
      </c>
      <c r="X98" s="4">
        <f>IF(W98="","",W98/U98)</f>
        <v>6.8759958918138894E-3</v>
      </c>
      <c r="Y98" s="44"/>
      <c r="Z98" s="43"/>
      <c r="AA98" s="43"/>
      <c r="AB98" s="43"/>
      <c r="AC98" s="43"/>
      <c r="AD98" s="43"/>
      <c r="AE98" s="43"/>
      <c r="AF98" s="43"/>
    </row>
    <row r="99" spans="2:32" x14ac:dyDescent="0.35">
      <c r="B99" s="29">
        <v>46200</v>
      </c>
      <c r="C99" s="42">
        <v>87</v>
      </c>
      <c r="D99" s="30" t="s">
        <v>36</v>
      </c>
      <c r="E99" s="20">
        <v>1571.059</v>
      </c>
      <c r="F99" s="20">
        <v>1570.741</v>
      </c>
      <c r="G99" s="19">
        <f>(IF(F99="","",F99-E99))</f>
        <v>-0.31799999999998363</v>
      </c>
      <c r="H99" s="11">
        <f>IF(G99="","",G99/E99)</f>
        <v>-2.024112398070242E-4</v>
      </c>
      <c r="I99" s="22">
        <v>3235.0390000000002</v>
      </c>
      <c r="J99" s="22">
        <v>3288</v>
      </c>
      <c r="K99" s="21">
        <f>(IF(J99="","",J99-I99))</f>
        <v>52.960999999999785</v>
      </c>
      <c r="L99" s="4">
        <f>IF(K99="","",K99/I99)</f>
        <v>1.6371054568430174E-2</v>
      </c>
      <c r="M99" s="24">
        <f>IF(I99="","",(E99*I99)/1000000)</f>
        <v>5.0824371363010004</v>
      </c>
      <c r="N99" s="24">
        <f>IF(J99="","",(F99*J99)/1000000)</f>
        <v>5.1645964079999995</v>
      </c>
      <c r="O99" s="23">
        <f>(IF(N99="","",N99-M99))</f>
        <v>8.215927169899917E-2</v>
      </c>
      <c r="P99" s="4">
        <f>IF(O99="","",O99/M99)</f>
        <v>1.6165329643170898E-2</v>
      </c>
      <c r="Q99" s="22">
        <v>739309.51199999999</v>
      </c>
      <c r="R99" s="22">
        <v>737084</v>
      </c>
      <c r="S99" s="21">
        <f>(IF(R99="","",R99-Q99))</f>
        <v>-2225.5119999999879</v>
      </c>
      <c r="T99" s="4">
        <f>IF(S99="","",S99/Q99)</f>
        <v>-3.0102574955101998E-3</v>
      </c>
      <c r="U99" s="18">
        <f>IF(Q99="","",(E99*Q99)/1000000)</f>
        <v>1161.4988626132081</v>
      </c>
      <c r="V99" s="18">
        <f>IF(R99="","",(F99*R99)/1000000)</f>
        <v>1157.7680592439999</v>
      </c>
      <c r="W99" s="19">
        <f>(IF(V99="","",V99-U99))</f>
        <v>-3.7308033692081608</v>
      </c>
      <c r="X99" s="4">
        <f>IF(W99="","",W99/U99)</f>
        <v>-3.2120594253655841E-3</v>
      </c>
      <c r="Y99" s="41"/>
      <c r="Z99" s="40"/>
      <c r="AA99" s="40"/>
      <c r="AB99" s="40"/>
      <c r="AC99" s="40"/>
      <c r="AD99" s="40"/>
      <c r="AE99" s="40"/>
      <c r="AF99" s="40"/>
    </row>
    <row r="100" spans="2:32" x14ac:dyDescent="0.35">
      <c r="B100" s="29">
        <v>46203</v>
      </c>
      <c r="C100" s="47">
        <v>88</v>
      </c>
      <c r="D100" s="30" t="s">
        <v>35</v>
      </c>
      <c r="E100" s="20">
        <v>1565.8430000000001</v>
      </c>
      <c r="F100" s="20">
        <v>1565.7180000000001</v>
      </c>
      <c r="G100" s="19">
        <f>(IF(F100="","",F100-E100))</f>
        <v>-0.125</v>
      </c>
      <c r="H100" s="11">
        <f>IF(G100="","",G100/E100)</f>
        <v>-7.9829203821839097E-5</v>
      </c>
      <c r="I100" s="22">
        <v>3360.4169999999999</v>
      </c>
      <c r="J100" s="22">
        <v>4446</v>
      </c>
      <c r="K100" s="21">
        <f>(IF(J100="","",J100-I100))</f>
        <v>1085.5830000000001</v>
      </c>
      <c r="L100" s="4">
        <f>IF(K100="","",K100/I100)</f>
        <v>0.32305008574828664</v>
      </c>
      <c r="M100" s="24">
        <f>IF(I100="","",(E100*I100)/1000000)</f>
        <v>5.2618854365310002</v>
      </c>
      <c r="N100" s="24">
        <f>IF(J100="","",(F100*J100)/1000000)</f>
        <v>6.9611822280000002</v>
      </c>
      <c r="O100" s="23">
        <f>(IF(N100="","",N100-M100))</f>
        <v>1.699296791469</v>
      </c>
      <c r="P100" s="4">
        <f>IF(O100="","",O100/M100)</f>
        <v>0.32294446771332491</v>
      </c>
      <c r="Q100" s="22">
        <v>711026.77399999998</v>
      </c>
      <c r="R100" s="22">
        <v>752516</v>
      </c>
      <c r="S100" s="21">
        <f>(IF(R100="","",R100-Q100))</f>
        <v>41489.226000000024</v>
      </c>
      <c r="T100" s="4">
        <f>IF(S100="","",S100/Q100)</f>
        <v>5.8351144453528028E-2</v>
      </c>
      <c r="U100" s="18">
        <f>IF(Q100="","",(E100*Q100)/1000000)</f>
        <v>1113.356296880482</v>
      </c>
      <c r="V100" s="18">
        <f>IF(R100="","",(F100*R100)/1000000)</f>
        <v>1178.2278464880001</v>
      </c>
      <c r="W100" s="19">
        <f>(IF(V100="","",V100-U100))</f>
        <v>64.871549607518091</v>
      </c>
      <c r="X100" s="4">
        <f>IF(W100="","",W100/U100)</f>
        <v>5.8266657124302415E-2</v>
      </c>
      <c r="Y100" s="17" t="s">
        <v>33</v>
      </c>
      <c r="Z100" s="16"/>
      <c r="AA100" s="16"/>
      <c r="AB100" s="16"/>
      <c r="AC100" s="16"/>
      <c r="AD100" s="16"/>
      <c r="AE100" s="16"/>
      <c r="AF100" s="15"/>
    </row>
    <row r="101" spans="2:32" x14ac:dyDescent="0.35">
      <c r="B101" s="29">
        <v>46203</v>
      </c>
      <c r="C101" s="47">
        <v>89</v>
      </c>
      <c r="D101" s="30" t="s">
        <v>34</v>
      </c>
      <c r="E101" s="20">
        <v>1606.509</v>
      </c>
      <c r="F101" s="20">
        <v>1605.183</v>
      </c>
      <c r="G101" s="19">
        <f>(IF(F101="","",F101-E101))</f>
        <v>-1.3260000000000218</v>
      </c>
      <c r="H101" s="11">
        <f>IF(G101="","",G101/E101)</f>
        <v>-8.2539220135089309E-4</v>
      </c>
      <c r="I101" s="22">
        <v>4381.5029999999997</v>
      </c>
      <c r="J101" s="22">
        <v>3437</v>
      </c>
      <c r="K101" s="21">
        <f>(IF(J101="","",J101-I101))</f>
        <v>-944.5029999999997</v>
      </c>
      <c r="L101" s="4">
        <f>IF(K101="","",K101/I101)</f>
        <v>-0.21556598272328006</v>
      </c>
      <c r="M101" s="24">
        <f>IF(I101="","",(E101*I101)/1000000)</f>
        <v>7.0389240030269997</v>
      </c>
      <c r="N101" s="24">
        <f>IF(J101="","",(F101*J101)/1000000)</f>
        <v>5.5170139709999999</v>
      </c>
      <c r="O101" s="23">
        <f>(IF(N101="","",N101-M101))</f>
        <v>-1.5219100320269998</v>
      </c>
      <c r="P101" s="4">
        <f>IF(O101="","",O101/M101)</f>
        <v>-0.21621344844361465</v>
      </c>
      <c r="Q101" s="22">
        <v>753249.38600000006</v>
      </c>
      <c r="R101" s="22">
        <v>712068</v>
      </c>
      <c r="S101" s="21">
        <f>(IF(R101="","",R101-Q101))</f>
        <v>-41181.386000000057</v>
      </c>
      <c r="T101" s="4">
        <f>IF(S101="","",S101/Q101)</f>
        <v>-5.4671648945758392E-2</v>
      </c>
      <c r="U101" s="18">
        <f>IF(Q101="","",(E101*Q101)/1000000)</f>
        <v>1210.1019178534741</v>
      </c>
      <c r="V101" s="18">
        <f>IF(R101="","",(F101*R101)/1000000)</f>
        <v>1142.9994484440001</v>
      </c>
      <c r="W101" s="19">
        <f>(IF(V101="","",V101-U101))</f>
        <v>-67.102469409473997</v>
      </c>
      <c r="X101" s="4">
        <f>IF(W101="","",W101/U101)</f>
        <v>-5.5451915594434367E-2</v>
      </c>
      <c r="Y101" s="17" t="s">
        <v>33</v>
      </c>
      <c r="Z101" s="16"/>
      <c r="AA101" s="16"/>
      <c r="AB101" s="16"/>
      <c r="AC101" s="16"/>
      <c r="AD101" s="16"/>
      <c r="AE101" s="16"/>
      <c r="AF101" s="15"/>
    </row>
    <row r="102" spans="2:32" x14ac:dyDescent="0.35">
      <c r="B102" s="29">
        <v>46203</v>
      </c>
      <c r="C102" s="42">
        <v>90</v>
      </c>
      <c r="D102" s="30" t="s">
        <v>32</v>
      </c>
      <c r="E102" s="20">
        <v>1698.117</v>
      </c>
      <c r="F102" s="20">
        <v>1696.806</v>
      </c>
      <c r="G102" s="19">
        <f>(IF(F102="","",F102-E102))</f>
        <v>-1.3109999999999218</v>
      </c>
      <c r="H102" s="11">
        <f>IF(G102="","",G102/E102)</f>
        <v>-7.7203160912936019E-4</v>
      </c>
      <c r="I102" s="22">
        <v>5309.7659999999996</v>
      </c>
      <c r="J102" s="22">
        <v>5327</v>
      </c>
      <c r="K102" s="21">
        <f>(IF(J102="","",J102-I102))</f>
        <v>17.234000000000378</v>
      </c>
      <c r="L102" s="4">
        <f>IF(K102="","",K102/I102)</f>
        <v>3.2457174195624403E-3</v>
      </c>
      <c r="M102" s="24">
        <f>IF(I102="","",(E102*I102)/1000000)</f>
        <v>9.0166039106219991</v>
      </c>
      <c r="N102" s="24">
        <f>IF(J102="","",(F102*J102)/1000000)</f>
        <v>9.0388855620000008</v>
      </c>
      <c r="O102" s="23">
        <f>(IF(N102="","",N102-M102))</f>
        <v>2.2281651378001754E-2</v>
      </c>
      <c r="P102" s="4">
        <f>IF(O102="","",O102/M102)</f>
        <v>2.4711800139909533E-3</v>
      </c>
      <c r="Q102" s="22">
        <v>798427.57299999997</v>
      </c>
      <c r="R102" s="22">
        <v>796393</v>
      </c>
      <c r="S102" s="21">
        <f>(IF(R102="","",R102-Q102))</f>
        <v>-2034.5729999999749</v>
      </c>
      <c r="T102" s="4">
        <f>IF(S102="","",S102/Q102)</f>
        <v>-2.5482248719884515E-3</v>
      </c>
      <c r="U102" s="18">
        <f>IF(Q102="","",(E102*Q102)/1000000)</f>
        <v>1355.8234349800409</v>
      </c>
      <c r="V102" s="18">
        <f>IF(R102="","",(F102*R102)/1000000)</f>
        <v>1351.3244207580001</v>
      </c>
      <c r="W102" s="19">
        <f>(IF(V102="","",V102-U102))</f>
        <v>-4.4990142220408416</v>
      </c>
      <c r="X102" s="4">
        <f>IF(W102="","",W102/U102)</f>
        <v>-3.3182891709694277E-3</v>
      </c>
      <c r="Y102" s="46" t="s">
        <v>31</v>
      </c>
      <c r="Z102" s="45"/>
      <c r="AA102" s="45"/>
      <c r="AB102" s="45"/>
      <c r="AC102" s="45"/>
      <c r="AD102" s="45"/>
      <c r="AE102" s="45"/>
      <c r="AF102" s="45"/>
    </row>
    <row r="103" spans="2:32" x14ac:dyDescent="0.35">
      <c r="B103" s="29">
        <v>46203</v>
      </c>
      <c r="C103" s="42">
        <v>91</v>
      </c>
      <c r="D103" s="30" t="s">
        <v>30</v>
      </c>
      <c r="E103" s="20">
        <v>1756.789</v>
      </c>
      <c r="F103" s="20">
        <v>1755.8879999999999</v>
      </c>
      <c r="G103" s="19">
        <f>(IF(F103="","",F103-E103))</f>
        <v>-0.9010000000000673</v>
      </c>
      <c r="H103" s="11">
        <f>IF(G103="","",G103/E103)</f>
        <v>-5.1286750998558585E-4</v>
      </c>
      <c r="I103" s="22">
        <v>6114.3310000000001</v>
      </c>
      <c r="J103" s="22">
        <v>6177</v>
      </c>
      <c r="K103" s="21">
        <f>(IF(J103="","",J103-I103))</f>
        <v>62.668999999999869</v>
      </c>
      <c r="L103" s="4">
        <f>IF(K103="","",K103/I103)</f>
        <v>1.0249526890186329E-2</v>
      </c>
      <c r="M103" s="24">
        <f>IF(I103="","",(E103*I103)/1000000)</f>
        <v>10.741589443159</v>
      </c>
      <c r="N103" s="24">
        <f>IF(J103="","",(F103*J103)/1000000)</f>
        <v>10.846120175999999</v>
      </c>
      <c r="O103" s="23">
        <f>(IF(N103="","",N103-M103))</f>
        <v>0.10453073284099901</v>
      </c>
      <c r="P103" s="4">
        <f>IF(O103="","",O103/M103)</f>
        <v>9.7314027308660102E-3</v>
      </c>
      <c r="Q103" s="22">
        <v>841360.53399999999</v>
      </c>
      <c r="R103" s="22">
        <v>842776</v>
      </c>
      <c r="S103" s="21">
        <f>(IF(R103="","",R103-Q103))</f>
        <v>1415.4660000000149</v>
      </c>
      <c r="T103" s="4">
        <f>IF(S103="","",S103/Q103)</f>
        <v>1.6823536911941901E-3</v>
      </c>
      <c r="U103" s="18">
        <f>IF(Q103="","",(E103*Q103)/1000000)</f>
        <v>1478.0929311653258</v>
      </c>
      <c r="V103" s="18">
        <f>IF(R103="","",(F103*R103)/1000000)</f>
        <v>1479.8202650879998</v>
      </c>
      <c r="W103" s="19">
        <f>(IF(V103="","",V103-U103))</f>
        <v>1.7273339226740063</v>
      </c>
      <c r="X103" s="4">
        <f>IF(W103="","",W103/U103)</f>
        <v>1.1686233566601115E-3</v>
      </c>
      <c r="Y103" s="44"/>
      <c r="Z103" s="43"/>
      <c r="AA103" s="43"/>
      <c r="AB103" s="43"/>
      <c r="AC103" s="43"/>
      <c r="AD103" s="43"/>
      <c r="AE103" s="43"/>
      <c r="AF103" s="43"/>
    </row>
    <row r="104" spans="2:32" x14ac:dyDescent="0.35">
      <c r="B104" s="29">
        <v>46211</v>
      </c>
      <c r="C104" s="42">
        <v>92</v>
      </c>
      <c r="D104" s="30" t="s">
        <v>29</v>
      </c>
      <c r="E104" s="20">
        <v>1768.3119999999999</v>
      </c>
      <c r="F104" s="20">
        <v>1765.645</v>
      </c>
      <c r="G104" s="19">
        <f>(IF(F104="","",F104-E104))</f>
        <v>-2.6669999999999163</v>
      </c>
      <c r="H104" s="11">
        <f>IF(G104="","",G104/E104)</f>
        <v>-1.5082180067770375E-3</v>
      </c>
      <c r="I104" s="22">
        <v>5215.424</v>
      </c>
      <c r="J104" s="22">
        <v>5261</v>
      </c>
      <c r="K104" s="21">
        <f>(IF(J104="","",J104-I104))</f>
        <v>45.576000000000022</v>
      </c>
      <c r="L104" s="4">
        <f>IF(K104="","",K104/I104)</f>
        <v>8.7386950706212999E-3</v>
      </c>
      <c r="M104" s="24">
        <f>IF(I104="","",(E104*I104)/1000000)</f>
        <v>9.2224968442879991</v>
      </c>
      <c r="N104" s="24">
        <f>IF(J104="","",(F104*J104)/1000000)</f>
        <v>9.2890583450000008</v>
      </c>
      <c r="O104" s="23">
        <f>(IF(N104="","",N104-M104))</f>
        <v>6.6561500712001731E-2</v>
      </c>
      <c r="P104" s="4">
        <f>IF(O104="","",O104/M104)</f>
        <v>7.2172972065831544E-3</v>
      </c>
      <c r="Q104" s="22">
        <v>807671.70299999998</v>
      </c>
      <c r="R104" s="22">
        <v>808172</v>
      </c>
      <c r="S104" s="21">
        <f>(IF(R104="","",R104-Q104))</f>
        <v>500.29700000002049</v>
      </c>
      <c r="T104" s="4">
        <f>IF(S104="","",S104/Q104)</f>
        <v>6.1943113537558275E-4</v>
      </c>
      <c r="U104" s="18">
        <f>IF(Q104="","",(E104*Q104)/1000000)</f>
        <v>1428.2155644753359</v>
      </c>
      <c r="V104" s="18">
        <f>IF(R104="","",(F104*R104)/1000000)</f>
        <v>1426.9448509400002</v>
      </c>
      <c r="W104" s="19">
        <f>(IF(V104="","",V104-U104))</f>
        <v>-1.2707135353357444</v>
      </c>
      <c r="X104" s="4">
        <f>IF(W104="","",W104/U104)</f>
        <v>-8.8972110859368006E-4</v>
      </c>
      <c r="Y104" s="44"/>
      <c r="Z104" s="43"/>
      <c r="AA104" s="43"/>
      <c r="AB104" s="43"/>
      <c r="AC104" s="43"/>
      <c r="AD104" s="43"/>
      <c r="AE104" s="43"/>
      <c r="AF104" s="43"/>
    </row>
    <row r="105" spans="2:32" x14ac:dyDescent="0.35">
      <c r="B105" s="29">
        <v>46211</v>
      </c>
      <c r="C105" s="42">
        <v>93</v>
      </c>
      <c r="D105" s="30" t="s">
        <v>28</v>
      </c>
      <c r="E105" s="20">
        <v>1719.338</v>
      </c>
      <c r="F105" s="20">
        <v>1717.4670000000001</v>
      </c>
      <c r="G105" s="19">
        <f>(IF(F105="","",F105-E105))</f>
        <v>-1.8709999999998672</v>
      </c>
      <c r="H105" s="11">
        <f>IF(G105="","",G105/E105)</f>
        <v>-1.0882095318080955E-3</v>
      </c>
      <c r="I105" s="22">
        <v>4952.134</v>
      </c>
      <c r="J105" s="22">
        <v>5031</v>
      </c>
      <c r="K105" s="21">
        <f>(IF(J105="","",J105-I105))</f>
        <v>78.865999999999985</v>
      </c>
      <c r="L105" s="4">
        <f>IF(K105="","",K105/I105)</f>
        <v>1.5925659523752786E-2</v>
      </c>
      <c r="M105" s="24">
        <f>IF(I105="","",(E105*I105)/1000000)</f>
        <v>8.5143921672920015</v>
      </c>
      <c r="N105" s="24">
        <f>IF(J105="","",(F105*J105)/1000000)</f>
        <v>8.6405764769999998</v>
      </c>
      <c r="O105" s="23">
        <f>(IF(N105="","",N105-M105))</f>
        <v>0.12618430970799821</v>
      </c>
      <c r="P105" s="4">
        <f>IF(O105="","",O105/M105)</f>
        <v>1.4820119537450325E-2</v>
      </c>
      <c r="Q105" s="22">
        <v>787035.69099999999</v>
      </c>
      <c r="R105" s="22">
        <v>789347</v>
      </c>
      <c r="S105" s="21">
        <f>(IF(R105="","",R105-Q105))</f>
        <v>2311.3090000000084</v>
      </c>
      <c r="T105" s="4">
        <f>IF(S105="","",S105/Q105)</f>
        <v>2.9367270460927651E-3</v>
      </c>
      <c r="U105" s="18">
        <f>IF(Q105="","",(E105*Q105)/1000000)</f>
        <v>1353.1803708925579</v>
      </c>
      <c r="V105" s="18">
        <f>IF(R105="","",(F105*R105)/1000000)</f>
        <v>1355.6774240490001</v>
      </c>
      <c r="W105" s="19">
        <f>(IF(V105="","",V105-U105))</f>
        <v>2.4970531564422345</v>
      </c>
      <c r="X105" s="4">
        <f>IF(W105="","",W105/U105)</f>
        <v>1.8453217399208783E-3</v>
      </c>
      <c r="Y105" s="44"/>
      <c r="Z105" s="43"/>
      <c r="AA105" s="43"/>
      <c r="AB105" s="43"/>
      <c r="AC105" s="43"/>
      <c r="AD105" s="43"/>
      <c r="AE105" s="43"/>
      <c r="AF105" s="43"/>
    </row>
    <row r="106" spans="2:32" x14ac:dyDescent="0.35">
      <c r="B106" s="29">
        <v>46211</v>
      </c>
      <c r="C106" s="42">
        <v>94</v>
      </c>
      <c r="D106" s="30" t="s">
        <v>27</v>
      </c>
      <c r="E106" s="20">
        <v>1666.1510000000001</v>
      </c>
      <c r="F106" s="20">
        <v>1662.7809999999999</v>
      </c>
      <c r="G106" s="19">
        <f>(IF(F106="","",F106-E106))</f>
        <v>-3.3700000000001182</v>
      </c>
      <c r="H106" s="11">
        <f>IF(G106="","",G106/E106)</f>
        <v>-2.0226258004227217E-3</v>
      </c>
      <c r="I106" s="22">
        <v>4614.97</v>
      </c>
      <c r="J106" s="22">
        <v>4625</v>
      </c>
      <c r="K106" s="21">
        <f>(IF(J106="","",J106-I106))</f>
        <v>10.029999999999745</v>
      </c>
      <c r="L106" s="4">
        <f>IF(K106="","",K106/I106)</f>
        <v>2.1733619070112577E-3</v>
      </c>
      <c r="M106" s="24">
        <f>IF(I106="","",(E106*I106)/1000000)</f>
        <v>7.6892368804700011</v>
      </c>
      <c r="N106" s="24">
        <f>IF(J106="","",(F106*J106)/1000000)</f>
        <v>7.690362125</v>
      </c>
      <c r="O106" s="23">
        <f>(IF(N106="","",N106-M106))</f>
        <v>1.1252445299989589E-3</v>
      </c>
      <c r="P106" s="4">
        <f>IF(O106="","",O106/M106)</f>
        <v>1.4634020872175013E-4</v>
      </c>
      <c r="Q106" s="22">
        <v>779392.03899999999</v>
      </c>
      <c r="R106" s="22">
        <v>773172</v>
      </c>
      <c r="S106" s="21">
        <f>(IF(R106="","",R106-Q106))</f>
        <v>-6220.0389999999898</v>
      </c>
      <c r="T106" s="4">
        <f>IF(S106="","",S106/Q106)</f>
        <v>-7.9806293736084596E-3</v>
      </c>
      <c r="U106" s="18">
        <f>IF(Q106="","",(E106*Q106)/1000000)</f>
        <v>1298.5848251718892</v>
      </c>
      <c r="V106" s="18">
        <f>IF(R106="","",(F106*R106)/1000000)</f>
        <v>1285.615711332</v>
      </c>
      <c r="W106" s="19">
        <f>(IF(V106="","",V106-U106))</f>
        <v>-12.969113839889133</v>
      </c>
      <c r="X106" s="4">
        <f>IF(W106="","",W106/U106)</f>
        <v>-9.9871133471565524E-3</v>
      </c>
      <c r="Y106" s="44"/>
      <c r="Z106" s="43"/>
      <c r="AA106" s="43"/>
      <c r="AB106" s="43"/>
      <c r="AC106" s="43"/>
      <c r="AD106" s="43"/>
      <c r="AE106" s="43"/>
      <c r="AF106" s="43"/>
    </row>
    <row r="107" spans="2:32" x14ac:dyDescent="0.35">
      <c r="B107" s="29">
        <v>46211</v>
      </c>
      <c r="C107" s="42">
        <v>95</v>
      </c>
      <c r="D107" s="30" t="s">
        <v>26</v>
      </c>
      <c r="E107" s="20">
        <v>1620.8019999999999</v>
      </c>
      <c r="F107" s="20">
        <v>1617.3820000000001</v>
      </c>
      <c r="G107" s="19">
        <f>(IF(F107="","",F107-E107))</f>
        <v>-3.4199999999998454</v>
      </c>
      <c r="H107" s="11">
        <f>IF(G107="","",G107/E107)</f>
        <v>-2.1100664979435153E-3</v>
      </c>
      <c r="I107" s="22">
        <v>3804.087</v>
      </c>
      <c r="J107" s="22">
        <v>3845</v>
      </c>
      <c r="K107" s="21">
        <f>(IF(J107="","",J107-I107))</f>
        <v>40.913000000000011</v>
      </c>
      <c r="L107" s="4">
        <f>IF(K107="","",K107/I107)</f>
        <v>1.0755011649312966E-2</v>
      </c>
      <c r="M107" s="24">
        <f>IF(I107="","",(E107*I107)/1000000)</f>
        <v>6.1656718177739993</v>
      </c>
      <c r="N107" s="24">
        <f>IF(J107="","",(F107*J107)/1000000)</f>
        <v>6.2188337899999997</v>
      </c>
      <c r="O107" s="23">
        <f>(IF(N107="","",N107-M107))</f>
        <v>5.3161972226000387E-2</v>
      </c>
      <c r="P107" s="4">
        <f>IF(O107="","",O107/M107)</f>
        <v>8.6222513616032066E-3</v>
      </c>
      <c r="Q107" s="22">
        <v>751365.89800000004</v>
      </c>
      <c r="R107" s="22">
        <v>752702</v>
      </c>
      <c r="S107" s="21">
        <f>(IF(R107="","",R107-Q107))</f>
        <v>1336.1019999999553</v>
      </c>
      <c r="T107" s="4">
        <f>IF(S107="","",S107/Q107)</f>
        <v>1.7782308240983746E-3</v>
      </c>
      <c r="U107" s="18">
        <f>IF(Q107="","",(E107*Q107)/1000000)</f>
        <v>1217.8153502101961</v>
      </c>
      <c r="V107" s="18">
        <f>IF(R107="","",(F107*R107)/1000000)</f>
        <v>1217.4066661639999</v>
      </c>
      <c r="W107" s="19">
        <f>(IF(V107="","",V107-U107))</f>
        <v>-0.40868404619618559</v>
      </c>
      <c r="X107" s="4">
        <f>IF(W107="","",W107/U107)</f>
        <v>-3.3558785913286965E-4</v>
      </c>
      <c r="Y107" s="44"/>
      <c r="Z107" s="43"/>
      <c r="AA107" s="43"/>
      <c r="AB107" s="43"/>
      <c r="AC107" s="43"/>
      <c r="AD107" s="43"/>
      <c r="AE107" s="43"/>
      <c r="AF107" s="43"/>
    </row>
    <row r="108" spans="2:32" x14ac:dyDescent="0.35">
      <c r="B108" s="29">
        <v>46219</v>
      </c>
      <c r="C108" s="42">
        <v>96</v>
      </c>
      <c r="D108" s="30" t="s">
        <v>25</v>
      </c>
      <c r="E108" s="20">
        <v>1717.0509999999999</v>
      </c>
      <c r="F108" s="20">
        <v>1715.0060000000001</v>
      </c>
      <c r="G108" s="19">
        <f>(IF(F108="","",F108-E108))</f>
        <v>-2.0449999999998454</v>
      </c>
      <c r="H108" s="11">
        <f>IF(G108="","",G108/E108)</f>
        <v>-1.1909954916888581E-3</v>
      </c>
      <c r="I108" s="22">
        <v>4025.098</v>
      </c>
      <c r="J108" s="22">
        <v>4055</v>
      </c>
      <c r="K108" s="21">
        <f>(IF(J108="","",J108-I108))</f>
        <v>29.902000000000044</v>
      </c>
      <c r="L108" s="4">
        <f>IF(K108="","",K108/I108)</f>
        <v>7.4288874457218296E-3</v>
      </c>
      <c r="M108" s="24">
        <f>IF(I108="","",(E108*I108)/1000000)</f>
        <v>6.9112985459979992</v>
      </c>
      <c r="N108" s="24">
        <f>IF(J108="","",(F108*J108)/1000000)</f>
        <v>6.9543493300000003</v>
      </c>
      <c r="O108" s="23">
        <f>(IF(N108="","",N108-M108))</f>
        <v>4.305078400200113E-2</v>
      </c>
      <c r="P108" s="4">
        <f>IF(O108="","",O108/M108)</f>
        <v>6.2290441825769149E-3</v>
      </c>
      <c r="Q108" s="22">
        <v>811910.17799999996</v>
      </c>
      <c r="R108" s="22">
        <v>813988</v>
      </c>
      <c r="S108" s="21">
        <f>(IF(R108="","",R108-Q108))</f>
        <v>2077.8220000000438</v>
      </c>
      <c r="T108" s="4">
        <f>IF(S108="","",S108/Q108)</f>
        <v>2.5591771803112487E-3</v>
      </c>
      <c r="U108" s="18">
        <f>IF(Q108="","",(E108*Q108)/1000000)</f>
        <v>1394.0911830450777</v>
      </c>
      <c r="V108" s="18">
        <f>IF(R108="","",(F108*R108)/1000000)</f>
        <v>1395.9943039279999</v>
      </c>
      <c r="W108" s="19">
        <f>(IF(V108="","",V108-U108))</f>
        <v>1.9031208829221669</v>
      </c>
      <c r="X108" s="4">
        <f>IF(W108="","",W108/U108)</f>
        <v>1.3651337201381825E-3</v>
      </c>
      <c r="Y108" s="44"/>
      <c r="Z108" s="43"/>
      <c r="AA108" s="43"/>
      <c r="AB108" s="43"/>
      <c r="AC108" s="43"/>
      <c r="AD108" s="43"/>
      <c r="AE108" s="43"/>
      <c r="AF108" s="43"/>
    </row>
    <row r="109" spans="2:32" x14ac:dyDescent="0.35">
      <c r="B109" s="29">
        <f>16/7/2026</f>
        <v>1.1281906642222534E-3</v>
      </c>
      <c r="C109" s="42">
        <v>97</v>
      </c>
      <c r="D109" s="30" t="s">
        <v>24</v>
      </c>
      <c r="E109" s="20">
        <v>1759.482</v>
      </c>
      <c r="F109" s="20">
        <v>1758.5360000000001</v>
      </c>
      <c r="G109" s="19">
        <f>(IF(F109="","",F109-E109))</f>
        <v>-0.94599999999991269</v>
      </c>
      <c r="H109" s="11">
        <f>IF(G109="","",G109/E109)</f>
        <v>-5.3765824259635088E-4</v>
      </c>
      <c r="I109" s="22">
        <v>4232.4160000000002</v>
      </c>
      <c r="J109" s="22">
        <v>4327</v>
      </c>
      <c r="K109" s="21">
        <f>(IF(J109="","",J109-I109))</f>
        <v>94.583999999999833</v>
      </c>
      <c r="L109" s="4">
        <f>IF(K109="","",K109/I109)</f>
        <v>2.2347519714508175E-2</v>
      </c>
      <c r="M109" s="24">
        <f>IF(I109="","",(E109*I109)/1000000)</f>
        <v>7.4468597685120006</v>
      </c>
      <c r="N109" s="24">
        <f>IF(J109="","",(F109*J109)/1000000)</f>
        <v>7.6091852719999995</v>
      </c>
      <c r="O109" s="23">
        <f>(IF(N109="","",N109-M109))</f>
        <v>0.1623255034879989</v>
      </c>
      <c r="P109" s="4">
        <f>IF(O109="","",O109/M109)</f>
        <v>2.1797846143735575E-2</v>
      </c>
      <c r="Q109" s="22">
        <v>836508.80700000003</v>
      </c>
      <c r="R109" s="22">
        <v>842444</v>
      </c>
      <c r="S109" s="21">
        <f>(IF(R109="","",R109-Q109))</f>
        <v>5935.1929999999702</v>
      </c>
      <c r="T109" s="4">
        <f>IF(S109="","",S109/Q109)</f>
        <v>7.095194874618899E-3</v>
      </c>
      <c r="U109" s="18">
        <f>IF(Q109="","",(E109*Q109)/1000000)</f>
        <v>1471.8221887579739</v>
      </c>
      <c r="V109" s="18">
        <f>IF(R109="","",(F109*R109)/1000000)</f>
        <v>1481.468101984</v>
      </c>
      <c r="W109" s="19">
        <f>(IF(V109="","",V109-U109))</f>
        <v>9.6459132260260958</v>
      </c>
      <c r="X109" s="4">
        <f>IF(W109="","",W109/U109)</f>
        <v>6.5537218420154333E-3</v>
      </c>
      <c r="Y109" s="44"/>
      <c r="Z109" s="43"/>
      <c r="AA109" s="43"/>
      <c r="AB109" s="43"/>
      <c r="AC109" s="43"/>
      <c r="AD109" s="43"/>
      <c r="AE109" s="43"/>
      <c r="AF109" s="43"/>
    </row>
    <row r="110" spans="2:32" x14ac:dyDescent="0.35">
      <c r="B110" s="29">
        <v>46219</v>
      </c>
      <c r="C110" s="42">
        <v>98</v>
      </c>
      <c r="D110" s="30" t="s">
        <v>23</v>
      </c>
      <c r="E110" s="20">
        <v>1747.164</v>
      </c>
      <c r="F110" s="20">
        <v>1746.383</v>
      </c>
      <c r="G110" s="19">
        <f>(IF(F110="","",F110-E110))</f>
        <v>-0.78099999999994907</v>
      </c>
      <c r="H110" s="11">
        <f>IF(G110="","",G110/E110)</f>
        <v>-4.4701012612436444E-4</v>
      </c>
      <c r="I110" s="22">
        <v>4168.7619999999997</v>
      </c>
      <c r="J110" s="22">
        <v>4227</v>
      </c>
      <c r="K110" s="21">
        <f>(IF(J110="","",J110-I110))</f>
        <v>58.238000000000284</v>
      </c>
      <c r="L110" s="4">
        <f>IF(K110="","",K110/I110)</f>
        <v>1.3970094718767895E-2</v>
      </c>
      <c r="M110" s="24">
        <f>IF(I110="","",(E110*I110)/1000000)</f>
        <v>7.2835108909679995</v>
      </c>
      <c r="N110" s="24">
        <f>IF(J110="","",(F110*J110)/1000000)</f>
        <v>7.3819609410000009</v>
      </c>
      <c r="O110" s="23">
        <f>(IF(N110="","",N110-M110))</f>
        <v>9.8450050032001357E-2</v>
      </c>
      <c r="P110" s="4">
        <f>IF(O110="","",O110/M110)</f>
        <v>1.3516839818841414E-2</v>
      </c>
      <c r="Q110" s="22">
        <v>826718.84100000001</v>
      </c>
      <c r="R110" s="22">
        <v>843510</v>
      </c>
      <c r="S110" s="21">
        <f>(IF(R110="","",R110-Q110))</f>
        <v>16791.158999999985</v>
      </c>
      <c r="T110" s="4">
        <f>IF(S110="","",S110/Q110)</f>
        <v>2.0310604001342682E-2</v>
      </c>
      <c r="U110" s="18">
        <f>IF(Q110="","",(E110*Q110)/1000000)</f>
        <v>1444.413397116924</v>
      </c>
      <c r="V110" s="18">
        <f>IF(R110="","",(F110*R110)/1000000)</f>
        <v>1473.0915243299999</v>
      </c>
      <c r="W110" s="19">
        <f>(IF(V110="","",V110-U110))</f>
        <v>28.678127213075868</v>
      </c>
      <c r="X110" s="4">
        <f>IF(W110="","",W110/U110)</f>
        <v>1.9854514829561912E-2</v>
      </c>
      <c r="Y110" s="44"/>
      <c r="Z110" s="43"/>
      <c r="AA110" s="43"/>
      <c r="AB110" s="43"/>
      <c r="AC110" s="43"/>
      <c r="AD110" s="43"/>
      <c r="AE110" s="43"/>
      <c r="AF110" s="43"/>
    </row>
    <row r="111" spans="2:32" x14ac:dyDescent="0.35">
      <c r="B111" s="29">
        <v>46219</v>
      </c>
      <c r="C111" s="42">
        <v>99</v>
      </c>
      <c r="D111" s="30" t="s">
        <v>22</v>
      </c>
      <c r="E111" s="20">
        <v>1641.463</v>
      </c>
      <c r="F111" s="20">
        <v>1642.0360000000001</v>
      </c>
      <c r="G111" s="19">
        <f>(IF(F111="","",F111-E111))</f>
        <v>0.57300000000009277</v>
      </c>
      <c r="H111" s="11">
        <f>IF(G111="","",G111/E111)</f>
        <v>3.4907884003483039E-4</v>
      </c>
      <c r="I111" s="22">
        <v>3952.8879999999999</v>
      </c>
      <c r="J111" s="22">
        <v>4034</v>
      </c>
      <c r="K111" s="21">
        <f>(IF(J111="","",J111-I111))</f>
        <v>81.11200000000008</v>
      </c>
      <c r="L111" s="4">
        <f>IF(K111="","",K111/I111)</f>
        <v>2.051968080046793E-2</v>
      </c>
      <c r="M111" s="24">
        <f>IF(I111="","",(E111*I111)/1000000)</f>
        <v>6.4885193951439994</v>
      </c>
      <c r="N111" s="24">
        <f>IF(J111="","",(F111*J111)/1000000)</f>
        <v>6.6239732240000002</v>
      </c>
      <c r="O111" s="23">
        <f>(IF(N111="","",N111-M111))</f>
        <v>0.13545382885600077</v>
      </c>
      <c r="P111" s="4">
        <f>IF(O111="","",O111/M111)</f>
        <v>2.0875922626874516E-2</v>
      </c>
      <c r="Q111" s="22">
        <v>845429.11199999996</v>
      </c>
      <c r="R111" s="22">
        <v>847475</v>
      </c>
      <c r="S111" s="21">
        <f>(IF(R111="","",R111-Q111))</f>
        <v>2045.8880000000354</v>
      </c>
      <c r="T111" s="4">
        <f>IF(S111="","",S111/Q111)</f>
        <v>2.4199403249317436E-3</v>
      </c>
      <c r="U111" s="18">
        <f>IF(Q111="","",(E111*Q111)/1000000)</f>
        <v>1387.7406064708559</v>
      </c>
      <c r="V111" s="18">
        <f>IF(R111="","",(F111*R111)/1000000)</f>
        <v>1391.5844591000002</v>
      </c>
      <c r="W111" s="19">
        <f>(IF(V111="","",V111-U111))</f>
        <v>3.843852629144294</v>
      </c>
      <c r="X111" s="4">
        <f>IF(W111="","",W111/U111)</f>
        <v>2.7698639149282681E-3</v>
      </c>
      <c r="Y111" s="44"/>
      <c r="Z111" s="43"/>
      <c r="AA111" s="43"/>
      <c r="AB111" s="43"/>
      <c r="AC111" s="43"/>
      <c r="AD111" s="43"/>
      <c r="AE111" s="43"/>
      <c r="AF111" s="43"/>
    </row>
    <row r="112" spans="2:32" x14ac:dyDescent="0.35">
      <c r="B112" s="29">
        <v>46225</v>
      </c>
      <c r="C112" s="42">
        <v>100</v>
      </c>
      <c r="D112" s="30" t="s">
        <v>21</v>
      </c>
      <c r="E112" s="20">
        <v>1691.521</v>
      </c>
      <c r="F112" s="20">
        <v>1691.1489999999999</v>
      </c>
      <c r="G112" s="19">
        <f>(IF(F112="","",F112-E112))</f>
        <v>-0.37200000000007094</v>
      </c>
      <c r="H112" s="11">
        <f>IF(G112="","",G112/E112)</f>
        <v>-2.1992041482196849E-4</v>
      </c>
      <c r="I112" s="22">
        <v>4053.5749999999998</v>
      </c>
      <c r="J112" s="22">
        <v>4089</v>
      </c>
      <c r="K112" s="21">
        <f>(IF(J112="","",J112-I112))</f>
        <v>35.425000000000182</v>
      </c>
      <c r="L112" s="4">
        <f>IF(K112="","",K112/I112)</f>
        <v>8.7391993487230864E-3</v>
      </c>
      <c r="M112" s="24">
        <f>IF(I112="","",(E112*I112)/1000000)</f>
        <v>6.8567072375749989</v>
      </c>
      <c r="N112" s="24">
        <f>IF(J112="","",(F112*J112)/1000000)</f>
        <v>6.9151082610000003</v>
      </c>
      <c r="O112" s="23">
        <f>(IF(N112="","",N112-M112))</f>
        <v>5.8401023425001419E-2</v>
      </c>
      <c r="P112" s="4">
        <f>IF(O112="","",O112/M112)</f>
        <v>8.5173570055553406E-3</v>
      </c>
      <c r="Q112" s="22">
        <v>803389.89899999998</v>
      </c>
      <c r="R112" s="22">
        <v>803023</v>
      </c>
      <c r="S112" s="21">
        <f>(IF(R112="","",R112-Q112))</f>
        <v>-366.89899999997579</v>
      </c>
      <c r="T112" s="4">
        <f>IF(S112="","",S112/Q112)</f>
        <v>-4.5668858975780549E-4</v>
      </c>
      <c r="U112" s="18">
        <f>IF(Q112="","",(E112*Q112)/1000000)</f>
        <v>1358.950885346379</v>
      </c>
      <c r="V112" s="18">
        <f>IF(R112="","",(F112*R112)/1000000)</f>
        <v>1358.0315434269999</v>
      </c>
      <c r="W112" s="19">
        <f>(IF(V112="","",V112-U112))</f>
        <v>-0.91934191937912146</v>
      </c>
      <c r="X112" s="4">
        <f>IF(W112="","",W112/U112)</f>
        <v>-6.7650856943574761E-4</v>
      </c>
      <c r="Y112" s="44"/>
      <c r="Z112" s="43"/>
      <c r="AA112" s="43"/>
      <c r="AB112" s="43"/>
      <c r="AC112" s="43"/>
      <c r="AD112" s="43"/>
      <c r="AE112" s="43"/>
      <c r="AF112" s="43"/>
    </row>
    <row r="113" spans="2:32" x14ac:dyDescent="0.35">
      <c r="B113" s="29">
        <v>46225</v>
      </c>
      <c r="C113" s="42">
        <v>101</v>
      </c>
      <c r="D113" s="30" t="s">
        <v>20</v>
      </c>
      <c r="E113" s="20">
        <v>1686.8150000000001</v>
      </c>
      <c r="F113" s="20">
        <v>1691.9480000000001</v>
      </c>
      <c r="G113" s="19">
        <f>(IF(F113="","",F113-E113))</f>
        <v>5.1330000000000382</v>
      </c>
      <c r="H113" s="11">
        <f>IF(G113="","",G113/E113)</f>
        <v>3.0430130156537841E-3</v>
      </c>
      <c r="I113" s="22">
        <v>4032.71</v>
      </c>
      <c r="J113" s="22">
        <v>4078</v>
      </c>
      <c r="K113" s="21">
        <f>(IF(J113="","",J113-I113))</f>
        <v>45.289999999999964</v>
      </c>
      <c r="L113" s="4">
        <f>IF(K113="","",K113/I113)</f>
        <v>1.1230661267485131E-2</v>
      </c>
      <c r="M113" s="24">
        <f>IF(I113="","",(E113*I113)/1000000)</f>
        <v>6.80243571865</v>
      </c>
      <c r="N113" s="24">
        <f>IF(J113="","",(F113*J113)/1000000)</f>
        <v>6.899763944</v>
      </c>
      <c r="O113" s="23">
        <f>(IF(N113="","",N113-M113))</f>
        <v>9.7328225350000075E-2</v>
      </c>
      <c r="P113" s="4">
        <f>IF(O113="","",O113/M113)</f>
        <v>1.4307849331550269E-2</v>
      </c>
      <c r="Q113" s="22">
        <v>803781.15399999998</v>
      </c>
      <c r="R113" s="22">
        <v>807081</v>
      </c>
      <c r="S113" s="21">
        <f>(IF(R113="","",R113-Q113))</f>
        <v>3299.8460000000196</v>
      </c>
      <c r="T113" s="4">
        <f>IF(S113="","",S113/Q113)</f>
        <v>4.1054035461996156E-3</v>
      </c>
      <c r="U113" s="18">
        <f>IF(Q113="","",(E113*Q113)/1000000)</f>
        <v>1355.8301072845099</v>
      </c>
      <c r="V113" s="18">
        <f>IF(R113="","",(F113*R113)/1000000)</f>
        <v>1365.5390837880002</v>
      </c>
      <c r="W113" s="19">
        <f>(IF(V113="","",V113-U113))</f>
        <v>9.7089765034902484</v>
      </c>
      <c r="X113" s="4">
        <f>IF(W113="","",W113/U113)</f>
        <v>7.1609093582791329E-3</v>
      </c>
      <c r="Y113" s="44"/>
      <c r="Z113" s="43"/>
      <c r="AA113" s="43"/>
      <c r="AB113" s="43"/>
      <c r="AC113" s="43"/>
      <c r="AD113" s="43"/>
      <c r="AE113" s="43"/>
      <c r="AF113" s="43"/>
    </row>
    <row r="114" spans="2:32" x14ac:dyDescent="0.35">
      <c r="B114" s="29">
        <v>46225</v>
      </c>
      <c r="C114" s="42">
        <v>102</v>
      </c>
      <c r="D114" s="30" t="s">
        <v>19</v>
      </c>
      <c r="E114" s="20">
        <v>1739.2840000000001</v>
      </c>
      <c r="F114" s="20">
        <v>1740.095</v>
      </c>
      <c r="G114" s="19">
        <f>(IF(F114="","",F114-E114))</f>
        <v>0.81099999999992178</v>
      </c>
      <c r="H114" s="11">
        <f>IF(G114="","",G114/E114)</f>
        <v>4.6628382713801873E-4</v>
      </c>
      <c r="I114" s="22">
        <v>3917.1219999999998</v>
      </c>
      <c r="J114" s="22">
        <v>3945</v>
      </c>
      <c r="K114" s="21">
        <f>(IF(J114="","",J114-I114))</f>
        <v>27.878000000000156</v>
      </c>
      <c r="L114" s="4">
        <f>IF(K114="","",K114/I114)</f>
        <v>7.1169598496039072E-3</v>
      </c>
      <c r="M114" s="24">
        <f>IF(I114="","",(E114*I114)/1000000)</f>
        <v>6.8129876206480002</v>
      </c>
      <c r="N114" s="24">
        <f>IF(J114="","",(F114*J114)/1000000)</f>
        <v>6.8646747750000001</v>
      </c>
      <c r="O114" s="23">
        <f>(IF(N114="","",N114-M114))</f>
        <v>5.1687154351999887E-2</v>
      </c>
      <c r="P114" s="4">
        <f>IF(O114="","",O114/M114)</f>
        <v>7.5865622000181755E-3</v>
      </c>
      <c r="Q114" s="22">
        <v>816546.33499999996</v>
      </c>
      <c r="R114" s="22">
        <v>819228</v>
      </c>
      <c r="S114" s="21">
        <f>(IF(R114="","",R114-Q114))</f>
        <v>2681.6650000000373</v>
      </c>
      <c r="T114" s="4">
        <f>IF(S114="","",S114/Q114)</f>
        <v>3.2841553321037655E-3</v>
      </c>
      <c r="U114" s="18">
        <f>IF(Q114="","",(E114*Q114)/1000000)</f>
        <v>1420.20597572414</v>
      </c>
      <c r="V114" s="18">
        <f>IF(R114="","",(F114*R114)/1000000)</f>
        <v>1425.5345466600002</v>
      </c>
      <c r="W114" s="19">
        <f>(IF(V114="","",V114-U114))</f>
        <v>5.3285709358601707</v>
      </c>
      <c r="X114" s="4">
        <f>IF(W114="","",W114/U114)</f>
        <v>3.7519705077590725E-3</v>
      </c>
      <c r="Y114" s="44"/>
      <c r="Z114" s="43"/>
      <c r="AA114" s="43"/>
      <c r="AB114" s="43"/>
      <c r="AC114" s="43"/>
      <c r="AD114" s="43"/>
      <c r="AE114" s="43"/>
      <c r="AF114" s="43"/>
    </row>
    <row r="115" spans="2:32" x14ac:dyDescent="0.35">
      <c r="B115" s="29">
        <v>46225</v>
      </c>
      <c r="C115" s="42">
        <v>103</v>
      </c>
      <c r="D115" s="30" t="s">
        <v>18</v>
      </c>
      <c r="E115" s="20">
        <v>1696.6189999999999</v>
      </c>
      <c r="F115" s="20">
        <v>1697.6790000000001</v>
      </c>
      <c r="G115" s="19">
        <f>(IF(F115="","",F115-E115))</f>
        <v>1.0600000000001728</v>
      </c>
      <c r="H115" s="11">
        <f>IF(G115="","",G115/E115)</f>
        <v>6.2477197296515765E-4</v>
      </c>
      <c r="I115" s="22">
        <v>3805.82</v>
      </c>
      <c r="J115" s="22">
        <v>3854</v>
      </c>
      <c r="K115" s="21">
        <f>(IF(J115="","",J115-I115))</f>
        <v>48.179999999999836</v>
      </c>
      <c r="L115" s="4">
        <f>IF(K115="","",K115/I115)</f>
        <v>1.265955825551388E-2</v>
      </c>
      <c r="M115" s="24">
        <f>IF(I115="","",(E115*I115)/1000000)</f>
        <v>6.4570265225799997</v>
      </c>
      <c r="N115" s="24">
        <f>IF(J115="","",(F115*J115)/1000000)</f>
        <v>6.5428548660000008</v>
      </c>
      <c r="O115" s="23">
        <f>(IF(N115="","",N115-M115))</f>
        <v>8.5828343420001119E-2</v>
      </c>
      <c r="P115" s="4">
        <f>IF(O115="","",O115/M115)</f>
        <v>1.3292239565667316E-2</v>
      </c>
      <c r="Q115" s="22">
        <v>822072.81</v>
      </c>
      <c r="R115" s="22">
        <v>827148</v>
      </c>
      <c r="S115" s="21">
        <f>(IF(R115="","",R115-Q115))</f>
        <v>5075.1899999999441</v>
      </c>
      <c r="T115" s="4">
        <f>IF(S115="","",S115/Q115)</f>
        <v>6.1736502390827694E-3</v>
      </c>
      <c r="U115" s="18">
        <f>IF(Q115="","",(E115*Q115)/1000000)</f>
        <v>1394.74434882939</v>
      </c>
      <c r="V115" s="18">
        <f>IF(R115="","",(F115*R115)/1000000)</f>
        <v>1404.2317894920002</v>
      </c>
      <c r="W115" s="19">
        <f>(IF(V115="","",V115-U115))</f>
        <v>9.4874406626101973</v>
      </c>
      <c r="X115" s="4">
        <f>IF(W115="","",W115/U115)</f>
        <v>6.8022793356883023E-3</v>
      </c>
      <c r="Y115" s="41"/>
      <c r="Z115" s="40"/>
      <c r="AA115" s="40"/>
      <c r="AB115" s="40"/>
      <c r="AC115" s="40"/>
      <c r="AD115" s="40"/>
      <c r="AE115" s="40"/>
      <c r="AF115" s="40"/>
    </row>
    <row r="116" spans="2:32" x14ac:dyDescent="0.35">
      <c r="B116" s="29">
        <v>46234</v>
      </c>
      <c r="C116" s="39">
        <v>104</v>
      </c>
      <c r="D116" s="38" t="s">
        <v>17</v>
      </c>
      <c r="E116" s="37">
        <v>1638.8309999999999</v>
      </c>
      <c r="F116" s="37">
        <v>1642.2619999999999</v>
      </c>
      <c r="G116" s="31">
        <f>(IF(F116="","",F116-E116))</f>
        <v>3.43100000000004</v>
      </c>
      <c r="H116" s="11">
        <f>IF(G116="","",G116/E116)</f>
        <v>2.0935654744144092E-3</v>
      </c>
      <c r="I116" s="34">
        <v>4080.895</v>
      </c>
      <c r="J116" s="34">
        <v>4098</v>
      </c>
      <c r="K116" s="33">
        <f>(IF(J116="","",J116-I116))</f>
        <v>17.105000000000018</v>
      </c>
      <c r="L116" s="4">
        <f>IF(K116="","",K116/I116)</f>
        <v>4.1914825056758431E-3</v>
      </c>
      <c r="M116" s="36">
        <f>IF(I116="","",(E116*I116)/1000000)</f>
        <v>6.6878972337449998</v>
      </c>
      <c r="N116" s="36">
        <f>IF(J116="","",(F116*J116)/1000000)</f>
        <v>6.7299896759999998</v>
      </c>
      <c r="O116" s="35">
        <f>(IF(N116="","",N116-M116))</f>
        <v>4.2092442254999973E-2</v>
      </c>
      <c r="P116" s="4">
        <f>IF(O116="","",O116/M116)</f>
        <v>6.2938231231507141E-3</v>
      </c>
      <c r="Q116" s="34">
        <v>822638.93500000006</v>
      </c>
      <c r="R116" s="34">
        <v>825164</v>
      </c>
      <c r="S116" s="33">
        <f>(IF(R116="","",R116-Q116))</f>
        <v>2525.0649999999441</v>
      </c>
      <c r="T116" s="4">
        <f>IF(S116="","",S116/Q116)</f>
        <v>3.0694693535262148E-3</v>
      </c>
      <c r="U116" s="32">
        <f>IF(Q116="","",(E116*Q116)/1000000)</f>
        <v>1348.166188484985</v>
      </c>
      <c r="V116" s="32">
        <f>IF(R116="","",(F116*R116)/1000000)</f>
        <v>1355.1354809679999</v>
      </c>
      <c r="W116" s="31">
        <f>(IF(V116="","",V116-U116))</f>
        <v>6.9692924830148968</v>
      </c>
      <c r="X116" s="4">
        <f>IF(W116="","",W116/U116)</f>
        <v>5.1694609630039065E-3</v>
      </c>
      <c r="Y116" s="17"/>
      <c r="Z116" s="16"/>
      <c r="AA116" s="16"/>
      <c r="AB116" s="16"/>
      <c r="AC116" s="16"/>
      <c r="AD116" s="16"/>
      <c r="AE116" s="16"/>
      <c r="AF116" s="15"/>
    </row>
    <row r="117" spans="2:32" x14ac:dyDescent="0.35">
      <c r="B117" s="29">
        <v>46234</v>
      </c>
      <c r="C117" s="13">
        <v>105</v>
      </c>
      <c r="D117" s="30" t="s">
        <v>16</v>
      </c>
      <c r="E117" s="20">
        <v>1682.6420000000001</v>
      </c>
      <c r="F117" s="20">
        <v>1683.3130000000001</v>
      </c>
      <c r="G117" s="19">
        <f>(IF(F117="","",F117-E117))</f>
        <v>0.67100000000004911</v>
      </c>
      <c r="H117" s="11">
        <f>IF(G117="","",G117/E117)</f>
        <v>3.9877763659771308E-4</v>
      </c>
      <c r="I117" s="22">
        <v>4075.53</v>
      </c>
      <c r="J117" s="22"/>
      <c r="K117" s="21" t="str">
        <f>(IF(J117="","",J117-I117))</f>
        <v/>
      </c>
      <c r="L117" s="4" t="str">
        <f>IF(K117="","",K117/I117)</f>
        <v/>
      </c>
      <c r="M117" s="24"/>
      <c r="N117" s="24" t="str">
        <f>IF(J117="","",(F117*J117)/1000000)</f>
        <v/>
      </c>
      <c r="O117" s="23" t="str">
        <f>(IF(N117="","",N117-M117))</f>
        <v/>
      </c>
      <c r="P117" s="4" t="str">
        <f>IF(O117="","",O117/M117)</f>
        <v/>
      </c>
      <c r="Q117" s="22">
        <v>824017.74899999995</v>
      </c>
      <c r="R117" s="22"/>
      <c r="S117" s="21" t="str">
        <f>(IF(R117="","",R117-Q117))</f>
        <v/>
      </c>
      <c r="T117" s="4" t="str">
        <f>IF(S117="","",S117/Q117)</f>
        <v/>
      </c>
      <c r="U117" s="18"/>
      <c r="V117" s="18" t="str">
        <f>IF(R117="","",(F117*R117)/1000000)</f>
        <v/>
      </c>
      <c r="W117" s="19" t="str">
        <f>(IF(V117="","",V117-U117))</f>
        <v/>
      </c>
      <c r="X117" s="4" t="str">
        <f>IF(W117="","",W117/U117)</f>
        <v/>
      </c>
      <c r="Y117" s="17"/>
      <c r="Z117" s="16"/>
      <c r="AA117" s="16"/>
      <c r="AB117" s="16"/>
      <c r="AC117" s="16"/>
      <c r="AD117" s="16"/>
      <c r="AE117" s="16"/>
      <c r="AF117" s="15"/>
    </row>
    <row r="118" spans="2:32" x14ac:dyDescent="0.35">
      <c r="B118" s="29">
        <v>46234</v>
      </c>
      <c r="C118" s="13">
        <v>106</v>
      </c>
      <c r="D118" s="1" t="s">
        <v>15</v>
      </c>
      <c r="E118" s="20">
        <v>967.65300000000002</v>
      </c>
      <c r="F118" s="20">
        <v>0</v>
      </c>
      <c r="G118" s="19" t="str">
        <f>(IF(F118="","",F118-E118))</f>
        <v/>
      </c>
      <c r="H118" s="11" t="str">
        <f>IF(G118="","",G118/E118)</f>
        <v/>
      </c>
      <c r="I118" s="22">
        <v>4575.2790000000005</v>
      </c>
      <c r="J118" s="22"/>
      <c r="K118" s="21" t="str">
        <f>(IF(J118="","",J118-I118))</f>
        <v/>
      </c>
      <c r="L118" s="4" t="str">
        <f>IF(K118="","",K118/I118)</f>
        <v/>
      </c>
      <c r="M118" s="24"/>
      <c r="N118" s="24" t="str">
        <f>IF(J118="","",(F118*J118)/1000000)</f>
        <v/>
      </c>
      <c r="O118" s="23" t="str">
        <f>(IF(N118="","",N118-M118))</f>
        <v/>
      </c>
      <c r="P118" s="4" t="str">
        <f>IF(O118="","",O118/M118)</f>
        <v/>
      </c>
      <c r="Q118" s="22">
        <v>831958.25199999998</v>
      </c>
      <c r="R118" s="22"/>
      <c r="S118" s="21" t="str">
        <f>(IF(R118="","",R118-Q118))</f>
        <v/>
      </c>
      <c r="T118" s="4" t="str">
        <f>IF(S118="","",S118/Q118)</f>
        <v/>
      </c>
      <c r="U118" s="18"/>
      <c r="V118" s="18" t="str">
        <f>IF(R118="","",(F118*R118)/1000000)</f>
        <v/>
      </c>
      <c r="W118" s="19" t="str">
        <f>(IF(V118="","",V118-U118))</f>
        <v/>
      </c>
      <c r="X118" s="4" t="str">
        <f>IF(W118="","",W118/U118)</f>
        <v/>
      </c>
      <c r="Y118" s="17"/>
      <c r="Z118" s="16"/>
      <c r="AA118" s="16"/>
      <c r="AB118" s="16"/>
      <c r="AC118" s="16"/>
      <c r="AD118" s="16"/>
      <c r="AE118" s="16"/>
      <c r="AF118" s="15"/>
    </row>
    <row r="119" spans="2:32" x14ac:dyDescent="0.35">
      <c r="B119" s="28" t="s">
        <v>11</v>
      </c>
      <c r="C119" s="25">
        <v>107</v>
      </c>
      <c r="D119" s="2" t="s">
        <v>14</v>
      </c>
      <c r="E119" s="20">
        <v>1665.3489999999999</v>
      </c>
      <c r="F119" s="20">
        <v>1661.999</v>
      </c>
      <c r="G119" s="19">
        <f>(IF(F119="","",F119-E119))</f>
        <v>-3.3499999999999091</v>
      </c>
      <c r="H119" s="11">
        <f>IF(G119="","",G119/E119)</f>
        <v>-2.0115903633412032E-3</v>
      </c>
      <c r="I119" s="22">
        <v>4234.3900000000003</v>
      </c>
      <c r="J119" s="22">
        <v>4380</v>
      </c>
      <c r="K119" s="21">
        <f>(IF(J119="","",J119-I119))</f>
        <v>145.60999999999967</v>
      </c>
      <c r="L119" s="4">
        <f>IF(K119="","",K119/I119)</f>
        <v>3.4387479660588575E-2</v>
      </c>
      <c r="M119" s="24">
        <f>IF(I119="","",(E119*I119)/1000000)</f>
        <v>7.0517371521100003</v>
      </c>
      <c r="N119" s="24">
        <f>IF(J119="","",(F119*J119)/1000000)</f>
        <v>7.27955562</v>
      </c>
      <c r="O119" s="23">
        <f>(IF(N119="","",N119-M119))</f>
        <v>0.22781846788999971</v>
      </c>
      <c r="P119" s="4">
        <f>IF(O119="","",O119/M119)</f>
        <v>3.230671577454252E-2</v>
      </c>
      <c r="Q119" s="22">
        <v>843408.26599999995</v>
      </c>
      <c r="R119" s="22">
        <v>843248</v>
      </c>
      <c r="S119" s="21">
        <f>(IF(R119="","",R119-Q119))</f>
        <v>-160.26599999994505</v>
      </c>
      <c r="T119" s="4">
        <f>IF(S119="","",S119/Q119)</f>
        <v>-1.9002185117301785E-4</v>
      </c>
      <c r="U119" s="18">
        <f>IF(Q119="","",(E119*Q119)/1000000)</f>
        <v>1404.5691123748338</v>
      </c>
      <c r="V119" s="18">
        <f>IF(R119="","",(F119*R119)/1000000)</f>
        <v>1401.4773327520002</v>
      </c>
      <c r="W119" s="19">
        <f>(IF(V119="","",V119-U119))</f>
        <v>-3.0917796228336556</v>
      </c>
      <c r="X119" s="4">
        <f>IF(W119="","",W119/U119)</f>
        <v>-2.2012299683894518E-3</v>
      </c>
      <c r="Y119" s="17"/>
      <c r="Z119" s="16"/>
      <c r="AA119" s="16"/>
      <c r="AB119" s="16"/>
      <c r="AC119" s="16"/>
      <c r="AD119" s="16"/>
      <c r="AE119" s="16"/>
      <c r="AF119" s="15"/>
    </row>
    <row r="120" spans="2:32" x14ac:dyDescent="0.35">
      <c r="B120" s="26" t="s">
        <v>11</v>
      </c>
      <c r="C120" s="27">
        <v>108</v>
      </c>
      <c r="D120" s="2" t="s">
        <v>13</v>
      </c>
      <c r="E120" s="20">
        <v>1702.7090000000001</v>
      </c>
      <c r="F120" s="20">
        <v>1704.8869999999999</v>
      </c>
      <c r="G120" s="19">
        <f>(IF(F120="","",F120-E120))</f>
        <v>2.1779999999998836</v>
      </c>
      <c r="H120" s="11">
        <f>IF(G120="","",G120/E120)</f>
        <v>1.2791381263620991E-3</v>
      </c>
      <c r="I120" s="22">
        <v>4380.8620000000001</v>
      </c>
      <c r="J120" s="22">
        <v>4406</v>
      </c>
      <c r="K120" s="21">
        <f>(IF(J120="","",J120-I120))</f>
        <v>25.13799999999992</v>
      </c>
      <c r="L120" s="4">
        <f>IF(K120="","",K120/I120)</f>
        <v>5.7381401194559244E-3</v>
      </c>
      <c r="M120" s="24">
        <f>IF(I120="","",(E120*I120)/1000000)</f>
        <v>7.4593331551580002</v>
      </c>
      <c r="N120" s="24">
        <f>IF(J120="","",(F120*J120)/1000000)</f>
        <v>7.5117321219999997</v>
      </c>
      <c r="O120" s="23">
        <f>(IF(N120="","",N120-M120))</f>
        <v>5.2398966841999517E-2</v>
      </c>
      <c r="P120" s="4">
        <f>IF(O120="","",O120/M120)</f>
        <v>7.0246181196192501E-3</v>
      </c>
      <c r="Q120" s="22">
        <v>851401.25399999996</v>
      </c>
      <c r="R120" s="22">
        <v>850684</v>
      </c>
      <c r="S120" s="21">
        <f>(IF(R120="","",R120-Q120))</f>
        <v>-717.25399999995716</v>
      </c>
      <c r="T120" s="4">
        <f>IF(S120="","",S120/Q120)</f>
        <v>-8.4243944512672427E-4</v>
      </c>
      <c r="U120" s="18">
        <f>IF(Q120="","",(E120*Q120)/1000000)</f>
        <v>1449.6885777970861</v>
      </c>
      <c r="V120" s="18">
        <f>IF(R120="","",(F120*R120)/1000000)</f>
        <v>1450.3200927079999</v>
      </c>
      <c r="W120" s="19">
        <f>(IF(V120="","",V120-U120))</f>
        <v>0.63151491091389289</v>
      </c>
      <c r="X120" s="4">
        <f>IF(W120="","",W120/U120)</f>
        <v>4.3562108482190614E-4</v>
      </c>
    </row>
    <row r="121" spans="2:32" x14ac:dyDescent="0.35">
      <c r="B121" s="26" t="s">
        <v>11</v>
      </c>
      <c r="C121" s="27">
        <v>109</v>
      </c>
      <c r="D121" s="2" t="s">
        <v>12</v>
      </c>
      <c r="E121" s="20">
        <v>1738.903</v>
      </c>
      <c r="F121" s="20">
        <v>1737.325</v>
      </c>
      <c r="G121" s="19">
        <f>(IF(F121="","",F121-E121))</f>
        <v>-1.5779999999999745</v>
      </c>
      <c r="H121" s="11">
        <f>IF(G121="","",G121/E121)</f>
        <v>-9.0746867421585592E-4</v>
      </c>
      <c r="I121" s="22">
        <v>4158.3509999999997</v>
      </c>
      <c r="J121" s="22">
        <v>4194</v>
      </c>
      <c r="K121" s="21">
        <f>(IF(J121="","",J121-I121))</f>
        <v>35.649000000000342</v>
      </c>
      <c r="L121" s="4">
        <f>IF(K121="","",K121/I121)</f>
        <v>8.5728693898134978E-3</v>
      </c>
      <c r="M121" s="24">
        <f>IF(I121="","",(E121*I121)/1000000)</f>
        <v>7.2309690289529991</v>
      </c>
      <c r="N121" s="24">
        <f>IF(J121="","",(F121*J121)/1000000)</f>
        <v>7.2863410499999999</v>
      </c>
      <c r="O121" s="23">
        <f>(IF(N121="","",N121-M121))</f>
        <v>5.5372021047000786E-2</v>
      </c>
      <c r="P121" s="4">
        <f>IF(O121="","",O121/M121)</f>
        <v>7.6576211051782531E-3</v>
      </c>
      <c r="Q121" s="22">
        <v>807894.61300000001</v>
      </c>
      <c r="R121" s="22">
        <v>807651</v>
      </c>
      <c r="S121" s="21">
        <f>(IF(R121="","",R121-Q121))</f>
        <v>-243.61300000001211</v>
      </c>
      <c r="T121" s="4">
        <f>IF(S121="","",S121/Q121)</f>
        <v>-3.0154056739577754E-4</v>
      </c>
      <c r="U121" s="18">
        <f>IF(Q121="","",(E121*Q121)/1000000)</f>
        <v>1404.8503662295391</v>
      </c>
      <c r="V121" s="18">
        <f>IF(R121="","",(F121*R121)/1000000)</f>
        <v>1403.152273575</v>
      </c>
      <c r="W121" s="19">
        <f>(IF(V121="","",V121-U121))</f>
        <v>-1.6980926545390957</v>
      </c>
      <c r="X121" s="4">
        <f>IF(W121="","",W121/U121)</f>
        <v>-1.2087356029927842E-3</v>
      </c>
      <c r="Y121" s="17"/>
      <c r="Z121" s="16"/>
      <c r="AA121" s="16"/>
      <c r="AB121" s="16"/>
      <c r="AC121" s="16"/>
      <c r="AD121" s="16"/>
      <c r="AE121" s="16"/>
      <c r="AF121" s="15"/>
    </row>
    <row r="122" spans="2:32" x14ac:dyDescent="0.35">
      <c r="B122" s="26" t="s">
        <v>11</v>
      </c>
      <c r="C122" s="25">
        <v>110</v>
      </c>
      <c r="D122" s="2" t="s">
        <v>10</v>
      </c>
      <c r="E122" s="20">
        <v>1546.6590000000001</v>
      </c>
      <c r="F122" s="20">
        <v>1549.0509999999999</v>
      </c>
      <c r="G122" s="19">
        <f>(IF(F122="","",F122-E122))</f>
        <v>2.3919999999998254</v>
      </c>
      <c r="H122" s="11">
        <f>IF(G122="","",G122/E122)</f>
        <v>1.5465593902727268E-3</v>
      </c>
      <c r="I122" s="22">
        <v>3779.143</v>
      </c>
      <c r="J122" s="22">
        <v>3620</v>
      </c>
      <c r="K122" s="21">
        <f>(IF(J122="","",J122-I122))</f>
        <v>-159.14300000000003</v>
      </c>
      <c r="L122" s="4">
        <f>IF(K122="","",K122/I122)</f>
        <v>-4.2110870109969382E-2</v>
      </c>
      <c r="M122" s="24">
        <f>IF(I122="","",(E122*I122)/1000000)</f>
        <v>5.8450455332370002</v>
      </c>
      <c r="N122" s="24">
        <f>IF(J122="","",(F122*J122)/1000000)</f>
        <v>5.6075646199999998</v>
      </c>
      <c r="O122" s="23">
        <f>(IF(N122="","",N122-M122))</f>
        <v>-0.23748091323700038</v>
      </c>
      <c r="P122" s="4">
        <f>IF(O122="","",O122/M122)</f>
        <v>-4.0629437681297731E-2</v>
      </c>
      <c r="Q122" s="22">
        <v>744543.30200000003</v>
      </c>
      <c r="R122" s="22">
        <v>745132</v>
      </c>
      <c r="S122" s="21">
        <f>(IF(R122="","",R122-Q122))</f>
        <v>588.69799999997485</v>
      </c>
      <c r="T122" s="4">
        <f>IF(S122="","",S122/Q122)</f>
        <v>7.9068336041518081E-4</v>
      </c>
      <c r="U122" s="18">
        <f>IF(Q122="","",(E122*Q122)/1000000)</f>
        <v>1151.5545989280181</v>
      </c>
      <c r="V122" s="18">
        <f>IF(R122="","",(F122*R122)/1000000)</f>
        <v>1154.2474697319999</v>
      </c>
      <c r="W122" s="19">
        <f>(IF(V122="","",V122-U122))</f>
        <v>2.6928708039818048</v>
      </c>
      <c r="X122" s="4">
        <f>IF(W122="","",W122/U122)</f>
        <v>2.3384655894636672E-3</v>
      </c>
    </row>
    <row r="123" spans="2:32" x14ac:dyDescent="0.35">
      <c r="B123" s="14"/>
      <c r="C123" s="13"/>
      <c r="D123" s="2"/>
      <c r="E123" s="20"/>
      <c r="F123" s="20"/>
      <c r="G123" s="5"/>
      <c r="H123" s="11"/>
      <c r="I123" s="8"/>
      <c r="J123" s="8"/>
      <c r="K123" s="7"/>
      <c r="L123" s="4" t="str">
        <f>IF(K123="","",K123/I123)</f>
        <v/>
      </c>
      <c r="M123" s="10"/>
      <c r="N123" s="10"/>
      <c r="O123" s="9" t="str">
        <f>(IF(N123="","",N123-M123))</f>
        <v/>
      </c>
      <c r="P123" s="4" t="str">
        <f>IF(O123="","",O123/M123)</f>
        <v/>
      </c>
      <c r="Q123" s="8"/>
      <c r="R123" s="8"/>
      <c r="S123" s="7" t="str">
        <f>(IF(R123="","",R123-Q123))</f>
        <v/>
      </c>
      <c r="T123" s="4" t="str">
        <f>IF(S123="","",S123/Q123)</f>
        <v/>
      </c>
      <c r="U123" s="18"/>
      <c r="V123" s="18"/>
      <c r="W123" s="19" t="str">
        <f>(IF(V123="","",V123-U123))</f>
        <v/>
      </c>
      <c r="X123" s="4" t="str">
        <f>IF(W123="","",W123/U123)</f>
        <v/>
      </c>
    </row>
    <row r="124" spans="2:32" x14ac:dyDescent="0.35">
      <c r="B124" s="126" t="s">
        <v>0</v>
      </c>
      <c r="C124" s="13"/>
      <c r="E124" s="12"/>
      <c r="F124" s="12"/>
      <c r="G124" s="5"/>
      <c r="H124" s="11"/>
      <c r="I124" s="8"/>
      <c r="J124" s="8"/>
      <c r="K124" s="7"/>
      <c r="L124" s="4"/>
      <c r="M124" s="10"/>
      <c r="N124" s="10"/>
      <c r="O124" s="9"/>
      <c r="P124" s="4"/>
      <c r="Q124" s="8"/>
      <c r="R124" s="8"/>
      <c r="S124" s="7"/>
      <c r="T124" s="4"/>
      <c r="U124" s="18"/>
      <c r="V124" s="18"/>
      <c r="W124" s="19"/>
      <c r="X124" s="4"/>
    </row>
    <row r="125" spans="2:32" x14ac:dyDescent="0.35">
      <c r="B125" t="s">
        <v>1</v>
      </c>
      <c r="C125" s="13"/>
      <c r="E125" s="12"/>
      <c r="F125" s="12"/>
      <c r="G125" s="5"/>
      <c r="H125" s="11"/>
      <c r="I125" s="8"/>
      <c r="J125" s="8"/>
      <c r="K125" s="7"/>
      <c r="L125" s="4"/>
      <c r="M125" s="10"/>
      <c r="N125" s="10"/>
      <c r="O125" s="9"/>
      <c r="P125" s="4"/>
      <c r="Q125" s="8"/>
      <c r="R125" s="8"/>
      <c r="S125" s="7"/>
      <c r="T125" s="4"/>
      <c r="U125" s="18"/>
      <c r="V125" s="18"/>
      <c r="W125" s="5"/>
      <c r="X125" s="4"/>
    </row>
    <row r="126" spans="2:32" x14ac:dyDescent="0.35">
      <c r="B126" t="s">
        <v>9</v>
      </c>
      <c r="C126" s="13"/>
      <c r="E126" s="12"/>
      <c r="F126" s="12"/>
      <c r="G126" s="5"/>
      <c r="H126" s="11"/>
      <c r="I126" s="8"/>
      <c r="J126" s="8"/>
      <c r="K126" s="7"/>
      <c r="L126" s="4"/>
      <c r="M126" s="10"/>
      <c r="N126" s="10"/>
      <c r="O126" s="9"/>
      <c r="P126" s="4"/>
      <c r="Q126" s="8"/>
      <c r="R126" s="8"/>
      <c r="S126" s="7"/>
      <c r="T126" s="4"/>
      <c r="U126" s="6"/>
      <c r="V126" s="6"/>
      <c r="W126" s="5"/>
      <c r="X126" s="4"/>
    </row>
    <row r="127" spans="2:32" x14ac:dyDescent="0.35">
      <c r="B127" s="127" t="s">
        <v>226</v>
      </c>
      <c r="C127" s="13"/>
      <c r="E127" s="12"/>
      <c r="F127" s="12"/>
      <c r="G127" s="5"/>
      <c r="H127" s="11"/>
      <c r="I127" s="8"/>
      <c r="J127" s="8"/>
      <c r="K127" s="7"/>
      <c r="L127" s="4"/>
      <c r="M127" s="10"/>
      <c r="N127" s="10"/>
      <c r="O127" s="9"/>
      <c r="P127" s="4"/>
      <c r="Q127" s="8"/>
      <c r="R127" s="8"/>
      <c r="S127" s="7"/>
      <c r="T127" s="4"/>
      <c r="U127" s="6"/>
      <c r="V127" s="6"/>
      <c r="W127" s="5"/>
      <c r="X127" s="4"/>
      <c r="Y127" s="17"/>
      <c r="Z127" s="16"/>
      <c r="AA127" s="16"/>
      <c r="AB127" s="16"/>
      <c r="AC127" s="16"/>
      <c r="AD127" s="16"/>
      <c r="AE127" s="16"/>
      <c r="AF127" s="15"/>
    </row>
    <row r="128" spans="2:32" x14ac:dyDescent="0.35">
      <c r="B128" t="s">
        <v>3</v>
      </c>
      <c r="C128" s="13"/>
      <c r="E128" s="12"/>
      <c r="F128" s="12"/>
      <c r="G128" s="5"/>
      <c r="H128" s="11"/>
      <c r="I128" s="8"/>
      <c r="J128" s="8"/>
      <c r="K128" s="7"/>
      <c r="L128" s="4"/>
      <c r="M128" s="10"/>
      <c r="N128" s="10"/>
      <c r="O128" s="9"/>
      <c r="P128" s="4"/>
      <c r="Q128" s="8"/>
      <c r="R128" s="8"/>
      <c r="S128" s="7"/>
      <c r="T128" s="4"/>
      <c r="U128" s="6"/>
      <c r="V128" s="6"/>
      <c r="W128" s="5"/>
      <c r="X128" s="4"/>
      <c r="Y128" s="17"/>
      <c r="Z128" s="16"/>
      <c r="AA128" s="16"/>
      <c r="AB128" s="16"/>
      <c r="AC128" s="16"/>
      <c r="AD128" s="16"/>
      <c r="AE128" s="16"/>
      <c r="AF128" s="15"/>
    </row>
    <row r="129" spans="2:32" x14ac:dyDescent="0.35">
      <c r="B129" t="s">
        <v>4</v>
      </c>
      <c r="C129" s="13"/>
      <c r="E129" s="12"/>
      <c r="F129" s="12"/>
      <c r="G129" s="5"/>
      <c r="H129" s="11"/>
      <c r="I129" s="8"/>
      <c r="J129" s="8"/>
      <c r="K129" s="7"/>
      <c r="L129" s="4"/>
      <c r="M129" s="10"/>
      <c r="N129" s="10"/>
      <c r="O129" s="9"/>
      <c r="P129" s="4"/>
      <c r="Q129" s="8"/>
      <c r="R129" s="8"/>
      <c r="S129" s="7"/>
      <c r="T129" s="4"/>
      <c r="U129" s="6"/>
      <c r="V129" s="6"/>
      <c r="W129" s="5"/>
      <c r="X129" s="4"/>
      <c r="Y129" s="17"/>
      <c r="Z129" s="16"/>
      <c r="AA129" s="16"/>
      <c r="AB129" s="16"/>
      <c r="AC129" s="16"/>
      <c r="AD129" s="16"/>
      <c r="AE129" s="16"/>
      <c r="AF129" s="15"/>
    </row>
    <row r="130" spans="2:32" x14ac:dyDescent="0.35">
      <c r="B130" t="s">
        <v>5</v>
      </c>
      <c r="C130" s="13"/>
      <c r="E130" s="12"/>
      <c r="F130" s="12"/>
      <c r="G130" s="5"/>
      <c r="H130" s="11"/>
      <c r="I130" s="8"/>
      <c r="J130" s="8"/>
      <c r="K130" s="7"/>
      <c r="L130" s="4"/>
      <c r="M130" s="10"/>
      <c r="N130" s="10"/>
      <c r="O130" s="9"/>
      <c r="P130" s="4"/>
      <c r="Q130" s="8"/>
      <c r="R130" s="8"/>
      <c r="S130" s="7"/>
      <c r="T130" s="4"/>
      <c r="U130" s="6"/>
      <c r="V130" s="6"/>
      <c r="W130" s="5"/>
      <c r="X130" s="4"/>
    </row>
    <row r="131" spans="2:32" x14ac:dyDescent="0.35">
      <c r="B131" t="s">
        <v>6</v>
      </c>
      <c r="C131" s="13"/>
      <c r="E131" s="12"/>
      <c r="F131" s="12"/>
      <c r="G131" s="5"/>
      <c r="H131" s="11"/>
      <c r="I131" s="8"/>
      <c r="J131" s="8"/>
      <c r="K131" s="7"/>
      <c r="L131" s="4"/>
      <c r="M131" s="10"/>
      <c r="N131" s="10"/>
      <c r="O131" s="9"/>
      <c r="P131" s="4"/>
      <c r="Q131" s="8"/>
      <c r="R131" s="8"/>
      <c r="S131" s="7"/>
      <c r="T131" s="4"/>
      <c r="U131" s="6"/>
      <c r="V131" s="6"/>
      <c r="W131" s="5"/>
      <c r="X131" s="4"/>
    </row>
    <row r="132" spans="2:32" x14ac:dyDescent="0.35">
      <c r="B132" t="s">
        <v>7</v>
      </c>
      <c r="C132" s="13"/>
      <c r="E132" s="12"/>
      <c r="F132" s="12"/>
      <c r="G132" s="5"/>
      <c r="H132" s="11"/>
      <c r="I132" s="8"/>
      <c r="J132" s="8"/>
      <c r="K132" s="7"/>
      <c r="L132" s="4"/>
      <c r="M132" s="10"/>
      <c r="N132" s="10"/>
      <c r="O132" s="9"/>
      <c r="P132" s="4"/>
      <c r="Q132" s="8"/>
      <c r="R132" s="8"/>
      <c r="S132" s="7"/>
      <c r="T132" s="4"/>
      <c r="U132" s="6"/>
      <c r="V132" s="6"/>
      <c r="W132" s="5"/>
      <c r="X132" s="4"/>
    </row>
    <row r="133" spans="2:32" x14ac:dyDescent="0.35">
      <c r="B133" t="s">
        <v>8</v>
      </c>
      <c r="C133" s="13"/>
      <c r="E133" s="12"/>
      <c r="F133" s="12"/>
      <c r="G133" s="5"/>
      <c r="H133" s="11"/>
      <c r="I133" s="8"/>
      <c r="J133" s="8"/>
      <c r="K133" s="7"/>
      <c r="L133" s="4"/>
      <c r="M133" s="10"/>
      <c r="N133" s="10"/>
      <c r="O133" s="9"/>
      <c r="P133" s="4"/>
      <c r="Q133" s="8"/>
      <c r="R133" s="8"/>
      <c r="S133" s="7"/>
      <c r="T133" s="4"/>
      <c r="U133" s="6"/>
      <c r="V133" s="6"/>
      <c r="W133" s="5"/>
      <c r="X133" s="4"/>
    </row>
    <row r="134" spans="2:32" x14ac:dyDescent="0.35">
      <c r="B134" s="14"/>
      <c r="C134" s="13"/>
      <c r="E134" s="12"/>
      <c r="F134" s="12"/>
      <c r="G134" s="5"/>
      <c r="H134" s="11"/>
      <c r="I134" s="8"/>
      <c r="J134" s="8"/>
      <c r="K134" s="7"/>
      <c r="L134" s="4"/>
      <c r="M134" s="10"/>
      <c r="N134" s="10"/>
      <c r="O134" s="9"/>
      <c r="P134" s="4"/>
      <c r="Q134" s="8"/>
      <c r="R134" s="8"/>
      <c r="S134" s="7"/>
      <c r="T134" s="4"/>
      <c r="U134" s="6"/>
      <c r="V134" s="6"/>
      <c r="W134" s="5"/>
      <c r="X134" s="4"/>
    </row>
    <row r="135" spans="2:32" x14ac:dyDescent="0.35">
      <c r="B135" s="14"/>
      <c r="C135" s="13"/>
      <c r="E135" s="12"/>
      <c r="F135" s="12"/>
      <c r="G135" s="5"/>
      <c r="H135" s="11"/>
      <c r="I135" s="8"/>
      <c r="J135" s="8"/>
      <c r="K135" s="7"/>
      <c r="L135" s="4"/>
      <c r="M135" s="10"/>
      <c r="N135" s="10"/>
      <c r="O135" s="9"/>
      <c r="P135" s="4"/>
      <c r="Q135" s="8"/>
      <c r="R135" s="8"/>
      <c r="S135" s="7"/>
      <c r="T135" s="4"/>
      <c r="U135" s="6"/>
      <c r="V135" s="6"/>
      <c r="W135" s="5"/>
      <c r="X135" s="4"/>
    </row>
    <row r="136" spans="2:32" x14ac:dyDescent="0.35">
      <c r="B136" s="14"/>
      <c r="C136" s="13"/>
      <c r="E136" s="12"/>
      <c r="F136" s="12"/>
      <c r="G136" s="5"/>
      <c r="H136" s="11"/>
      <c r="I136" s="8"/>
      <c r="J136" s="8"/>
      <c r="K136" s="7"/>
      <c r="L136" s="4"/>
      <c r="M136" s="10"/>
      <c r="N136" s="10"/>
      <c r="O136" s="9"/>
      <c r="P136" s="4"/>
      <c r="Q136" s="8"/>
      <c r="R136" s="8"/>
      <c r="S136" s="7"/>
      <c r="T136" s="4"/>
      <c r="U136" s="6"/>
      <c r="V136" s="6"/>
      <c r="W136" s="5"/>
      <c r="X136" s="4"/>
    </row>
    <row r="137" spans="2:32" x14ac:dyDescent="0.35">
      <c r="B137" s="14"/>
      <c r="C137" s="13"/>
      <c r="E137" s="12"/>
      <c r="F137" s="12"/>
      <c r="G137" s="5"/>
      <c r="H137" s="11"/>
      <c r="I137" s="8"/>
      <c r="J137" s="8"/>
      <c r="K137" s="7"/>
      <c r="L137" s="4"/>
      <c r="M137" s="10"/>
      <c r="N137" s="10"/>
      <c r="O137" s="9"/>
      <c r="P137" s="4"/>
      <c r="Q137" s="8"/>
      <c r="R137" s="8"/>
      <c r="S137" s="7"/>
      <c r="T137" s="4"/>
      <c r="U137" s="6"/>
      <c r="V137" s="6"/>
      <c r="W137" s="5"/>
      <c r="X137" s="4"/>
    </row>
    <row r="138" spans="2:32" x14ac:dyDescent="0.35">
      <c r="B138" s="14"/>
      <c r="C138" s="13"/>
      <c r="E138" s="12"/>
      <c r="F138" s="12"/>
      <c r="G138" s="5"/>
      <c r="H138" s="11"/>
      <c r="I138" s="8"/>
      <c r="J138" s="8"/>
      <c r="K138" s="7"/>
      <c r="L138" s="4"/>
      <c r="M138" s="10"/>
      <c r="N138" s="10"/>
      <c r="O138" s="9"/>
      <c r="P138" s="4"/>
      <c r="Q138" s="8"/>
      <c r="R138" s="8"/>
      <c r="S138" s="7"/>
      <c r="T138" s="4"/>
      <c r="U138" s="6"/>
      <c r="V138" s="6"/>
      <c r="W138" s="5"/>
      <c r="X138" s="4"/>
    </row>
    <row r="139" spans="2:32" x14ac:dyDescent="0.35">
      <c r="B139" s="14"/>
      <c r="C139" s="13"/>
      <c r="E139" s="12"/>
      <c r="F139" s="12"/>
      <c r="G139" s="5"/>
      <c r="H139" s="11"/>
      <c r="I139" s="8"/>
      <c r="J139" s="8"/>
      <c r="K139" s="7"/>
      <c r="L139" s="4"/>
      <c r="M139" s="10"/>
      <c r="N139" s="10"/>
      <c r="O139" s="9"/>
      <c r="P139" s="4"/>
      <c r="Q139" s="8"/>
      <c r="R139" s="8"/>
      <c r="S139" s="7"/>
      <c r="T139" s="4"/>
      <c r="U139" s="6"/>
      <c r="V139" s="6"/>
      <c r="W139" s="5"/>
      <c r="X139" s="4"/>
    </row>
    <row r="140" spans="2:32" x14ac:dyDescent="0.35">
      <c r="B140" s="14"/>
      <c r="C140" s="13"/>
      <c r="E140" s="12"/>
      <c r="F140" s="12"/>
      <c r="G140" s="5"/>
      <c r="H140" s="11"/>
      <c r="I140" s="8"/>
      <c r="J140" s="8"/>
      <c r="K140" s="7"/>
      <c r="L140" s="4"/>
      <c r="M140" s="10"/>
      <c r="N140" s="10"/>
      <c r="O140" s="9"/>
      <c r="P140" s="4"/>
      <c r="Q140" s="8"/>
      <c r="R140" s="8"/>
      <c r="S140" s="7"/>
      <c r="T140" s="4"/>
      <c r="U140" s="6"/>
      <c r="V140" s="6"/>
      <c r="W140" s="5"/>
      <c r="X140" s="4"/>
    </row>
    <row r="141" spans="2:32" x14ac:dyDescent="0.35">
      <c r="B141" s="14"/>
      <c r="C141" s="13"/>
      <c r="E141" s="12"/>
      <c r="F141" s="12"/>
      <c r="G141" s="5"/>
      <c r="H141" s="11"/>
      <c r="I141" s="8"/>
      <c r="J141" s="8"/>
      <c r="K141" s="7"/>
      <c r="L141" s="4"/>
      <c r="M141" s="10"/>
      <c r="N141" s="10"/>
      <c r="O141" s="9"/>
      <c r="P141" s="4"/>
      <c r="Q141" s="8"/>
      <c r="R141" s="8"/>
      <c r="S141" s="7"/>
      <c r="T141" s="4"/>
      <c r="U141" s="6"/>
      <c r="V141" s="6"/>
      <c r="W141" s="5"/>
      <c r="X141" s="4"/>
    </row>
    <row r="142" spans="2:32" x14ac:dyDescent="0.35">
      <c r="B142" s="14"/>
      <c r="C142" s="13"/>
      <c r="E142" s="12"/>
      <c r="F142" s="12"/>
      <c r="G142" s="5"/>
      <c r="H142" s="11"/>
      <c r="I142" s="8"/>
      <c r="J142" s="8"/>
      <c r="K142" s="7"/>
      <c r="L142" s="4"/>
      <c r="M142" s="10"/>
      <c r="N142" s="10"/>
      <c r="O142" s="9"/>
      <c r="P142" s="4"/>
      <c r="Q142" s="8"/>
      <c r="R142" s="8"/>
      <c r="S142" s="7"/>
      <c r="T142" s="4"/>
      <c r="U142" s="6"/>
      <c r="V142" s="6"/>
      <c r="W142" s="5"/>
      <c r="X142" s="4"/>
    </row>
    <row r="143" spans="2:32" x14ac:dyDescent="0.35">
      <c r="B143" s="14"/>
      <c r="C143" s="13"/>
      <c r="E143" s="12"/>
      <c r="F143" s="12"/>
      <c r="G143" s="5"/>
      <c r="H143" s="11"/>
      <c r="I143" s="8"/>
      <c r="J143" s="8"/>
      <c r="K143" s="7" t="str">
        <f>(IF(J143="","",J143-I143))</f>
        <v/>
      </c>
      <c r="L143" s="4" t="str">
        <f>IF(K143="","",K143/I143)</f>
        <v/>
      </c>
      <c r="M143" s="10"/>
      <c r="N143" s="10"/>
      <c r="O143" s="9" t="str">
        <f>(IF(N143="","",N143-M143))</f>
        <v/>
      </c>
      <c r="P143" s="4" t="str">
        <f>IF(O143="","",O143/M143)</f>
        <v/>
      </c>
      <c r="Q143" s="8"/>
      <c r="R143" s="8"/>
      <c r="S143" s="7" t="str">
        <f>(IF(R143="","",R143-Q143))</f>
        <v/>
      </c>
      <c r="T143" s="4" t="str">
        <f>IF(S143="","",S143/Q143)</f>
        <v/>
      </c>
      <c r="U143" s="6"/>
      <c r="V143" s="6"/>
      <c r="W143" s="5" t="str">
        <f>(IF(V143="","",V143-U143))</f>
        <v/>
      </c>
      <c r="X143" s="4" t="str">
        <f>IF(W143="","",W143/U143)</f>
        <v/>
      </c>
    </row>
    <row r="144" spans="2:32" x14ac:dyDescent="0.35">
      <c r="B144" s="14"/>
      <c r="C144" s="13"/>
      <c r="E144" s="12"/>
      <c r="F144" s="12"/>
      <c r="G144" s="5"/>
      <c r="H144" s="11"/>
      <c r="I144" s="8"/>
      <c r="J144" s="8"/>
      <c r="K144" s="7" t="str">
        <f>(IF(J144="","",J144-I144))</f>
        <v/>
      </c>
      <c r="L144" s="4" t="str">
        <f>IF(K144="","",K144/I144)</f>
        <v/>
      </c>
      <c r="M144" s="10"/>
      <c r="N144" s="10"/>
      <c r="O144" s="9" t="str">
        <f>(IF(N144="","",N144-M144))</f>
        <v/>
      </c>
      <c r="P144" s="4" t="str">
        <f>IF(O144="","",O144/M144)</f>
        <v/>
      </c>
      <c r="Q144" s="8"/>
      <c r="R144" s="8"/>
      <c r="S144" s="7" t="str">
        <f>(IF(R144="","",R144-Q144))</f>
        <v/>
      </c>
      <c r="T144" s="4" t="str">
        <f>IF(S144="","",S144/Q144)</f>
        <v/>
      </c>
      <c r="U144" s="6"/>
      <c r="V144" s="6"/>
      <c r="W144" s="5" t="str">
        <f>(IF(V144="","",V144-U144))</f>
        <v/>
      </c>
      <c r="X144" s="4" t="str">
        <f>IF(W144="","",W144/U144)</f>
        <v/>
      </c>
    </row>
    <row r="145" spans="2:32" x14ac:dyDescent="0.35">
      <c r="B145" s="14"/>
      <c r="C145" s="13"/>
      <c r="E145" s="12"/>
      <c r="F145" s="12"/>
      <c r="G145" s="5"/>
      <c r="H145" s="11"/>
      <c r="I145" s="8"/>
      <c r="J145" s="8"/>
      <c r="K145" s="7" t="str">
        <f>(IF(J145="","",J145-I145))</f>
        <v/>
      </c>
      <c r="L145" s="4" t="str">
        <f>IF(K145="","",K145/I145)</f>
        <v/>
      </c>
      <c r="M145" s="10"/>
      <c r="N145" s="10"/>
      <c r="O145" s="9" t="str">
        <f>(IF(N145="","",N145-M145))</f>
        <v/>
      </c>
      <c r="P145" s="4" t="str">
        <f>IF(O145="","",O145/M145)</f>
        <v/>
      </c>
      <c r="Q145" s="8"/>
      <c r="R145" s="8"/>
      <c r="S145" s="7" t="str">
        <f>(IF(R145="","",R145-Q145))</f>
        <v/>
      </c>
      <c r="T145" s="4" t="str">
        <f>IF(S145="","",S145/Q145)</f>
        <v/>
      </c>
      <c r="U145" s="6"/>
      <c r="V145" s="6"/>
      <c r="W145" s="5" t="str">
        <f>(IF(V145="","",V145-U145))</f>
        <v/>
      </c>
      <c r="X145" s="4" t="str">
        <f>IF(W145="","",W145/U145)</f>
        <v/>
      </c>
    </row>
    <row r="146" spans="2:32" x14ac:dyDescent="0.35">
      <c r="B146" s="14"/>
      <c r="C146" s="13"/>
      <c r="E146" s="12"/>
      <c r="F146" s="12"/>
      <c r="G146" s="5"/>
      <c r="H146" s="11"/>
      <c r="I146" s="8"/>
      <c r="J146" s="8"/>
      <c r="K146" s="7" t="str">
        <f>(IF(J146="","",J146-I146))</f>
        <v/>
      </c>
      <c r="L146" s="4" t="str">
        <f>IF(K146="","",K146/I146)</f>
        <v/>
      </c>
      <c r="M146" s="10"/>
      <c r="N146" s="10"/>
      <c r="O146" s="9" t="str">
        <f>(IF(N146="","",N146-M146))</f>
        <v/>
      </c>
      <c r="P146" s="4" t="str">
        <f>IF(O146="","",O146/M146)</f>
        <v/>
      </c>
      <c r="Q146" s="8"/>
      <c r="R146" s="8"/>
      <c r="S146" s="7" t="str">
        <f>(IF(R146="","",R146-Q146))</f>
        <v/>
      </c>
      <c r="T146" s="4" t="str">
        <f>IF(S146="","",S146/Q146)</f>
        <v/>
      </c>
      <c r="U146" s="6"/>
      <c r="V146" s="6"/>
      <c r="W146" s="5" t="str">
        <f>(IF(V146="","",V146-U146))</f>
        <v/>
      </c>
      <c r="X146" s="4" t="str">
        <f>IF(W146="","",W146/U146)</f>
        <v/>
      </c>
    </row>
    <row r="147" spans="2:32" x14ac:dyDescent="0.35">
      <c r="B147" s="14"/>
      <c r="C147" s="13"/>
      <c r="E147" s="12"/>
      <c r="F147" s="12"/>
      <c r="G147" s="5"/>
      <c r="H147" s="11"/>
      <c r="I147" s="8"/>
      <c r="J147" s="8"/>
      <c r="K147" s="7" t="str">
        <f>(IF(J147="","",J147-I147))</f>
        <v/>
      </c>
      <c r="L147" s="4" t="str">
        <f>IF(K147="","",K147/I147)</f>
        <v/>
      </c>
      <c r="M147" s="10"/>
      <c r="N147" s="10"/>
      <c r="O147" s="9" t="str">
        <f>(IF(N147="","",N147-M147))</f>
        <v/>
      </c>
      <c r="P147" s="4" t="str">
        <f>IF(O147="","",O147/M147)</f>
        <v/>
      </c>
      <c r="Q147" s="8"/>
      <c r="R147" s="8"/>
      <c r="S147" s="7" t="str">
        <f>(IF(R147="","",R147-Q147))</f>
        <v/>
      </c>
      <c r="T147" s="4" t="str">
        <f>IF(S147="","",S147/Q147)</f>
        <v/>
      </c>
      <c r="U147" s="6"/>
      <c r="V147" s="6"/>
      <c r="W147" s="5" t="str">
        <f>(IF(V147="","",V147-U147))</f>
        <v/>
      </c>
      <c r="X147" s="4" t="str">
        <f>IF(W147="","",W147/U147)</f>
        <v/>
      </c>
    </row>
    <row r="148" spans="2:32" x14ac:dyDescent="0.35">
      <c r="B148" s="14"/>
      <c r="C148" s="13"/>
      <c r="E148" s="12"/>
      <c r="F148" s="12"/>
      <c r="G148" s="5"/>
      <c r="H148" s="11"/>
      <c r="I148" s="8"/>
      <c r="J148" s="8"/>
      <c r="K148" s="7" t="str">
        <f>(IF(J148="","",J148-I148))</f>
        <v/>
      </c>
      <c r="L148" s="4" t="str">
        <f>IF(K148="","",K148/I148)</f>
        <v/>
      </c>
      <c r="M148" s="10"/>
      <c r="N148" s="10"/>
      <c r="O148" s="9" t="str">
        <f>(IF(N148="","",N148-M148))</f>
        <v/>
      </c>
      <c r="P148" s="4" t="str">
        <f>IF(O148="","",O148/M148)</f>
        <v/>
      </c>
      <c r="Q148" s="8"/>
      <c r="R148" s="8"/>
      <c r="S148" s="7" t="str">
        <f>(IF(R148="","",R148-Q148))</f>
        <v/>
      </c>
      <c r="T148" s="4" t="str">
        <f>IF(S148="","",S148/Q148)</f>
        <v/>
      </c>
      <c r="U148" s="6"/>
      <c r="V148" s="6"/>
      <c r="W148" s="5" t="str">
        <f>(IF(V148="","",V148-U148))</f>
        <v/>
      </c>
      <c r="X148" s="4" t="str">
        <f>IF(W148="","",W148/U148)</f>
        <v/>
      </c>
    </row>
    <row r="149" spans="2:32" x14ac:dyDescent="0.35">
      <c r="B149" s="14"/>
      <c r="C149" s="13"/>
      <c r="E149" s="12"/>
      <c r="F149" s="12"/>
      <c r="G149" s="5"/>
      <c r="H149" s="11"/>
      <c r="I149" s="8"/>
      <c r="J149" s="8"/>
      <c r="K149" s="7"/>
      <c r="L149" s="4"/>
      <c r="M149" s="10"/>
      <c r="N149" s="10"/>
      <c r="O149" s="9"/>
      <c r="P149" s="4"/>
      <c r="Q149" s="8"/>
      <c r="R149" s="8"/>
      <c r="S149" s="7"/>
      <c r="T149" s="4"/>
      <c r="U149" s="6"/>
      <c r="V149" s="6"/>
      <c r="W149" s="5"/>
      <c r="X149" s="4"/>
    </row>
    <row r="150" spans="2:32" x14ac:dyDescent="0.35">
      <c r="B150" s="14"/>
      <c r="C150" s="13"/>
      <c r="E150" s="12"/>
      <c r="F150" s="12"/>
      <c r="G150" s="5"/>
      <c r="H150" s="11"/>
      <c r="I150" s="8"/>
      <c r="J150" s="8"/>
      <c r="K150" s="7"/>
      <c r="L150" s="4"/>
      <c r="M150" s="10"/>
      <c r="N150" s="10"/>
      <c r="O150" s="9"/>
      <c r="P150" s="4"/>
      <c r="Q150" s="8"/>
      <c r="R150" s="8"/>
      <c r="S150" s="7"/>
      <c r="T150" s="4"/>
      <c r="U150" s="6"/>
      <c r="V150" s="6"/>
      <c r="W150" s="5"/>
      <c r="X150" s="4"/>
      <c r="Y150" s="17"/>
      <c r="Z150" s="16"/>
      <c r="AA150" s="16"/>
      <c r="AB150" s="16"/>
      <c r="AC150" s="16"/>
      <c r="AD150" s="16"/>
      <c r="AE150" s="16"/>
      <c r="AF150" s="15"/>
    </row>
    <row r="151" spans="2:32" x14ac:dyDescent="0.35">
      <c r="B151" s="14"/>
      <c r="C151" s="13"/>
      <c r="E151" s="12"/>
      <c r="F151" s="12"/>
      <c r="G151" s="5"/>
      <c r="H151" s="11"/>
      <c r="I151" s="8"/>
      <c r="J151" s="8"/>
      <c r="K151" s="7"/>
      <c r="L151" s="4"/>
      <c r="M151" s="10"/>
      <c r="N151" s="10"/>
      <c r="O151" s="9"/>
      <c r="P151" s="4"/>
      <c r="Q151" s="8"/>
      <c r="R151" s="8"/>
      <c r="S151" s="7"/>
      <c r="T151" s="4"/>
      <c r="U151" s="6"/>
      <c r="V151" s="6"/>
      <c r="W151" s="5"/>
      <c r="X151" s="4"/>
    </row>
    <row r="152" spans="2:32" x14ac:dyDescent="0.35">
      <c r="B152" s="14"/>
      <c r="C152" s="13"/>
      <c r="E152" s="12"/>
      <c r="F152" s="12"/>
      <c r="G152" s="5"/>
      <c r="H152" s="11"/>
      <c r="I152" s="8"/>
      <c r="J152" s="8"/>
      <c r="K152" s="7"/>
      <c r="L152" s="4"/>
      <c r="M152" s="10"/>
      <c r="N152" s="10"/>
      <c r="O152" s="9"/>
      <c r="P152" s="4"/>
      <c r="Q152" s="8"/>
      <c r="R152" s="8"/>
      <c r="S152" s="7"/>
      <c r="T152" s="4"/>
      <c r="U152" s="6"/>
      <c r="V152" s="6"/>
      <c r="W152" s="5"/>
      <c r="X152" s="4"/>
    </row>
    <row r="153" spans="2:32" x14ac:dyDescent="0.35">
      <c r="B153" s="14"/>
      <c r="C153" s="13"/>
      <c r="E153" s="12"/>
      <c r="F153" s="12"/>
      <c r="G153" s="5"/>
      <c r="H153" s="11"/>
      <c r="I153" s="8"/>
      <c r="J153" s="8"/>
      <c r="K153" s="7"/>
      <c r="L153" s="4"/>
      <c r="M153" s="10"/>
      <c r="N153" s="10"/>
      <c r="O153" s="9"/>
      <c r="P153" s="4"/>
      <c r="Q153" s="8"/>
      <c r="R153" s="8"/>
      <c r="S153" s="7"/>
      <c r="T153" s="4"/>
      <c r="U153" s="6"/>
      <c r="V153" s="6"/>
      <c r="W153" s="5"/>
      <c r="X153" s="4"/>
    </row>
    <row r="154" spans="2:32" x14ac:dyDescent="0.35">
      <c r="B154" s="14"/>
      <c r="C154" s="13"/>
      <c r="E154" s="12"/>
      <c r="F154" s="12"/>
      <c r="G154" s="5"/>
      <c r="H154" s="11"/>
      <c r="I154" s="8"/>
      <c r="J154" s="8"/>
      <c r="K154" s="7"/>
      <c r="L154" s="4"/>
      <c r="M154" s="10"/>
      <c r="N154" s="10"/>
      <c r="O154" s="9"/>
      <c r="P154" s="4"/>
      <c r="Q154" s="8"/>
      <c r="R154" s="8"/>
      <c r="S154" s="7"/>
      <c r="T154" s="4"/>
      <c r="U154" s="6"/>
      <c r="V154" s="6"/>
      <c r="W154" s="5"/>
      <c r="X154" s="4"/>
    </row>
    <row r="155" spans="2:32" x14ac:dyDescent="0.35">
      <c r="B155" s="14"/>
      <c r="C155" s="13"/>
      <c r="E155" s="12"/>
      <c r="F155" s="12"/>
      <c r="G155" s="5"/>
      <c r="H155" s="11"/>
      <c r="I155" s="8"/>
      <c r="J155" s="8"/>
      <c r="K155" s="7"/>
      <c r="L155" s="4"/>
      <c r="M155" s="10"/>
      <c r="N155" s="10"/>
      <c r="O155" s="9"/>
      <c r="P155" s="4"/>
      <c r="Q155" s="8"/>
      <c r="R155" s="8"/>
      <c r="S155" s="7"/>
      <c r="T155" s="4"/>
      <c r="U155" s="6"/>
      <c r="V155" s="6"/>
      <c r="W155" s="5"/>
      <c r="X155" s="4"/>
    </row>
    <row r="156" spans="2:32" x14ac:dyDescent="0.35">
      <c r="B156" s="14"/>
      <c r="C156" s="13"/>
      <c r="E156" s="12"/>
      <c r="F156" s="12"/>
      <c r="G156" s="5"/>
      <c r="H156" s="11"/>
      <c r="I156" s="8"/>
      <c r="J156" s="8"/>
      <c r="K156" s="7"/>
      <c r="L156" s="4"/>
      <c r="M156" s="10"/>
      <c r="N156" s="10"/>
      <c r="O156" s="9"/>
      <c r="P156" s="4"/>
      <c r="Q156" s="8"/>
      <c r="R156" s="8"/>
      <c r="S156" s="7"/>
      <c r="T156" s="4"/>
      <c r="U156" s="6"/>
      <c r="V156" s="6"/>
      <c r="W156" s="5"/>
      <c r="X156" s="4"/>
      <c r="Y156" s="17"/>
      <c r="Z156" s="16"/>
      <c r="AA156" s="16"/>
      <c r="AB156" s="16"/>
      <c r="AC156" s="16"/>
      <c r="AD156" s="16"/>
      <c r="AE156" s="16"/>
      <c r="AF156" s="15"/>
    </row>
    <row r="157" spans="2:32" x14ac:dyDescent="0.35">
      <c r="B157" s="14"/>
      <c r="C157" s="13"/>
      <c r="E157" s="12"/>
      <c r="F157" s="12"/>
      <c r="G157" s="5"/>
      <c r="H157" s="11"/>
      <c r="I157" s="8"/>
      <c r="J157" s="8"/>
      <c r="K157" s="7"/>
      <c r="L157" s="4"/>
      <c r="M157" s="10"/>
      <c r="N157" s="10"/>
      <c r="O157" s="9"/>
      <c r="P157" s="4"/>
      <c r="Q157" s="8"/>
      <c r="R157" s="8"/>
      <c r="S157" s="7"/>
      <c r="T157" s="4"/>
      <c r="U157" s="6"/>
      <c r="V157" s="6"/>
      <c r="W157" s="5"/>
      <c r="X157" s="4"/>
      <c r="Y157" s="17"/>
      <c r="Z157" s="16"/>
      <c r="AA157" s="16"/>
      <c r="AB157" s="16"/>
      <c r="AC157" s="16"/>
      <c r="AD157" s="16"/>
      <c r="AE157" s="16"/>
      <c r="AF157" s="15"/>
    </row>
    <row r="158" spans="2:32" x14ac:dyDescent="0.35">
      <c r="B158" s="14"/>
      <c r="C158" s="13"/>
      <c r="E158" s="12"/>
      <c r="F158" s="12"/>
      <c r="G158" s="5"/>
      <c r="H158" s="11"/>
      <c r="I158" s="8"/>
      <c r="J158" s="8"/>
      <c r="K158" s="7"/>
      <c r="L158" s="4"/>
      <c r="M158" s="10"/>
      <c r="N158" s="10"/>
      <c r="O158" s="9"/>
      <c r="P158" s="4"/>
      <c r="Q158" s="8"/>
      <c r="R158" s="8"/>
      <c r="S158" s="7"/>
      <c r="T158" s="4"/>
      <c r="U158" s="6"/>
      <c r="V158" s="6"/>
      <c r="W158" s="5"/>
      <c r="X158" s="4"/>
    </row>
    <row r="159" spans="2:32" x14ac:dyDescent="0.35">
      <c r="B159" s="14"/>
      <c r="C159" s="13"/>
      <c r="E159" s="12"/>
      <c r="F159" s="12"/>
      <c r="G159" s="5"/>
      <c r="H159" s="11"/>
      <c r="I159" s="8"/>
      <c r="J159" s="8"/>
      <c r="K159" s="7"/>
      <c r="L159" s="4"/>
      <c r="M159" s="10"/>
      <c r="N159" s="10"/>
      <c r="O159" s="9"/>
      <c r="P159" s="4"/>
      <c r="Q159" s="8"/>
      <c r="R159" s="8"/>
      <c r="S159" s="7"/>
      <c r="T159" s="4"/>
      <c r="U159" s="6"/>
      <c r="V159" s="6"/>
      <c r="W159" s="5"/>
      <c r="X159" s="4"/>
    </row>
    <row r="160" spans="2:32" x14ac:dyDescent="0.35">
      <c r="B160" s="14"/>
      <c r="C160" s="13"/>
      <c r="E160" s="12"/>
      <c r="F160" s="12"/>
      <c r="G160" s="5"/>
      <c r="H160" s="11"/>
      <c r="I160" s="8"/>
      <c r="J160" s="8"/>
      <c r="K160" s="7"/>
      <c r="L160" s="4"/>
      <c r="M160" s="10"/>
      <c r="N160" s="10"/>
      <c r="O160" s="9"/>
      <c r="P160" s="4"/>
      <c r="Q160" s="8"/>
      <c r="R160" s="8"/>
      <c r="S160" s="7"/>
      <c r="T160" s="4"/>
      <c r="U160" s="6"/>
      <c r="V160" s="6"/>
      <c r="W160" s="5"/>
      <c r="X160" s="4"/>
    </row>
    <row r="161" spans="2:32" x14ac:dyDescent="0.35">
      <c r="B161" s="14"/>
      <c r="C161" s="13"/>
      <c r="E161" s="12"/>
      <c r="F161" s="12"/>
      <c r="G161" s="5"/>
      <c r="H161" s="11"/>
      <c r="I161" s="8"/>
      <c r="J161" s="8"/>
      <c r="K161" s="7"/>
      <c r="L161" s="4"/>
      <c r="M161" s="10"/>
      <c r="N161" s="10"/>
      <c r="O161" s="9"/>
      <c r="P161" s="4"/>
      <c r="Q161" s="8"/>
      <c r="R161" s="8"/>
      <c r="S161" s="7"/>
      <c r="T161" s="4"/>
      <c r="U161" s="6"/>
      <c r="V161" s="6"/>
      <c r="W161" s="5"/>
      <c r="X161" s="4"/>
    </row>
    <row r="162" spans="2:32" x14ac:dyDescent="0.35">
      <c r="B162" s="14"/>
      <c r="C162" s="13"/>
      <c r="E162" s="12"/>
      <c r="F162" s="12"/>
      <c r="G162" s="5"/>
      <c r="H162" s="11"/>
      <c r="I162" s="8"/>
      <c r="J162" s="8"/>
      <c r="K162" s="7"/>
      <c r="L162" s="4"/>
      <c r="M162" s="10"/>
      <c r="N162" s="10"/>
      <c r="O162" s="9"/>
      <c r="P162" s="4"/>
      <c r="Q162" s="8"/>
      <c r="R162" s="8"/>
      <c r="S162" s="7"/>
      <c r="T162" s="4"/>
      <c r="U162" s="6"/>
      <c r="V162" s="6"/>
      <c r="W162" s="5"/>
      <c r="X162" s="4"/>
      <c r="Y162" s="17"/>
      <c r="Z162" s="16"/>
      <c r="AA162" s="16"/>
      <c r="AB162" s="16"/>
      <c r="AC162" s="16"/>
      <c r="AD162" s="16"/>
      <c r="AE162" s="16"/>
      <c r="AF162" s="15"/>
    </row>
    <row r="163" spans="2:32" x14ac:dyDescent="0.35">
      <c r="B163" s="14"/>
      <c r="C163" s="13"/>
      <c r="E163" s="12"/>
      <c r="F163" s="12"/>
      <c r="G163" s="5"/>
      <c r="H163" s="11"/>
      <c r="I163" s="8"/>
      <c r="J163" s="8"/>
      <c r="K163" s="7"/>
      <c r="L163" s="4"/>
      <c r="M163" s="10"/>
      <c r="N163" s="10"/>
      <c r="O163" s="9"/>
      <c r="P163" s="4"/>
      <c r="Q163" s="8"/>
      <c r="R163" s="8"/>
      <c r="S163" s="7"/>
      <c r="T163" s="4"/>
      <c r="U163" s="6"/>
      <c r="V163" s="6"/>
      <c r="W163" s="5"/>
      <c r="X163" s="4"/>
      <c r="Y163" s="17"/>
      <c r="Z163" s="16"/>
      <c r="AA163" s="16"/>
      <c r="AB163" s="16"/>
      <c r="AC163" s="16"/>
      <c r="AD163" s="16"/>
      <c r="AE163" s="16"/>
      <c r="AF163" s="15"/>
    </row>
    <row r="164" spans="2:32" x14ac:dyDescent="0.35">
      <c r="B164" s="14"/>
      <c r="C164" s="13"/>
      <c r="E164" s="12"/>
      <c r="F164" s="12"/>
      <c r="G164" s="5"/>
      <c r="H164" s="11"/>
      <c r="I164" s="8"/>
      <c r="J164" s="8"/>
      <c r="K164" s="7"/>
      <c r="L164" s="4"/>
      <c r="M164" s="10"/>
      <c r="N164" s="10"/>
      <c r="O164" s="9"/>
      <c r="P164" s="4"/>
      <c r="Q164" s="8"/>
      <c r="R164" s="8"/>
      <c r="S164" s="7"/>
      <c r="T164" s="4"/>
      <c r="U164" s="6"/>
      <c r="V164" s="6"/>
      <c r="W164" s="5"/>
      <c r="X164" s="4"/>
    </row>
    <row r="165" spans="2:32" x14ac:dyDescent="0.35">
      <c r="B165" s="14"/>
      <c r="C165" s="13"/>
      <c r="E165" s="12"/>
      <c r="F165" s="12"/>
      <c r="G165" s="5"/>
      <c r="H165" s="11"/>
      <c r="I165" s="8"/>
      <c r="J165" s="8"/>
      <c r="K165" s="7"/>
      <c r="L165" s="4"/>
      <c r="M165" s="10"/>
      <c r="N165" s="10"/>
      <c r="O165" s="9"/>
      <c r="P165" s="4"/>
      <c r="Q165" s="8"/>
      <c r="R165" s="8"/>
      <c r="S165" s="7"/>
      <c r="T165" s="4"/>
      <c r="U165" s="6"/>
      <c r="V165" s="6"/>
      <c r="W165" s="5"/>
      <c r="X165" s="4"/>
    </row>
    <row r="166" spans="2:32" x14ac:dyDescent="0.35">
      <c r="B166" s="14"/>
      <c r="C166" s="13"/>
      <c r="E166" s="12"/>
      <c r="F166" s="12"/>
      <c r="G166" s="5"/>
      <c r="H166" s="11"/>
      <c r="I166" s="8"/>
      <c r="J166" s="8"/>
      <c r="K166" s="7"/>
      <c r="L166" s="4"/>
      <c r="M166" s="10"/>
      <c r="N166" s="10"/>
      <c r="O166" s="9"/>
      <c r="P166" s="4"/>
      <c r="Q166" s="8"/>
      <c r="R166" s="8"/>
      <c r="S166" s="7"/>
      <c r="T166" s="4"/>
      <c r="U166" s="6"/>
      <c r="V166" s="6"/>
      <c r="W166" s="5"/>
      <c r="X166" s="4"/>
    </row>
    <row r="167" spans="2:32" x14ac:dyDescent="0.35">
      <c r="B167" s="14"/>
      <c r="C167" s="13"/>
      <c r="E167" s="12"/>
      <c r="F167" s="12"/>
      <c r="G167" s="5"/>
      <c r="H167" s="11"/>
      <c r="I167" s="8"/>
      <c r="J167" s="8"/>
      <c r="K167" s="7"/>
      <c r="L167" s="4"/>
      <c r="M167" s="10"/>
      <c r="N167" s="10"/>
      <c r="O167" s="9"/>
      <c r="P167" s="4"/>
      <c r="Q167" s="8"/>
      <c r="R167" s="8"/>
      <c r="S167" s="7"/>
      <c r="T167" s="4"/>
      <c r="U167" s="6"/>
      <c r="V167" s="6"/>
      <c r="W167" s="5"/>
      <c r="X167" s="4"/>
    </row>
    <row r="168" spans="2:32" x14ac:dyDescent="0.35">
      <c r="B168" s="14"/>
      <c r="C168" s="13"/>
      <c r="E168" s="12"/>
      <c r="F168" s="12"/>
      <c r="G168" s="5"/>
      <c r="H168" s="11"/>
      <c r="I168" s="8"/>
      <c r="J168" s="8"/>
      <c r="K168" s="7"/>
      <c r="L168" s="4"/>
      <c r="M168" s="10"/>
      <c r="N168" s="10"/>
      <c r="O168" s="9"/>
      <c r="P168" s="4"/>
      <c r="Q168" s="8"/>
      <c r="R168" s="8"/>
      <c r="S168" s="7"/>
      <c r="T168" s="4"/>
      <c r="U168" s="6"/>
      <c r="V168" s="6"/>
      <c r="W168" s="5"/>
      <c r="X168" s="4"/>
    </row>
    <row r="169" spans="2:32" x14ac:dyDescent="0.35">
      <c r="B169" s="14"/>
      <c r="C169" s="13"/>
      <c r="E169" s="12"/>
      <c r="F169" s="12"/>
      <c r="G169" s="5"/>
      <c r="H169" s="11"/>
      <c r="I169" s="8"/>
      <c r="J169" s="8"/>
      <c r="K169" s="7"/>
      <c r="L169" s="4"/>
      <c r="M169" s="10"/>
      <c r="N169" s="10"/>
      <c r="O169" s="9"/>
      <c r="P169" s="4"/>
      <c r="Q169" s="8"/>
      <c r="R169" s="8"/>
      <c r="S169" s="7"/>
      <c r="T169" s="4"/>
      <c r="U169" s="6"/>
      <c r="V169" s="6"/>
      <c r="W169" s="5"/>
      <c r="X169" s="4"/>
    </row>
    <row r="170" spans="2:32" x14ac:dyDescent="0.35">
      <c r="B170" s="14"/>
      <c r="C170" s="13"/>
      <c r="E170" s="12"/>
      <c r="F170" s="12"/>
      <c r="G170" s="5"/>
      <c r="H170" s="11"/>
      <c r="I170" s="8"/>
      <c r="J170" s="8"/>
      <c r="K170" s="7"/>
      <c r="L170" s="4"/>
      <c r="M170" s="10"/>
      <c r="N170" s="10"/>
      <c r="O170" s="9"/>
      <c r="P170" s="4"/>
      <c r="Q170" s="8"/>
      <c r="R170" s="8"/>
      <c r="S170" s="7"/>
      <c r="T170" s="4"/>
      <c r="U170" s="6"/>
      <c r="V170" s="6"/>
      <c r="W170" s="5"/>
      <c r="X170" s="4"/>
    </row>
    <row r="171" spans="2:32" x14ac:dyDescent="0.35">
      <c r="B171" s="14"/>
      <c r="C171" s="13"/>
      <c r="E171" s="12"/>
      <c r="F171" s="12"/>
      <c r="G171" s="5"/>
      <c r="H171" s="11"/>
      <c r="I171" s="8"/>
      <c r="J171" s="8"/>
      <c r="K171" s="7"/>
      <c r="L171" s="4"/>
      <c r="M171" s="10"/>
      <c r="N171" s="10"/>
      <c r="O171" s="9"/>
      <c r="P171" s="4"/>
      <c r="Q171" s="8"/>
      <c r="R171" s="8"/>
      <c r="S171" s="7"/>
      <c r="T171" s="4"/>
      <c r="U171" s="6"/>
      <c r="V171" s="6"/>
      <c r="W171" s="5"/>
      <c r="X171" s="4"/>
    </row>
    <row r="172" spans="2:32" x14ac:dyDescent="0.35">
      <c r="B172" s="14"/>
      <c r="C172" s="13"/>
      <c r="E172" s="12"/>
      <c r="F172" s="12"/>
      <c r="G172" s="5"/>
      <c r="H172" s="11"/>
      <c r="I172" s="8"/>
      <c r="J172" s="8"/>
      <c r="K172" s="7"/>
      <c r="L172" s="4"/>
      <c r="M172" s="10"/>
      <c r="N172" s="10"/>
      <c r="O172" s="9"/>
      <c r="P172" s="4"/>
      <c r="Q172" s="8"/>
      <c r="R172" s="8"/>
      <c r="S172" s="7"/>
      <c r="T172" s="4"/>
      <c r="U172" s="6"/>
      <c r="V172" s="6"/>
      <c r="W172" s="5"/>
      <c r="X172" s="4"/>
    </row>
    <row r="173" spans="2:32" x14ac:dyDescent="0.35">
      <c r="B173" s="14"/>
      <c r="C173" s="13"/>
      <c r="E173" s="12"/>
      <c r="F173" s="12"/>
      <c r="G173" s="5"/>
      <c r="H173" s="11"/>
      <c r="I173" s="8"/>
      <c r="J173" s="8"/>
      <c r="K173" s="7"/>
      <c r="L173" s="4"/>
      <c r="M173" s="10"/>
      <c r="N173" s="10"/>
      <c r="O173" s="9"/>
      <c r="P173" s="4"/>
      <c r="Q173" s="8"/>
      <c r="R173" s="8"/>
      <c r="S173" s="7"/>
      <c r="T173" s="4"/>
      <c r="U173" s="6"/>
      <c r="V173" s="6"/>
      <c r="W173" s="5"/>
      <c r="X173" s="4"/>
    </row>
    <row r="174" spans="2:32" x14ac:dyDescent="0.35">
      <c r="B174" s="14"/>
      <c r="C174" s="13"/>
      <c r="E174" s="12"/>
      <c r="F174" s="12"/>
      <c r="G174" s="5"/>
      <c r="H174" s="11"/>
      <c r="I174" s="8"/>
      <c r="J174" s="8"/>
      <c r="K174" s="7"/>
      <c r="L174" s="4"/>
      <c r="M174" s="10"/>
      <c r="N174" s="10"/>
      <c r="O174" s="9"/>
      <c r="P174" s="4"/>
      <c r="Q174" s="8"/>
      <c r="R174" s="8"/>
      <c r="S174" s="7"/>
      <c r="T174" s="4"/>
      <c r="U174" s="6"/>
      <c r="V174" s="6"/>
      <c r="W174" s="5"/>
      <c r="X174" s="4"/>
    </row>
    <row r="175" spans="2:32" x14ac:dyDescent="0.35">
      <c r="B175" s="14"/>
      <c r="C175" s="13"/>
      <c r="E175" s="12"/>
      <c r="F175" s="12"/>
      <c r="G175" s="5"/>
      <c r="H175" s="11"/>
      <c r="I175" s="8"/>
      <c r="J175" s="8"/>
      <c r="K175" s="7"/>
      <c r="L175" s="4"/>
      <c r="M175" s="10"/>
      <c r="N175" s="10"/>
      <c r="O175" s="9"/>
      <c r="P175" s="4"/>
      <c r="Q175" s="8"/>
      <c r="R175" s="8"/>
      <c r="S175" s="7"/>
      <c r="T175" s="4"/>
      <c r="U175" s="6"/>
      <c r="V175" s="6"/>
      <c r="W175" s="5"/>
      <c r="X175" s="4"/>
    </row>
    <row r="176" spans="2:32" x14ac:dyDescent="0.35">
      <c r="B176" s="14"/>
      <c r="C176" s="13"/>
      <c r="E176" s="12"/>
      <c r="F176" s="12"/>
      <c r="G176" s="5"/>
      <c r="H176" s="11"/>
      <c r="I176" s="8"/>
      <c r="J176" s="8"/>
      <c r="K176" s="7"/>
      <c r="L176" s="4"/>
      <c r="M176" s="10"/>
      <c r="N176" s="10"/>
      <c r="O176" s="9"/>
      <c r="P176" s="4"/>
      <c r="Q176" s="8"/>
      <c r="R176" s="8"/>
      <c r="S176" s="7"/>
      <c r="T176" s="4"/>
      <c r="U176" s="6"/>
      <c r="V176" s="6"/>
      <c r="W176" s="5"/>
      <c r="X176" s="4"/>
    </row>
    <row r="177" spans="2:32" x14ac:dyDescent="0.35">
      <c r="B177" s="14"/>
      <c r="C177" s="13"/>
      <c r="E177" s="12"/>
      <c r="F177" s="12"/>
      <c r="G177" s="5"/>
      <c r="H177" s="11"/>
      <c r="I177" s="8"/>
      <c r="J177" s="8"/>
      <c r="K177" s="7"/>
      <c r="L177" s="4"/>
      <c r="M177" s="10"/>
      <c r="N177" s="10"/>
      <c r="O177" s="9"/>
      <c r="P177" s="4"/>
      <c r="Q177" s="8"/>
      <c r="R177" s="8"/>
      <c r="S177" s="7"/>
      <c r="T177" s="4"/>
      <c r="U177" s="6"/>
      <c r="V177" s="6"/>
      <c r="W177" s="5"/>
      <c r="X177" s="4"/>
    </row>
    <row r="178" spans="2:32" x14ac:dyDescent="0.35">
      <c r="B178" s="14"/>
      <c r="C178" s="13"/>
      <c r="E178" s="12"/>
      <c r="F178" s="12"/>
      <c r="G178" s="5"/>
      <c r="H178" s="11"/>
      <c r="I178" s="8"/>
      <c r="J178" s="8"/>
      <c r="K178" s="7"/>
      <c r="L178" s="4"/>
      <c r="M178" s="10"/>
      <c r="N178" s="10"/>
      <c r="O178" s="9"/>
      <c r="P178" s="4"/>
      <c r="Q178" s="8"/>
      <c r="R178" s="8"/>
      <c r="S178" s="7"/>
      <c r="T178" s="4"/>
      <c r="U178" s="6"/>
      <c r="V178" s="6"/>
      <c r="W178" s="5"/>
      <c r="X178" s="4"/>
    </row>
    <row r="179" spans="2:32" x14ac:dyDescent="0.35">
      <c r="B179" s="14"/>
      <c r="C179" s="13"/>
      <c r="E179" s="12"/>
      <c r="F179" s="12"/>
      <c r="G179" s="5"/>
      <c r="H179" s="11"/>
      <c r="I179" s="8"/>
      <c r="J179" s="8"/>
      <c r="K179" s="7"/>
      <c r="L179" s="4"/>
      <c r="M179" s="10"/>
      <c r="N179" s="10"/>
      <c r="O179" s="9"/>
      <c r="P179" s="4"/>
      <c r="Q179" s="8"/>
      <c r="R179" s="8"/>
      <c r="S179" s="7"/>
      <c r="T179" s="4"/>
      <c r="U179" s="6"/>
      <c r="V179" s="6"/>
      <c r="W179" s="5"/>
      <c r="X179" s="4"/>
      <c r="Y179" s="17"/>
      <c r="Z179" s="16"/>
      <c r="AA179" s="16"/>
      <c r="AB179" s="16"/>
      <c r="AC179" s="16"/>
      <c r="AD179" s="16"/>
      <c r="AE179" s="16"/>
      <c r="AF179" s="15"/>
    </row>
    <row r="180" spans="2:32" x14ac:dyDescent="0.35">
      <c r="B180" s="14"/>
      <c r="C180" s="13"/>
      <c r="E180" s="12"/>
      <c r="F180" s="12"/>
      <c r="G180" s="5"/>
      <c r="H180" s="11"/>
      <c r="I180" s="8"/>
      <c r="J180" s="8"/>
      <c r="K180" s="7"/>
      <c r="L180" s="4"/>
      <c r="M180" s="10"/>
      <c r="N180" s="10"/>
      <c r="O180" s="9"/>
      <c r="P180" s="4"/>
      <c r="Q180" s="8"/>
      <c r="R180" s="8"/>
      <c r="S180" s="7"/>
      <c r="T180" s="4"/>
      <c r="U180" s="6"/>
      <c r="V180" s="6"/>
      <c r="W180" s="5"/>
      <c r="X180" s="4"/>
      <c r="Y180" s="17"/>
      <c r="Z180" s="16"/>
      <c r="AA180" s="16"/>
      <c r="AB180" s="16"/>
      <c r="AC180" s="16"/>
      <c r="AD180" s="16"/>
      <c r="AE180" s="16"/>
      <c r="AF180" s="15"/>
    </row>
    <row r="181" spans="2:32" x14ac:dyDescent="0.35">
      <c r="B181" s="14"/>
      <c r="C181" s="13"/>
      <c r="E181" s="12"/>
      <c r="F181" s="12"/>
      <c r="G181" s="5"/>
      <c r="H181" s="11"/>
      <c r="I181" s="8"/>
      <c r="J181" s="8"/>
      <c r="K181" s="7"/>
      <c r="L181" s="4"/>
      <c r="M181" s="10"/>
      <c r="N181" s="10"/>
      <c r="O181" s="9"/>
      <c r="P181" s="4"/>
      <c r="Q181" s="8"/>
      <c r="R181" s="8"/>
      <c r="S181" s="7"/>
      <c r="T181" s="4"/>
      <c r="U181" s="6"/>
      <c r="V181" s="6"/>
      <c r="W181" s="5"/>
      <c r="X181" s="4"/>
      <c r="Y181" s="17"/>
      <c r="Z181" s="16"/>
      <c r="AA181" s="16"/>
      <c r="AB181" s="16"/>
      <c r="AC181" s="16"/>
      <c r="AD181" s="16"/>
      <c r="AE181" s="16"/>
      <c r="AF181" s="15"/>
    </row>
    <row r="182" spans="2:32" x14ac:dyDescent="0.35">
      <c r="B182" s="14"/>
      <c r="C182" s="13"/>
      <c r="E182" s="12"/>
      <c r="F182" s="12"/>
      <c r="G182" s="5"/>
      <c r="H182" s="11"/>
      <c r="I182" s="8"/>
      <c r="J182" s="8"/>
      <c r="K182" s="7"/>
      <c r="L182" s="4"/>
      <c r="M182" s="10"/>
      <c r="N182" s="10"/>
      <c r="O182" s="9"/>
      <c r="P182" s="4"/>
      <c r="Q182" s="8"/>
      <c r="R182" s="8"/>
      <c r="S182" s="7"/>
      <c r="T182" s="4"/>
      <c r="U182" s="6"/>
      <c r="V182" s="6"/>
      <c r="W182" s="5"/>
      <c r="X182" s="4"/>
    </row>
    <row r="183" spans="2:32" x14ac:dyDescent="0.35">
      <c r="B183" s="14"/>
      <c r="C183" s="13"/>
      <c r="E183" s="12"/>
      <c r="F183" s="12"/>
      <c r="G183" s="5"/>
      <c r="H183" s="11"/>
      <c r="I183" s="8"/>
      <c r="J183" s="8"/>
      <c r="K183" s="7"/>
      <c r="L183" s="4"/>
      <c r="M183" s="10"/>
      <c r="N183" s="10"/>
      <c r="O183" s="9"/>
      <c r="P183" s="4"/>
      <c r="Q183" s="8"/>
      <c r="R183" s="8"/>
      <c r="S183" s="7"/>
      <c r="T183" s="4"/>
      <c r="U183" s="6"/>
      <c r="V183" s="6"/>
      <c r="W183" s="5"/>
      <c r="X183" s="4"/>
    </row>
    <row r="184" spans="2:32" x14ac:dyDescent="0.35">
      <c r="B184" s="14"/>
      <c r="C184" s="13"/>
      <c r="E184" s="12"/>
      <c r="F184" s="12"/>
      <c r="G184" s="5"/>
      <c r="H184" s="11"/>
      <c r="I184" s="8"/>
      <c r="J184" s="8"/>
      <c r="K184" s="7"/>
      <c r="L184" s="4"/>
      <c r="M184" s="10"/>
      <c r="N184" s="10"/>
      <c r="O184" s="9"/>
      <c r="P184" s="4"/>
      <c r="Q184" s="8"/>
      <c r="R184" s="8"/>
      <c r="S184" s="7"/>
      <c r="T184" s="4"/>
      <c r="U184" s="6"/>
      <c r="V184" s="6"/>
      <c r="W184" s="5"/>
      <c r="X184" s="4"/>
    </row>
    <row r="185" spans="2:32" x14ac:dyDescent="0.35">
      <c r="B185" s="14"/>
      <c r="C185" s="13"/>
      <c r="E185" s="12"/>
      <c r="F185" s="12"/>
      <c r="G185" s="5"/>
      <c r="H185" s="11"/>
      <c r="I185" s="8"/>
      <c r="J185" s="8"/>
      <c r="K185" s="7"/>
      <c r="L185" s="4"/>
      <c r="M185" s="10"/>
      <c r="N185" s="10"/>
      <c r="O185" s="9"/>
      <c r="P185" s="4"/>
      <c r="Q185" s="8"/>
      <c r="R185" s="8"/>
      <c r="S185" s="7"/>
      <c r="T185" s="4"/>
      <c r="U185" s="6"/>
      <c r="V185" s="6"/>
      <c r="W185" s="5"/>
      <c r="X185" s="4"/>
    </row>
    <row r="186" spans="2:32" x14ac:dyDescent="0.35">
      <c r="B186" s="14"/>
      <c r="C186" s="13"/>
      <c r="E186" s="12"/>
      <c r="F186" s="12"/>
      <c r="G186" s="5"/>
      <c r="H186" s="11"/>
      <c r="I186" s="8"/>
      <c r="J186" s="8"/>
      <c r="K186" s="7"/>
      <c r="L186" s="4"/>
      <c r="M186" s="10"/>
      <c r="N186" s="10"/>
      <c r="O186" s="9"/>
      <c r="P186" s="4"/>
      <c r="Q186" s="8"/>
      <c r="R186" s="8"/>
      <c r="S186" s="7"/>
      <c r="T186" s="4"/>
      <c r="U186" s="6"/>
      <c r="V186" s="6"/>
      <c r="W186" s="5"/>
      <c r="X186" s="4"/>
    </row>
    <row r="187" spans="2:32" x14ac:dyDescent="0.35">
      <c r="B187" s="14"/>
      <c r="C187" s="13"/>
      <c r="E187" s="12"/>
      <c r="F187" s="12"/>
      <c r="G187" s="5"/>
      <c r="H187" s="11"/>
      <c r="I187" s="8"/>
      <c r="J187" s="8"/>
      <c r="K187" s="7"/>
      <c r="L187" s="4"/>
      <c r="M187" s="10"/>
      <c r="N187" s="10"/>
      <c r="O187" s="9"/>
      <c r="P187" s="4"/>
      <c r="Q187" s="8"/>
      <c r="R187" s="8"/>
      <c r="S187" s="7"/>
      <c r="T187" s="4"/>
      <c r="U187" s="6"/>
      <c r="V187" s="6"/>
      <c r="W187" s="5"/>
      <c r="X187" s="4"/>
    </row>
    <row r="188" spans="2:32" x14ac:dyDescent="0.35">
      <c r="B188" s="14"/>
      <c r="C188" s="13"/>
      <c r="E188" s="12"/>
      <c r="F188" s="12"/>
      <c r="G188" s="5"/>
      <c r="H188" s="11"/>
      <c r="I188" s="8"/>
      <c r="J188" s="8"/>
      <c r="K188" s="7"/>
      <c r="L188" s="4"/>
      <c r="M188" s="10"/>
      <c r="N188" s="10"/>
      <c r="O188" s="9"/>
      <c r="P188" s="4"/>
      <c r="Q188" s="8"/>
      <c r="R188" s="8"/>
      <c r="S188" s="7"/>
      <c r="T188" s="4"/>
      <c r="U188" s="6"/>
      <c r="V188" s="6"/>
      <c r="W188" s="5"/>
      <c r="X188" s="4"/>
    </row>
    <row r="189" spans="2:32" x14ac:dyDescent="0.35">
      <c r="B189" s="14"/>
      <c r="C189" s="13"/>
      <c r="E189" s="12"/>
      <c r="F189" s="12"/>
      <c r="G189" s="5"/>
      <c r="H189" s="11"/>
      <c r="I189" s="8"/>
      <c r="J189" s="8"/>
      <c r="K189" s="7"/>
      <c r="L189" s="4"/>
      <c r="M189" s="10"/>
      <c r="N189" s="10"/>
      <c r="O189" s="9"/>
      <c r="P189" s="4"/>
      <c r="Q189" s="8"/>
      <c r="R189" s="8"/>
      <c r="S189" s="7"/>
      <c r="T189" s="4"/>
      <c r="U189" s="6"/>
      <c r="V189" s="6"/>
      <c r="W189" s="5"/>
      <c r="X189" s="4"/>
    </row>
    <row r="190" spans="2:32" x14ac:dyDescent="0.35">
      <c r="B190" s="14"/>
      <c r="C190" s="13"/>
      <c r="E190" s="12"/>
      <c r="F190" s="12"/>
      <c r="G190" s="5"/>
      <c r="H190" s="11"/>
      <c r="I190" s="8"/>
      <c r="J190" s="8"/>
      <c r="K190" s="7"/>
      <c r="L190" s="4"/>
      <c r="M190" s="10"/>
      <c r="N190" s="10"/>
      <c r="O190" s="9"/>
      <c r="P190" s="4"/>
      <c r="Q190" s="8"/>
      <c r="R190" s="8"/>
      <c r="S190" s="7"/>
      <c r="T190" s="4"/>
      <c r="U190" s="6"/>
      <c r="V190" s="6"/>
      <c r="W190" s="5"/>
      <c r="X190" s="4"/>
    </row>
    <row r="191" spans="2:32" x14ac:dyDescent="0.35">
      <c r="B191" s="14"/>
      <c r="C191" s="13"/>
      <c r="E191" s="12"/>
      <c r="F191" s="12"/>
      <c r="G191" s="5"/>
      <c r="H191" s="11"/>
      <c r="I191" s="8"/>
      <c r="J191" s="8"/>
      <c r="K191" s="7"/>
      <c r="L191" s="4"/>
      <c r="M191" s="10"/>
      <c r="N191" s="10"/>
      <c r="O191" s="9"/>
      <c r="P191" s="4"/>
      <c r="Q191" s="8"/>
      <c r="R191" s="8"/>
      <c r="S191" s="7"/>
      <c r="T191" s="4"/>
      <c r="U191" s="6"/>
      <c r="V191" s="6"/>
      <c r="W191" s="5"/>
      <c r="X191" s="4"/>
    </row>
    <row r="192" spans="2:32" x14ac:dyDescent="0.35">
      <c r="B192" s="14"/>
      <c r="C192" s="13"/>
      <c r="E192" s="12"/>
      <c r="F192" s="12"/>
      <c r="G192" s="5"/>
      <c r="H192" s="11"/>
      <c r="I192" s="8"/>
      <c r="J192" s="8"/>
      <c r="K192" s="7"/>
      <c r="L192" s="4"/>
      <c r="M192" s="10"/>
      <c r="N192" s="10"/>
      <c r="O192" s="9"/>
      <c r="P192" s="4"/>
      <c r="Q192" s="8"/>
      <c r="R192" s="8"/>
      <c r="S192" s="7"/>
      <c r="T192" s="4"/>
      <c r="U192" s="6"/>
      <c r="V192" s="6"/>
      <c r="W192" s="5"/>
      <c r="X192" s="4"/>
    </row>
    <row r="193" spans="2:24" x14ac:dyDescent="0.35">
      <c r="B193" s="14"/>
      <c r="C193" s="13"/>
      <c r="E193" s="12"/>
      <c r="F193" s="12"/>
      <c r="G193" s="5"/>
      <c r="H193" s="11"/>
      <c r="I193" s="8"/>
      <c r="J193" s="8"/>
      <c r="K193" s="7"/>
      <c r="L193" s="4"/>
      <c r="M193" s="10"/>
      <c r="N193" s="10"/>
      <c r="O193" s="9"/>
      <c r="P193" s="4"/>
      <c r="Q193" s="8"/>
      <c r="R193" s="8"/>
      <c r="S193" s="7"/>
      <c r="T193" s="4"/>
      <c r="U193" s="6"/>
      <c r="V193" s="6"/>
      <c r="W193" s="5"/>
      <c r="X193" s="4"/>
    </row>
    <row r="194" spans="2:24" x14ac:dyDescent="0.35">
      <c r="B194" s="14"/>
      <c r="C194" s="13"/>
      <c r="E194" s="12"/>
      <c r="F194" s="12"/>
      <c r="G194" s="5"/>
      <c r="H194" s="11"/>
      <c r="I194" s="8"/>
      <c r="J194" s="8"/>
      <c r="K194" s="7"/>
      <c r="L194" s="4"/>
      <c r="M194" s="10"/>
      <c r="N194" s="10"/>
      <c r="O194" s="9"/>
      <c r="P194" s="4"/>
      <c r="Q194" s="8"/>
      <c r="R194" s="8"/>
      <c r="S194" s="7"/>
      <c r="T194" s="4"/>
      <c r="U194" s="6"/>
      <c r="V194" s="6"/>
      <c r="W194" s="5"/>
      <c r="X194" s="4"/>
    </row>
    <row r="195" spans="2:24" x14ac:dyDescent="0.35">
      <c r="B195" s="14"/>
      <c r="C195" s="13"/>
      <c r="E195" s="12"/>
      <c r="F195" s="12"/>
      <c r="G195" s="5"/>
      <c r="H195" s="11"/>
      <c r="I195" s="8"/>
      <c r="J195" s="8"/>
      <c r="K195" s="7"/>
      <c r="L195" s="4"/>
      <c r="M195" s="10"/>
      <c r="N195" s="10"/>
      <c r="O195" s="9"/>
      <c r="P195" s="4"/>
      <c r="Q195" s="8"/>
      <c r="R195" s="8"/>
      <c r="S195" s="7"/>
      <c r="T195" s="4"/>
      <c r="U195" s="6"/>
      <c r="V195" s="6"/>
      <c r="W195" s="5"/>
      <c r="X195" s="4"/>
    </row>
    <row r="196" spans="2:24" x14ac:dyDescent="0.35">
      <c r="B196" s="14"/>
      <c r="C196" s="13"/>
      <c r="E196" s="12"/>
      <c r="F196" s="12"/>
      <c r="G196" s="5"/>
      <c r="H196" s="11"/>
      <c r="I196" s="8"/>
      <c r="J196" s="8"/>
      <c r="K196" s="7"/>
      <c r="L196" s="4"/>
      <c r="M196" s="10"/>
      <c r="N196" s="10"/>
      <c r="O196" s="9"/>
      <c r="P196" s="4"/>
      <c r="Q196" s="8"/>
      <c r="R196" s="8"/>
      <c r="S196" s="7"/>
      <c r="T196" s="4"/>
      <c r="U196" s="6"/>
      <c r="V196" s="6"/>
      <c r="W196" s="5"/>
      <c r="X196" s="4"/>
    </row>
    <row r="197" spans="2:24" x14ac:dyDescent="0.35">
      <c r="B197" s="14"/>
      <c r="C197" s="13"/>
      <c r="E197" s="12"/>
      <c r="F197" s="12"/>
      <c r="G197" s="5"/>
      <c r="H197" s="11"/>
      <c r="I197" s="8"/>
      <c r="J197" s="8"/>
      <c r="K197" s="7"/>
      <c r="L197" s="4"/>
      <c r="M197" s="10"/>
      <c r="N197" s="10"/>
      <c r="O197" s="9"/>
      <c r="P197" s="4"/>
      <c r="Q197" s="8"/>
      <c r="R197" s="8"/>
      <c r="S197" s="7"/>
      <c r="T197" s="4"/>
      <c r="U197" s="6"/>
      <c r="V197" s="6"/>
      <c r="W197" s="5"/>
      <c r="X197" s="4"/>
    </row>
    <row r="198" spans="2:24" x14ac:dyDescent="0.35">
      <c r="B198" s="14"/>
      <c r="C198" s="13"/>
      <c r="E198" s="12"/>
      <c r="F198" s="12"/>
      <c r="G198" s="5"/>
      <c r="H198" s="11"/>
      <c r="I198" s="8"/>
      <c r="J198" s="8"/>
      <c r="K198" s="7"/>
      <c r="L198" s="4"/>
      <c r="M198" s="10"/>
      <c r="N198" s="10"/>
      <c r="O198" s="9"/>
      <c r="P198" s="4"/>
      <c r="Q198" s="8"/>
      <c r="R198" s="8"/>
      <c r="S198" s="7"/>
      <c r="T198" s="4"/>
      <c r="U198" s="6"/>
      <c r="V198" s="6"/>
      <c r="W198" s="5"/>
      <c r="X198" s="4"/>
    </row>
    <row r="199" spans="2:24" x14ac:dyDescent="0.35">
      <c r="B199" s="14"/>
      <c r="C199" s="13"/>
      <c r="E199" s="12"/>
      <c r="F199" s="12"/>
      <c r="G199" s="5"/>
      <c r="H199" s="11"/>
      <c r="I199" s="8"/>
      <c r="J199" s="8"/>
      <c r="K199" s="7"/>
      <c r="L199" s="4"/>
      <c r="M199" s="10"/>
      <c r="N199" s="10"/>
      <c r="O199" s="9"/>
      <c r="P199" s="4"/>
      <c r="Q199" s="8"/>
      <c r="R199" s="8"/>
      <c r="S199" s="7"/>
      <c r="T199" s="4"/>
      <c r="U199" s="6"/>
      <c r="V199" s="6"/>
      <c r="W199" s="5"/>
      <c r="X199" s="4"/>
    </row>
    <row r="200" spans="2:24" x14ac:dyDescent="0.35">
      <c r="B200" s="14"/>
      <c r="C200" s="13"/>
      <c r="E200" s="12"/>
      <c r="F200" s="12"/>
      <c r="G200" s="5"/>
      <c r="H200" s="11"/>
      <c r="I200" s="8"/>
      <c r="J200" s="8"/>
      <c r="K200" s="7"/>
      <c r="L200" s="4"/>
      <c r="M200" s="10"/>
      <c r="N200" s="10"/>
      <c r="O200" s="9"/>
      <c r="P200" s="4"/>
      <c r="Q200" s="8"/>
      <c r="R200" s="8"/>
      <c r="S200" s="7"/>
      <c r="T200" s="4"/>
      <c r="U200" s="6"/>
      <c r="V200" s="6"/>
      <c r="W200" s="5"/>
      <c r="X200" s="4"/>
    </row>
    <row r="201" spans="2:24" x14ac:dyDescent="0.35">
      <c r="B201" s="14"/>
      <c r="C201" s="13"/>
      <c r="E201" s="12"/>
      <c r="F201" s="12"/>
      <c r="G201" s="5"/>
      <c r="H201" s="11"/>
      <c r="I201" s="8"/>
      <c r="J201" s="8"/>
      <c r="K201" s="7"/>
      <c r="L201" s="4"/>
      <c r="M201" s="10"/>
      <c r="N201" s="10"/>
      <c r="O201" s="9"/>
      <c r="P201" s="4"/>
      <c r="Q201" s="8"/>
      <c r="R201" s="8"/>
      <c r="S201" s="7"/>
      <c r="T201" s="4"/>
      <c r="U201" s="6"/>
      <c r="V201" s="6"/>
      <c r="W201" s="5"/>
      <c r="X201" s="4"/>
    </row>
    <row r="202" spans="2:24" x14ac:dyDescent="0.35">
      <c r="B202" s="14"/>
      <c r="C202" s="13"/>
      <c r="E202" s="12"/>
      <c r="F202" s="12"/>
      <c r="G202" s="5"/>
      <c r="H202" s="11"/>
      <c r="I202" s="8"/>
      <c r="J202" s="8"/>
      <c r="K202" s="7"/>
      <c r="L202" s="4"/>
      <c r="M202" s="10"/>
      <c r="N202" s="10"/>
      <c r="O202" s="9"/>
      <c r="P202" s="4"/>
      <c r="Q202" s="8"/>
      <c r="R202" s="8"/>
      <c r="S202" s="7"/>
      <c r="T202" s="4"/>
      <c r="U202" s="6"/>
      <c r="V202" s="6"/>
      <c r="W202" s="5"/>
      <c r="X202" s="4"/>
    </row>
    <row r="203" spans="2:24" x14ac:dyDescent="0.35">
      <c r="B203" s="14"/>
      <c r="C203" s="13"/>
      <c r="E203" s="12"/>
      <c r="F203" s="12"/>
      <c r="G203" s="5"/>
      <c r="H203" s="11"/>
      <c r="I203" s="8"/>
      <c r="J203" s="8"/>
      <c r="K203" s="7"/>
      <c r="L203" s="4"/>
      <c r="M203" s="10"/>
      <c r="N203" s="10"/>
      <c r="O203" s="9"/>
      <c r="P203" s="4"/>
      <c r="Q203" s="8"/>
      <c r="R203" s="8"/>
      <c r="S203" s="7"/>
      <c r="T203" s="4"/>
      <c r="U203" s="6"/>
      <c r="V203" s="6"/>
      <c r="W203" s="5"/>
      <c r="X203" s="4"/>
    </row>
    <row r="204" spans="2:24" x14ac:dyDescent="0.35">
      <c r="B204" s="14"/>
      <c r="C204" s="13"/>
      <c r="E204" s="12"/>
      <c r="F204" s="12"/>
      <c r="G204" s="5"/>
      <c r="H204" s="11"/>
      <c r="I204" s="8"/>
      <c r="J204" s="8"/>
      <c r="K204" s="7"/>
      <c r="L204" s="4"/>
      <c r="M204" s="10"/>
      <c r="N204" s="10"/>
      <c r="O204" s="9"/>
      <c r="P204" s="4"/>
      <c r="Q204" s="8"/>
      <c r="R204" s="8"/>
      <c r="S204" s="7"/>
      <c r="T204" s="4"/>
      <c r="U204" s="6"/>
      <c r="V204" s="6"/>
      <c r="W204" s="5"/>
      <c r="X204" s="4"/>
    </row>
    <row r="205" spans="2:24" x14ac:dyDescent="0.35">
      <c r="B205" s="14"/>
      <c r="C205" s="13"/>
      <c r="E205" s="12"/>
      <c r="F205" s="12"/>
      <c r="G205" s="5"/>
      <c r="H205" s="11"/>
      <c r="I205" s="8"/>
      <c r="J205" s="8"/>
      <c r="K205" s="7"/>
      <c r="L205" s="4"/>
      <c r="M205" s="10"/>
      <c r="N205" s="10"/>
      <c r="O205" s="9"/>
      <c r="P205" s="4"/>
      <c r="Q205" s="8"/>
      <c r="R205" s="8"/>
      <c r="S205" s="7"/>
      <c r="T205" s="4"/>
      <c r="U205" s="6"/>
      <c r="V205" s="6"/>
      <c r="W205" s="5"/>
      <c r="X205" s="4"/>
    </row>
    <row r="206" spans="2:24" x14ac:dyDescent="0.35">
      <c r="B206" s="14"/>
      <c r="C206" s="13"/>
      <c r="E206" s="12"/>
      <c r="F206" s="12"/>
      <c r="G206" s="5"/>
      <c r="H206" s="11"/>
      <c r="I206" s="8"/>
      <c r="J206" s="8"/>
      <c r="K206" s="7"/>
      <c r="L206" s="4"/>
      <c r="M206" s="10"/>
      <c r="N206" s="10"/>
      <c r="O206" s="9"/>
      <c r="P206" s="4"/>
      <c r="Q206" s="8"/>
      <c r="R206" s="8"/>
      <c r="S206" s="7"/>
      <c r="T206" s="4"/>
      <c r="U206" s="6"/>
      <c r="V206" s="6"/>
      <c r="W206" s="5"/>
      <c r="X206" s="4"/>
    </row>
    <row r="207" spans="2:24" x14ac:dyDescent="0.35">
      <c r="B207" s="14"/>
      <c r="C207" s="13"/>
      <c r="E207" s="12"/>
      <c r="F207" s="12"/>
      <c r="G207" s="5"/>
      <c r="H207" s="11"/>
      <c r="I207" s="8"/>
      <c r="J207" s="8"/>
      <c r="K207" s="7"/>
      <c r="L207" s="4"/>
      <c r="M207" s="10"/>
      <c r="N207" s="10"/>
      <c r="O207" s="9"/>
      <c r="P207" s="4"/>
      <c r="Q207" s="8"/>
      <c r="R207" s="8"/>
      <c r="S207" s="7"/>
      <c r="T207" s="4"/>
      <c r="U207" s="6"/>
      <c r="V207" s="6"/>
      <c r="W207" s="5"/>
      <c r="X207" s="4"/>
    </row>
    <row r="208" spans="2:24" x14ac:dyDescent="0.35">
      <c r="B208" s="14"/>
      <c r="C208" s="13"/>
      <c r="E208" s="12"/>
      <c r="F208" s="12"/>
      <c r="G208" s="5"/>
      <c r="H208" s="11"/>
      <c r="I208" s="8"/>
      <c r="J208" s="8"/>
      <c r="K208" s="7"/>
      <c r="L208" s="4"/>
      <c r="M208" s="10"/>
      <c r="N208" s="10"/>
      <c r="O208" s="9"/>
      <c r="P208" s="4"/>
      <c r="Q208" s="8"/>
      <c r="R208" s="8"/>
      <c r="S208" s="7"/>
      <c r="T208" s="4"/>
      <c r="U208" s="6"/>
      <c r="V208" s="6"/>
      <c r="W208" s="5"/>
      <c r="X208" s="4"/>
    </row>
    <row r="209" spans="2:24" x14ac:dyDescent="0.35">
      <c r="B209" s="14"/>
      <c r="C209" s="13"/>
      <c r="E209" s="12"/>
      <c r="F209" s="12"/>
      <c r="G209" s="5"/>
      <c r="H209" s="11"/>
      <c r="I209" s="8"/>
      <c r="J209" s="8"/>
      <c r="K209" s="7"/>
      <c r="L209" s="4"/>
      <c r="M209" s="10"/>
      <c r="N209" s="10"/>
      <c r="O209" s="9"/>
      <c r="P209" s="4"/>
      <c r="Q209" s="8"/>
      <c r="R209" s="8"/>
      <c r="S209" s="7"/>
      <c r="T209" s="4"/>
      <c r="U209" s="6"/>
      <c r="V209" s="6"/>
      <c r="W209" s="5"/>
      <c r="X209" s="4"/>
    </row>
    <row r="210" spans="2:24" x14ac:dyDescent="0.35">
      <c r="B210" s="14"/>
      <c r="C210" s="13"/>
      <c r="E210" s="12"/>
      <c r="F210" s="12"/>
      <c r="G210" s="5"/>
      <c r="H210" s="11"/>
      <c r="I210" s="8"/>
      <c r="J210" s="8"/>
      <c r="K210" s="7"/>
      <c r="L210" s="4"/>
      <c r="M210" s="10"/>
      <c r="N210" s="10"/>
      <c r="O210" s="9"/>
      <c r="P210" s="4"/>
      <c r="Q210" s="8"/>
      <c r="R210" s="8"/>
      <c r="S210" s="7"/>
      <c r="T210" s="4"/>
      <c r="U210" s="6"/>
      <c r="V210" s="6"/>
      <c r="W210" s="5"/>
      <c r="X210" s="4"/>
    </row>
    <row r="211" spans="2:24" x14ac:dyDescent="0.35">
      <c r="B211" s="14"/>
      <c r="C211" s="13"/>
      <c r="E211" s="12"/>
      <c r="F211" s="12"/>
      <c r="G211" s="5"/>
      <c r="H211" s="11"/>
      <c r="I211" s="8"/>
      <c r="J211" s="8"/>
      <c r="K211" s="7"/>
      <c r="L211" s="4"/>
      <c r="M211" s="10"/>
      <c r="N211" s="10"/>
      <c r="O211" s="9"/>
      <c r="P211" s="4"/>
      <c r="Q211" s="8"/>
      <c r="R211" s="8"/>
      <c r="S211" s="7"/>
      <c r="T211" s="4"/>
      <c r="U211" s="6"/>
      <c r="V211" s="6"/>
      <c r="W211" s="5"/>
      <c r="X211" s="4"/>
    </row>
  </sheetData>
  <mergeCells count="58">
    <mergeCell ref="Y11:AF12"/>
    <mergeCell ref="Y13:AF16"/>
    <mergeCell ref="Y17:AF17"/>
    <mergeCell ref="Y18:AF18"/>
    <mergeCell ref="Y19:AF20"/>
    <mergeCell ref="Y21:AF21"/>
    <mergeCell ref="Y22:AF22"/>
    <mergeCell ref="Y23:AF27"/>
    <mergeCell ref="Y28:AF28"/>
    <mergeCell ref="Y29:AF29"/>
    <mergeCell ref="Y30:AF30"/>
    <mergeCell ref="Y31:AF31"/>
    <mergeCell ref="Y32:AF32"/>
    <mergeCell ref="Y33:AF33"/>
    <mergeCell ref="Y34:AF34"/>
    <mergeCell ref="Y35:AF35"/>
    <mergeCell ref="Y36:AF36"/>
    <mergeCell ref="Y37:AF37"/>
    <mergeCell ref="Y38:AF38"/>
    <mergeCell ref="Y39:AF39"/>
    <mergeCell ref="Y40:AF40"/>
    <mergeCell ref="Y41:AF41"/>
    <mergeCell ref="Y42:AF42"/>
    <mergeCell ref="Y43:AF43"/>
    <mergeCell ref="Y44:AF45"/>
    <mergeCell ref="Y46:AF46"/>
    <mergeCell ref="Y48:AF48"/>
    <mergeCell ref="Y49:AF56"/>
    <mergeCell ref="Y57:AF57"/>
    <mergeCell ref="Y58:AF82"/>
    <mergeCell ref="Y83:AF83"/>
    <mergeCell ref="Y84:AF85"/>
    <mergeCell ref="Y87:AF87"/>
    <mergeCell ref="Y88:AF88"/>
    <mergeCell ref="Y90:AF90"/>
    <mergeCell ref="Y91:AF91"/>
    <mergeCell ref="Y94:AF94"/>
    <mergeCell ref="Y95:AF95"/>
    <mergeCell ref="Y96:AF99"/>
    <mergeCell ref="Y100:AF100"/>
    <mergeCell ref="Y101:AF101"/>
    <mergeCell ref="Y102:AF115"/>
    <mergeCell ref="Y116:AF116"/>
    <mergeCell ref="Y117:AF117"/>
    <mergeCell ref="Y118:AF118"/>
    <mergeCell ref="Y119:AF119"/>
    <mergeCell ref="Y121:AF121"/>
    <mergeCell ref="Y127:AF127"/>
    <mergeCell ref="Y163:AF163"/>
    <mergeCell ref="Y179:AF179"/>
    <mergeCell ref="Y180:AF180"/>
    <mergeCell ref="Y181:AF181"/>
    <mergeCell ref="Y128:AF128"/>
    <mergeCell ref="Y129:AF129"/>
    <mergeCell ref="Y150:AF150"/>
    <mergeCell ref="Y156:AF156"/>
    <mergeCell ref="Y157:AF157"/>
    <mergeCell ref="Y162:AF162"/>
  </mergeCells>
  <conditionalFormatting sqref="B116:B118">
    <cfRule type="timePeriod" dxfId="0" priority="1" timePeriod="lastMonth">
      <formula>AND(MONTH(B116)=MONTH(EDATE(TODAY(),0-1)),YEAR(B116)=YEAR(EDATE(TODAY(),0-1)))</formula>
    </cfRule>
  </conditionalFormatting>
  <printOptions horizontalCentered="1" verticalCentered="1"/>
  <pageMargins left="0" right="0" top="0" bottom="0" header="0" footer="0"/>
  <pageSetup scale="19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7B6B-18A4-48D3-880F-C4A1FA74831C}">
  <sheetPr transitionEvaluation="1" transitionEntry="1">
    <pageSetUpPr fitToPage="1"/>
  </sheetPr>
  <dimension ref="A2:AG226"/>
  <sheetViews>
    <sheetView showGridLines="0" zoomScaleNormal="100" workbookViewId="0">
      <pane xSplit="5" ySplit="7" topLeftCell="F8" activePane="bottomRight" state="frozen"/>
      <selection pane="topRight" activeCell="O25" sqref="O25"/>
      <selection pane="bottomLeft" activeCell="O25" sqref="O25"/>
      <selection pane="bottomRight" activeCell="G1" sqref="G1"/>
    </sheetView>
  </sheetViews>
  <sheetFormatPr baseColWidth="10" defaultColWidth="12.453125" defaultRowHeight="14.5" x14ac:dyDescent="0.35"/>
  <cols>
    <col min="1" max="1" width="2" style="1" customWidth="1"/>
    <col min="2" max="2" width="10.453125" style="1" bestFit="1" customWidth="1"/>
    <col min="3" max="3" width="5.453125" style="129" customWidth="1"/>
    <col min="4" max="5" width="10.1796875" style="128" customWidth="1"/>
    <col min="6" max="12" width="8.7265625" style="1" customWidth="1"/>
    <col min="13" max="13" width="8.7265625" style="2" customWidth="1"/>
    <col min="14" max="25" width="8.7265625" style="1" customWidth="1"/>
    <col min="26" max="256" width="12.453125" style="1"/>
    <col min="257" max="257" width="1.81640625" style="1" customWidth="1"/>
    <col min="258" max="258" width="10.453125" style="1" bestFit="1" customWidth="1"/>
    <col min="259" max="259" width="5.453125" style="1" customWidth="1"/>
    <col min="260" max="261" width="10.1796875" style="1" customWidth="1"/>
    <col min="262" max="281" width="8.7265625" style="1" customWidth="1"/>
    <col min="282" max="512" width="12.453125" style="1"/>
    <col min="513" max="513" width="1.81640625" style="1" customWidth="1"/>
    <col min="514" max="514" width="10.453125" style="1" bestFit="1" customWidth="1"/>
    <col min="515" max="515" width="5.453125" style="1" customWidth="1"/>
    <col min="516" max="517" width="10.1796875" style="1" customWidth="1"/>
    <col min="518" max="537" width="8.7265625" style="1" customWidth="1"/>
    <col min="538" max="768" width="12.453125" style="1"/>
    <col min="769" max="769" width="1.81640625" style="1" customWidth="1"/>
    <col min="770" max="770" width="10.453125" style="1" bestFit="1" customWidth="1"/>
    <col min="771" max="771" width="5.453125" style="1" customWidth="1"/>
    <col min="772" max="773" width="10.1796875" style="1" customWidth="1"/>
    <col min="774" max="793" width="8.7265625" style="1" customWidth="1"/>
    <col min="794" max="1024" width="12.453125" style="1"/>
    <col min="1025" max="1025" width="1.81640625" style="1" customWidth="1"/>
    <col min="1026" max="1026" width="10.453125" style="1" bestFit="1" customWidth="1"/>
    <col min="1027" max="1027" width="5.453125" style="1" customWidth="1"/>
    <col min="1028" max="1029" width="10.1796875" style="1" customWidth="1"/>
    <col min="1030" max="1049" width="8.7265625" style="1" customWidth="1"/>
    <col min="1050" max="1280" width="12.453125" style="1"/>
    <col min="1281" max="1281" width="1.81640625" style="1" customWidth="1"/>
    <col min="1282" max="1282" width="10.453125" style="1" bestFit="1" customWidth="1"/>
    <col min="1283" max="1283" width="5.453125" style="1" customWidth="1"/>
    <col min="1284" max="1285" width="10.1796875" style="1" customWidth="1"/>
    <col min="1286" max="1305" width="8.7265625" style="1" customWidth="1"/>
    <col min="1306" max="1536" width="12.453125" style="1"/>
    <col min="1537" max="1537" width="1.81640625" style="1" customWidth="1"/>
    <col min="1538" max="1538" width="10.453125" style="1" bestFit="1" customWidth="1"/>
    <col min="1539" max="1539" width="5.453125" style="1" customWidth="1"/>
    <col min="1540" max="1541" width="10.1796875" style="1" customWidth="1"/>
    <col min="1542" max="1561" width="8.7265625" style="1" customWidth="1"/>
    <col min="1562" max="1792" width="12.453125" style="1"/>
    <col min="1793" max="1793" width="1.81640625" style="1" customWidth="1"/>
    <col min="1794" max="1794" width="10.453125" style="1" bestFit="1" customWidth="1"/>
    <col min="1795" max="1795" width="5.453125" style="1" customWidth="1"/>
    <col min="1796" max="1797" width="10.1796875" style="1" customWidth="1"/>
    <col min="1798" max="1817" width="8.7265625" style="1" customWidth="1"/>
    <col min="1818" max="2048" width="12.453125" style="1"/>
    <col min="2049" max="2049" width="1.81640625" style="1" customWidth="1"/>
    <col min="2050" max="2050" width="10.453125" style="1" bestFit="1" customWidth="1"/>
    <col min="2051" max="2051" width="5.453125" style="1" customWidth="1"/>
    <col min="2052" max="2053" width="10.1796875" style="1" customWidth="1"/>
    <col min="2054" max="2073" width="8.7265625" style="1" customWidth="1"/>
    <col min="2074" max="2304" width="12.453125" style="1"/>
    <col min="2305" max="2305" width="1.81640625" style="1" customWidth="1"/>
    <col min="2306" max="2306" width="10.453125" style="1" bestFit="1" customWidth="1"/>
    <col min="2307" max="2307" width="5.453125" style="1" customWidth="1"/>
    <col min="2308" max="2309" width="10.1796875" style="1" customWidth="1"/>
    <col min="2310" max="2329" width="8.7265625" style="1" customWidth="1"/>
    <col min="2330" max="2560" width="12.453125" style="1"/>
    <col min="2561" max="2561" width="1.81640625" style="1" customWidth="1"/>
    <col min="2562" max="2562" width="10.453125" style="1" bestFit="1" customWidth="1"/>
    <col min="2563" max="2563" width="5.453125" style="1" customWidth="1"/>
    <col min="2564" max="2565" width="10.1796875" style="1" customWidth="1"/>
    <col min="2566" max="2585" width="8.7265625" style="1" customWidth="1"/>
    <col min="2586" max="2816" width="12.453125" style="1"/>
    <col min="2817" max="2817" width="1.81640625" style="1" customWidth="1"/>
    <col min="2818" max="2818" width="10.453125" style="1" bestFit="1" customWidth="1"/>
    <col min="2819" max="2819" width="5.453125" style="1" customWidth="1"/>
    <col min="2820" max="2821" width="10.1796875" style="1" customWidth="1"/>
    <col min="2822" max="2841" width="8.7265625" style="1" customWidth="1"/>
    <col min="2842" max="3072" width="12.453125" style="1"/>
    <col min="3073" max="3073" width="1.81640625" style="1" customWidth="1"/>
    <col min="3074" max="3074" width="10.453125" style="1" bestFit="1" customWidth="1"/>
    <col min="3075" max="3075" width="5.453125" style="1" customWidth="1"/>
    <col min="3076" max="3077" width="10.1796875" style="1" customWidth="1"/>
    <col min="3078" max="3097" width="8.7265625" style="1" customWidth="1"/>
    <col min="3098" max="3328" width="12.453125" style="1"/>
    <col min="3329" max="3329" width="1.81640625" style="1" customWidth="1"/>
    <col min="3330" max="3330" width="10.453125" style="1" bestFit="1" customWidth="1"/>
    <col min="3331" max="3331" width="5.453125" style="1" customWidth="1"/>
    <col min="3332" max="3333" width="10.1796875" style="1" customWidth="1"/>
    <col min="3334" max="3353" width="8.7265625" style="1" customWidth="1"/>
    <col min="3354" max="3584" width="12.453125" style="1"/>
    <col min="3585" max="3585" width="1.81640625" style="1" customWidth="1"/>
    <col min="3586" max="3586" width="10.453125" style="1" bestFit="1" customWidth="1"/>
    <col min="3587" max="3587" width="5.453125" style="1" customWidth="1"/>
    <col min="3588" max="3589" width="10.1796875" style="1" customWidth="1"/>
    <col min="3590" max="3609" width="8.7265625" style="1" customWidth="1"/>
    <col min="3610" max="3840" width="12.453125" style="1"/>
    <col min="3841" max="3841" width="1.81640625" style="1" customWidth="1"/>
    <col min="3842" max="3842" width="10.453125" style="1" bestFit="1" customWidth="1"/>
    <col min="3843" max="3843" width="5.453125" style="1" customWidth="1"/>
    <col min="3844" max="3845" width="10.1796875" style="1" customWidth="1"/>
    <col min="3846" max="3865" width="8.7265625" style="1" customWidth="1"/>
    <col min="3866" max="4096" width="12.453125" style="1"/>
    <col min="4097" max="4097" width="1.81640625" style="1" customWidth="1"/>
    <col min="4098" max="4098" width="10.453125" style="1" bestFit="1" customWidth="1"/>
    <col min="4099" max="4099" width="5.453125" style="1" customWidth="1"/>
    <col min="4100" max="4101" width="10.1796875" style="1" customWidth="1"/>
    <col min="4102" max="4121" width="8.7265625" style="1" customWidth="1"/>
    <col min="4122" max="4352" width="12.453125" style="1"/>
    <col min="4353" max="4353" width="1.81640625" style="1" customWidth="1"/>
    <col min="4354" max="4354" width="10.453125" style="1" bestFit="1" customWidth="1"/>
    <col min="4355" max="4355" width="5.453125" style="1" customWidth="1"/>
    <col min="4356" max="4357" width="10.1796875" style="1" customWidth="1"/>
    <col min="4358" max="4377" width="8.7265625" style="1" customWidth="1"/>
    <col min="4378" max="4608" width="12.453125" style="1"/>
    <col min="4609" max="4609" width="1.81640625" style="1" customWidth="1"/>
    <col min="4610" max="4610" width="10.453125" style="1" bestFit="1" customWidth="1"/>
    <col min="4611" max="4611" width="5.453125" style="1" customWidth="1"/>
    <col min="4612" max="4613" width="10.1796875" style="1" customWidth="1"/>
    <col min="4614" max="4633" width="8.7265625" style="1" customWidth="1"/>
    <col min="4634" max="4864" width="12.453125" style="1"/>
    <col min="4865" max="4865" width="1.81640625" style="1" customWidth="1"/>
    <col min="4866" max="4866" width="10.453125" style="1" bestFit="1" customWidth="1"/>
    <col min="4867" max="4867" width="5.453125" style="1" customWidth="1"/>
    <col min="4868" max="4869" width="10.1796875" style="1" customWidth="1"/>
    <col min="4870" max="4889" width="8.7265625" style="1" customWidth="1"/>
    <col min="4890" max="5120" width="12.453125" style="1"/>
    <col min="5121" max="5121" width="1.81640625" style="1" customWidth="1"/>
    <col min="5122" max="5122" width="10.453125" style="1" bestFit="1" customWidth="1"/>
    <col min="5123" max="5123" width="5.453125" style="1" customWidth="1"/>
    <col min="5124" max="5125" width="10.1796875" style="1" customWidth="1"/>
    <col min="5126" max="5145" width="8.7265625" style="1" customWidth="1"/>
    <col min="5146" max="5376" width="12.453125" style="1"/>
    <col min="5377" max="5377" width="1.81640625" style="1" customWidth="1"/>
    <col min="5378" max="5378" width="10.453125" style="1" bestFit="1" customWidth="1"/>
    <col min="5379" max="5379" width="5.453125" style="1" customWidth="1"/>
    <col min="5380" max="5381" width="10.1796875" style="1" customWidth="1"/>
    <col min="5382" max="5401" width="8.7265625" style="1" customWidth="1"/>
    <col min="5402" max="5632" width="12.453125" style="1"/>
    <col min="5633" max="5633" width="1.81640625" style="1" customWidth="1"/>
    <col min="5634" max="5634" width="10.453125" style="1" bestFit="1" customWidth="1"/>
    <col min="5635" max="5635" width="5.453125" style="1" customWidth="1"/>
    <col min="5636" max="5637" width="10.1796875" style="1" customWidth="1"/>
    <col min="5638" max="5657" width="8.7265625" style="1" customWidth="1"/>
    <col min="5658" max="5888" width="12.453125" style="1"/>
    <col min="5889" max="5889" width="1.81640625" style="1" customWidth="1"/>
    <col min="5890" max="5890" width="10.453125" style="1" bestFit="1" customWidth="1"/>
    <col min="5891" max="5891" width="5.453125" style="1" customWidth="1"/>
    <col min="5892" max="5893" width="10.1796875" style="1" customWidth="1"/>
    <col min="5894" max="5913" width="8.7265625" style="1" customWidth="1"/>
    <col min="5914" max="6144" width="12.453125" style="1"/>
    <col min="6145" max="6145" width="1.81640625" style="1" customWidth="1"/>
    <col min="6146" max="6146" width="10.453125" style="1" bestFit="1" customWidth="1"/>
    <col min="6147" max="6147" width="5.453125" style="1" customWidth="1"/>
    <col min="6148" max="6149" width="10.1796875" style="1" customWidth="1"/>
    <col min="6150" max="6169" width="8.7265625" style="1" customWidth="1"/>
    <col min="6170" max="6400" width="12.453125" style="1"/>
    <col min="6401" max="6401" width="1.81640625" style="1" customWidth="1"/>
    <col min="6402" max="6402" width="10.453125" style="1" bestFit="1" customWidth="1"/>
    <col min="6403" max="6403" width="5.453125" style="1" customWidth="1"/>
    <col min="6404" max="6405" width="10.1796875" style="1" customWidth="1"/>
    <col min="6406" max="6425" width="8.7265625" style="1" customWidth="1"/>
    <col min="6426" max="6656" width="12.453125" style="1"/>
    <col min="6657" max="6657" width="1.81640625" style="1" customWidth="1"/>
    <col min="6658" max="6658" width="10.453125" style="1" bestFit="1" customWidth="1"/>
    <col min="6659" max="6659" width="5.453125" style="1" customWidth="1"/>
    <col min="6660" max="6661" width="10.1796875" style="1" customWidth="1"/>
    <col min="6662" max="6681" width="8.7265625" style="1" customWidth="1"/>
    <col min="6682" max="6912" width="12.453125" style="1"/>
    <col min="6913" max="6913" width="1.81640625" style="1" customWidth="1"/>
    <col min="6914" max="6914" width="10.453125" style="1" bestFit="1" customWidth="1"/>
    <col min="6915" max="6915" width="5.453125" style="1" customWidth="1"/>
    <col min="6916" max="6917" width="10.1796875" style="1" customWidth="1"/>
    <col min="6918" max="6937" width="8.7265625" style="1" customWidth="1"/>
    <col min="6938" max="7168" width="12.453125" style="1"/>
    <col min="7169" max="7169" width="1.81640625" style="1" customWidth="1"/>
    <col min="7170" max="7170" width="10.453125" style="1" bestFit="1" customWidth="1"/>
    <col min="7171" max="7171" width="5.453125" style="1" customWidth="1"/>
    <col min="7172" max="7173" width="10.1796875" style="1" customWidth="1"/>
    <col min="7174" max="7193" width="8.7265625" style="1" customWidth="1"/>
    <col min="7194" max="7424" width="12.453125" style="1"/>
    <col min="7425" max="7425" width="1.81640625" style="1" customWidth="1"/>
    <col min="7426" max="7426" width="10.453125" style="1" bestFit="1" customWidth="1"/>
    <col min="7427" max="7427" width="5.453125" style="1" customWidth="1"/>
    <col min="7428" max="7429" width="10.1796875" style="1" customWidth="1"/>
    <col min="7430" max="7449" width="8.7265625" style="1" customWidth="1"/>
    <col min="7450" max="7680" width="12.453125" style="1"/>
    <col min="7681" max="7681" width="1.81640625" style="1" customWidth="1"/>
    <col min="7682" max="7682" width="10.453125" style="1" bestFit="1" customWidth="1"/>
    <col min="7683" max="7683" width="5.453125" style="1" customWidth="1"/>
    <col min="7684" max="7685" width="10.1796875" style="1" customWidth="1"/>
    <col min="7686" max="7705" width="8.7265625" style="1" customWidth="1"/>
    <col min="7706" max="7936" width="12.453125" style="1"/>
    <col min="7937" max="7937" width="1.81640625" style="1" customWidth="1"/>
    <col min="7938" max="7938" width="10.453125" style="1" bestFit="1" customWidth="1"/>
    <col min="7939" max="7939" width="5.453125" style="1" customWidth="1"/>
    <col min="7940" max="7941" width="10.1796875" style="1" customWidth="1"/>
    <col min="7942" max="7961" width="8.7265625" style="1" customWidth="1"/>
    <col min="7962" max="8192" width="12.453125" style="1"/>
    <col min="8193" max="8193" width="1.81640625" style="1" customWidth="1"/>
    <col min="8194" max="8194" width="10.453125" style="1" bestFit="1" customWidth="1"/>
    <col min="8195" max="8195" width="5.453125" style="1" customWidth="1"/>
    <col min="8196" max="8197" width="10.1796875" style="1" customWidth="1"/>
    <col min="8198" max="8217" width="8.7265625" style="1" customWidth="1"/>
    <col min="8218" max="8448" width="12.453125" style="1"/>
    <col min="8449" max="8449" width="1.81640625" style="1" customWidth="1"/>
    <col min="8450" max="8450" width="10.453125" style="1" bestFit="1" customWidth="1"/>
    <col min="8451" max="8451" width="5.453125" style="1" customWidth="1"/>
    <col min="8452" max="8453" width="10.1796875" style="1" customWidth="1"/>
    <col min="8454" max="8473" width="8.7265625" style="1" customWidth="1"/>
    <col min="8474" max="8704" width="12.453125" style="1"/>
    <col min="8705" max="8705" width="1.81640625" style="1" customWidth="1"/>
    <col min="8706" max="8706" width="10.453125" style="1" bestFit="1" customWidth="1"/>
    <col min="8707" max="8707" width="5.453125" style="1" customWidth="1"/>
    <col min="8708" max="8709" width="10.1796875" style="1" customWidth="1"/>
    <col min="8710" max="8729" width="8.7265625" style="1" customWidth="1"/>
    <col min="8730" max="8960" width="12.453125" style="1"/>
    <col min="8961" max="8961" width="1.81640625" style="1" customWidth="1"/>
    <col min="8962" max="8962" width="10.453125" style="1" bestFit="1" customWidth="1"/>
    <col min="8963" max="8963" width="5.453125" style="1" customWidth="1"/>
    <col min="8964" max="8965" width="10.1796875" style="1" customWidth="1"/>
    <col min="8966" max="8985" width="8.7265625" style="1" customWidth="1"/>
    <col min="8986" max="9216" width="12.453125" style="1"/>
    <col min="9217" max="9217" width="1.81640625" style="1" customWidth="1"/>
    <col min="9218" max="9218" width="10.453125" style="1" bestFit="1" customWidth="1"/>
    <col min="9219" max="9219" width="5.453125" style="1" customWidth="1"/>
    <col min="9220" max="9221" width="10.1796875" style="1" customWidth="1"/>
    <col min="9222" max="9241" width="8.7265625" style="1" customWidth="1"/>
    <col min="9242" max="9472" width="12.453125" style="1"/>
    <col min="9473" max="9473" width="1.81640625" style="1" customWidth="1"/>
    <col min="9474" max="9474" width="10.453125" style="1" bestFit="1" customWidth="1"/>
    <col min="9475" max="9475" width="5.453125" style="1" customWidth="1"/>
    <col min="9476" max="9477" width="10.1796875" style="1" customWidth="1"/>
    <col min="9478" max="9497" width="8.7265625" style="1" customWidth="1"/>
    <col min="9498" max="9728" width="12.453125" style="1"/>
    <col min="9729" max="9729" width="1.81640625" style="1" customWidth="1"/>
    <col min="9730" max="9730" width="10.453125" style="1" bestFit="1" customWidth="1"/>
    <col min="9731" max="9731" width="5.453125" style="1" customWidth="1"/>
    <col min="9732" max="9733" width="10.1796875" style="1" customWidth="1"/>
    <col min="9734" max="9753" width="8.7265625" style="1" customWidth="1"/>
    <col min="9754" max="9984" width="12.453125" style="1"/>
    <col min="9985" max="9985" width="1.81640625" style="1" customWidth="1"/>
    <col min="9986" max="9986" width="10.453125" style="1" bestFit="1" customWidth="1"/>
    <col min="9987" max="9987" width="5.453125" style="1" customWidth="1"/>
    <col min="9988" max="9989" width="10.1796875" style="1" customWidth="1"/>
    <col min="9990" max="10009" width="8.7265625" style="1" customWidth="1"/>
    <col min="10010" max="10240" width="12.453125" style="1"/>
    <col min="10241" max="10241" width="1.81640625" style="1" customWidth="1"/>
    <col min="10242" max="10242" width="10.453125" style="1" bestFit="1" customWidth="1"/>
    <col min="10243" max="10243" width="5.453125" style="1" customWidth="1"/>
    <col min="10244" max="10245" width="10.1796875" style="1" customWidth="1"/>
    <col min="10246" max="10265" width="8.7265625" style="1" customWidth="1"/>
    <col min="10266" max="10496" width="12.453125" style="1"/>
    <col min="10497" max="10497" width="1.81640625" style="1" customWidth="1"/>
    <col min="10498" max="10498" width="10.453125" style="1" bestFit="1" customWidth="1"/>
    <col min="10499" max="10499" width="5.453125" style="1" customWidth="1"/>
    <col min="10500" max="10501" width="10.1796875" style="1" customWidth="1"/>
    <col min="10502" max="10521" width="8.7265625" style="1" customWidth="1"/>
    <col min="10522" max="10752" width="12.453125" style="1"/>
    <col min="10753" max="10753" width="1.81640625" style="1" customWidth="1"/>
    <col min="10754" max="10754" width="10.453125" style="1" bestFit="1" customWidth="1"/>
    <col min="10755" max="10755" width="5.453125" style="1" customWidth="1"/>
    <col min="10756" max="10757" width="10.1796875" style="1" customWidth="1"/>
    <col min="10758" max="10777" width="8.7265625" style="1" customWidth="1"/>
    <col min="10778" max="11008" width="12.453125" style="1"/>
    <col min="11009" max="11009" width="1.81640625" style="1" customWidth="1"/>
    <col min="11010" max="11010" width="10.453125" style="1" bestFit="1" customWidth="1"/>
    <col min="11011" max="11011" width="5.453125" style="1" customWidth="1"/>
    <col min="11012" max="11013" width="10.1796875" style="1" customWidth="1"/>
    <col min="11014" max="11033" width="8.7265625" style="1" customWidth="1"/>
    <col min="11034" max="11264" width="12.453125" style="1"/>
    <col min="11265" max="11265" width="1.81640625" style="1" customWidth="1"/>
    <col min="11266" max="11266" width="10.453125" style="1" bestFit="1" customWidth="1"/>
    <col min="11267" max="11267" width="5.453125" style="1" customWidth="1"/>
    <col min="11268" max="11269" width="10.1796875" style="1" customWidth="1"/>
    <col min="11270" max="11289" width="8.7265625" style="1" customWidth="1"/>
    <col min="11290" max="11520" width="12.453125" style="1"/>
    <col min="11521" max="11521" width="1.81640625" style="1" customWidth="1"/>
    <col min="11522" max="11522" width="10.453125" style="1" bestFit="1" customWidth="1"/>
    <col min="11523" max="11523" width="5.453125" style="1" customWidth="1"/>
    <col min="11524" max="11525" width="10.1796875" style="1" customWidth="1"/>
    <col min="11526" max="11545" width="8.7265625" style="1" customWidth="1"/>
    <col min="11546" max="11776" width="12.453125" style="1"/>
    <col min="11777" max="11777" width="1.81640625" style="1" customWidth="1"/>
    <col min="11778" max="11778" width="10.453125" style="1" bestFit="1" customWidth="1"/>
    <col min="11779" max="11779" width="5.453125" style="1" customWidth="1"/>
    <col min="11780" max="11781" width="10.1796875" style="1" customWidth="1"/>
    <col min="11782" max="11801" width="8.7265625" style="1" customWidth="1"/>
    <col min="11802" max="12032" width="12.453125" style="1"/>
    <col min="12033" max="12033" width="1.81640625" style="1" customWidth="1"/>
    <col min="12034" max="12034" width="10.453125" style="1" bestFit="1" customWidth="1"/>
    <col min="12035" max="12035" width="5.453125" style="1" customWidth="1"/>
    <col min="12036" max="12037" width="10.1796875" style="1" customWidth="1"/>
    <col min="12038" max="12057" width="8.7265625" style="1" customWidth="1"/>
    <col min="12058" max="12288" width="12.453125" style="1"/>
    <col min="12289" max="12289" width="1.81640625" style="1" customWidth="1"/>
    <col min="12290" max="12290" width="10.453125" style="1" bestFit="1" customWidth="1"/>
    <col min="12291" max="12291" width="5.453125" style="1" customWidth="1"/>
    <col min="12292" max="12293" width="10.1796875" style="1" customWidth="1"/>
    <col min="12294" max="12313" width="8.7265625" style="1" customWidth="1"/>
    <col min="12314" max="12544" width="12.453125" style="1"/>
    <col min="12545" max="12545" width="1.81640625" style="1" customWidth="1"/>
    <col min="12546" max="12546" width="10.453125" style="1" bestFit="1" customWidth="1"/>
    <col min="12547" max="12547" width="5.453125" style="1" customWidth="1"/>
    <col min="12548" max="12549" width="10.1796875" style="1" customWidth="1"/>
    <col min="12550" max="12569" width="8.7265625" style="1" customWidth="1"/>
    <col min="12570" max="12800" width="12.453125" style="1"/>
    <col min="12801" max="12801" width="1.81640625" style="1" customWidth="1"/>
    <col min="12802" max="12802" width="10.453125" style="1" bestFit="1" customWidth="1"/>
    <col min="12803" max="12803" width="5.453125" style="1" customWidth="1"/>
    <col min="12804" max="12805" width="10.1796875" style="1" customWidth="1"/>
    <col min="12806" max="12825" width="8.7265625" style="1" customWidth="1"/>
    <col min="12826" max="13056" width="12.453125" style="1"/>
    <col min="13057" max="13057" width="1.81640625" style="1" customWidth="1"/>
    <col min="13058" max="13058" width="10.453125" style="1" bestFit="1" customWidth="1"/>
    <col min="13059" max="13059" width="5.453125" style="1" customWidth="1"/>
    <col min="13060" max="13061" width="10.1796875" style="1" customWidth="1"/>
    <col min="13062" max="13081" width="8.7265625" style="1" customWidth="1"/>
    <col min="13082" max="13312" width="12.453125" style="1"/>
    <col min="13313" max="13313" width="1.81640625" style="1" customWidth="1"/>
    <col min="13314" max="13314" width="10.453125" style="1" bestFit="1" customWidth="1"/>
    <col min="13315" max="13315" width="5.453125" style="1" customWidth="1"/>
    <col min="13316" max="13317" width="10.1796875" style="1" customWidth="1"/>
    <col min="13318" max="13337" width="8.7265625" style="1" customWidth="1"/>
    <col min="13338" max="13568" width="12.453125" style="1"/>
    <col min="13569" max="13569" width="1.81640625" style="1" customWidth="1"/>
    <col min="13570" max="13570" width="10.453125" style="1" bestFit="1" customWidth="1"/>
    <col min="13571" max="13571" width="5.453125" style="1" customWidth="1"/>
    <col min="13572" max="13573" width="10.1796875" style="1" customWidth="1"/>
    <col min="13574" max="13593" width="8.7265625" style="1" customWidth="1"/>
    <col min="13594" max="13824" width="12.453125" style="1"/>
    <col min="13825" max="13825" width="1.81640625" style="1" customWidth="1"/>
    <col min="13826" max="13826" width="10.453125" style="1" bestFit="1" customWidth="1"/>
    <col min="13827" max="13827" width="5.453125" style="1" customWidth="1"/>
    <col min="13828" max="13829" width="10.1796875" style="1" customWidth="1"/>
    <col min="13830" max="13849" width="8.7265625" style="1" customWidth="1"/>
    <col min="13850" max="14080" width="12.453125" style="1"/>
    <col min="14081" max="14081" width="1.81640625" style="1" customWidth="1"/>
    <col min="14082" max="14082" width="10.453125" style="1" bestFit="1" customWidth="1"/>
    <col min="14083" max="14083" width="5.453125" style="1" customWidth="1"/>
    <col min="14084" max="14085" width="10.1796875" style="1" customWidth="1"/>
    <col min="14086" max="14105" width="8.7265625" style="1" customWidth="1"/>
    <col min="14106" max="14336" width="12.453125" style="1"/>
    <col min="14337" max="14337" width="1.81640625" style="1" customWidth="1"/>
    <col min="14338" max="14338" width="10.453125" style="1" bestFit="1" customWidth="1"/>
    <col min="14339" max="14339" width="5.453125" style="1" customWidth="1"/>
    <col min="14340" max="14341" width="10.1796875" style="1" customWidth="1"/>
    <col min="14342" max="14361" width="8.7265625" style="1" customWidth="1"/>
    <col min="14362" max="14592" width="12.453125" style="1"/>
    <col min="14593" max="14593" width="1.81640625" style="1" customWidth="1"/>
    <col min="14594" max="14594" width="10.453125" style="1" bestFit="1" customWidth="1"/>
    <col min="14595" max="14595" width="5.453125" style="1" customWidth="1"/>
    <col min="14596" max="14597" width="10.1796875" style="1" customWidth="1"/>
    <col min="14598" max="14617" width="8.7265625" style="1" customWidth="1"/>
    <col min="14618" max="14848" width="12.453125" style="1"/>
    <col min="14849" max="14849" width="1.81640625" style="1" customWidth="1"/>
    <col min="14850" max="14850" width="10.453125" style="1" bestFit="1" customWidth="1"/>
    <col min="14851" max="14851" width="5.453125" style="1" customWidth="1"/>
    <col min="14852" max="14853" width="10.1796875" style="1" customWidth="1"/>
    <col min="14854" max="14873" width="8.7265625" style="1" customWidth="1"/>
    <col min="14874" max="15104" width="12.453125" style="1"/>
    <col min="15105" max="15105" width="1.81640625" style="1" customWidth="1"/>
    <col min="15106" max="15106" width="10.453125" style="1" bestFit="1" customWidth="1"/>
    <col min="15107" max="15107" width="5.453125" style="1" customWidth="1"/>
    <col min="15108" max="15109" width="10.1796875" style="1" customWidth="1"/>
    <col min="15110" max="15129" width="8.7265625" style="1" customWidth="1"/>
    <col min="15130" max="15360" width="12.453125" style="1"/>
    <col min="15361" max="15361" width="1.81640625" style="1" customWidth="1"/>
    <col min="15362" max="15362" width="10.453125" style="1" bestFit="1" customWidth="1"/>
    <col min="15363" max="15363" width="5.453125" style="1" customWidth="1"/>
    <col min="15364" max="15365" width="10.1796875" style="1" customWidth="1"/>
    <col min="15366" max="15385" width="8.7265625" style="1" customWidth="1"/>
    <col min="15386" max="15616" width="12.453125" style="1"/>
    <col min="15617" max="15617" width="1.81640625" style="1" customWidth="1"/>
    <col min="15618" max="15618" width="10.453125" style="1" bestFit="1" customWidth="1"/>
    <col min="15619" max="15619" width="5.453125" style="1" customWidth="1"/>
    <col min="15620" max="15621" width="10.1796875" style="1" customWidth="1"/>
    <col min="15622" max="15641" width="8.7265625" style="1" customWidth="1"/>
    <col min="15642" max="15872" width="12.453125" style="1"/>
    <col min="15873" max="15873" width="1.81640625" style="1" customWidth="1"/>
    <col min="15874" max="15874" width="10.453125" style="1" bestFit="1" customWidth="1"/>
    <col min="15875" max="15875" width="5.453125" style="1" customWidth="1"/>
    <col min="15876" max="15877" width="10.1796875" style="1" customWidth="1"/>
    <col min="15878" max="15897" width="8.7265625" style="1" customWidth="1"/>
    <col min="15898" max="16128" width="12.453125" style="1"/>
    <col min="16129" max="16129" width="1.81640625" style="1" customWidth="1"/>
    <col min="16130" max="16130" width="10.453125" style="1" bestFit="1" customWidth="1"/>
    <col min="16131" max="16131" width="5.453125" style="1" customWidth="1"/>
    <col min="16132" max="16133" width="10.1796875" style="1" customWidth="1"/>
    <col min="16134" max="16153" width="8.7265625" style="1" customWidth="1"/>
    <col min="16154" max="16384" width="12.453125" style="1"/>
  </cols>
  <sheetData>
    <row r="2" spans="1:33" ht="37.5" customHeight="1" x14ac:dyDescent="0.35">
      <c r="G2" s="109"/>
      <c r="H2" s="109"/>
      <c r="I2" s="109"/>
      <c r="J2" s="109"/>
      <c r="K2" s="109"/>
      <c r="L2" s="234"/>
      <c r="M2" s="233" t="s">
        <v>224</v>
      </c>
      <c r="N2" s="120"/>
      <c r="O2" s="232"/>
      <c r="P2" s="231"/>
      <c r="Q2" s="110"/>
      <c r="R2" s="105"/>
      <c r="S2" s="105"/>
      <c r="T2" s="105"/>
      <c r="U2" s="105"/>
      <c r="V2" s="105"/>
      <c r="W2" s="105"/>
      <c r="X2" s="105"/>
      <c r="Y2" s="105"/>
    </row>
    <row r="3" spans="1:33" ht="18" customHeight="1" x14ac:dyDescent="0.35">
      <c r="G3" s="109"/>
      <c r="H3" s="109"/>
      <c r="I3" s="109"/>
      <c r="J3" s="107"/>
      <c r="K3" s="107"/>
      <c r="L3" s="230"/>
      <c r="M3" s="229" t="s">
        <v>221</v>
      </c>
      <c r="N3" s="106"/>
      <c r="O3" s="228"/>
      <c r="P3" s="227"/>
      <c r="Q3" s="226"/>
      <c r="R3" s="106"/>
      <c r="S3" s="105"/>
      <c r="T3" s="105"/>
      <c r="U3" s="105"/>
      <c r="V3" s="105"/>
      <c r="W3" s="105"/>
      <c r="X3" s="105"/>
      <c r="Y3" s="105"/>
    </row>
    <row r="4" spans="1:33" ht="18" customHeight="1" x14ac:dyDescent="0.35">
      <c r="G4" s="109"/>
      <c r="H4" s="109"/>
      <c r="I4" s="109"/>
      <c r="J4" s="107"/>
      <c r="K4" s="107"/>
      <c r="L4" s="230"/>
      <c r="M4" s="229" t="s">
        <v>219</v>
      </c>
      <c r="N4" s="106"/>
      <c r="O4" s="228"/>
      <c r="P4" s="227"/>
      <c r="Q4" s="226"/>
      <c r="R4" s="106"/>
      <c r="S4" s="105"/>
      <c r="T4" s="105"/>
      <c r="U4" s="105"/>
      <c r="V4" s="105"/>
      <c r="W4" s="105"/>
      <c r="X4" s="105"/>
      <c r="Y4" s="105"/>
    </row>
    <row r="5" spans="1:33" ht="27.75" customHeight="1" x14ac:dyDescent="0.35">
      <c r="G5" s="109"/>
      <c r="H5" s="109"/>
      <c r="I5" s="109"/>
      <c r="J5" s="109"/>
      <c r="K5" s="109"/>
      <c r="M5" s="225" t="s">
        <v>241</v>
      </c>
      <c r="N5" s="225"/>
      <c r="O5" s="225"/>
      <c r="P5" s="128"/>
      <c r="Q5" s="110"/>
      <c r="R5" s="105"/>
      <c r="S5" s="105"/>
      <c r="T5" s="105"/>
      <c r="U5" s="105"/>
      <c r="V5" s="105"/>
      <c r="W5" s="105"/>
      <c r="X5" s="105"/>
      <c r="Y5" s="105"/>
    </row>
    <row r="6" spans="1:33" s="81" customFormat="1" ht="26.15" customHeight="1" x14ac:dyDescent="0.35">
      <c r="B6" s="218" t="s">
        <v>240</v>
      </c>
      <c r="C6" s="217" t="s">
        <v>214</v>
      </c>
      <c r="D6" s="217"/>
      <c r="E6" s="217" t="s">
        <v>239</v>
      </c>
      <c r="F6" s="222" t="s">
        <v>213</v>
      </c>
      <c r="G6" s="224"/>
      <c r="H6" s="224"/>
      <c r="I6" s="224"/>
      <c r="J6" s="222" t="s">
        <v>212</v>
      </c>
      <c r="K6" s="223"/>
      <c r="L6" s="223"/>
      <c r="M6" s="223"/>
      <c r="N6" s="224" t="s">
        <v>211</v>
      </c>
      <c r="O6" s="223"/>
      <c r="P6" s="222"/>
      <c r="Q6" s="222"/>
      <c r="R6" s="220" t="s">
        <v>210</v>
      </c>
      <c r="S6" s="219"/>
      <c r="T6" s="219"/>
      <c r="U6" s="219"/>
      <c r="V6" s="221" t="s">
        <v>209</v>
      </c>
      <c r="W6" s="219"/>
      <c r="X6" s="220"/>
      <c r="Y6" s="219"/>
      <c r="Z6" s="82" t="s">
        <v>208</v>
      </c>
      <c r="AA6" s="82"/>
      <c r="AB6" s="82"/>
      <c r="AC6" s="82"/>
      <c r="AD6" s="82"/>
      <c r="AE6" s="82"/>
      <c r="AF6" s="82"/>
      <c r="AG6" s="82"/>
    </row>
    <row r="7" spans="1:33" s="81" customFormat="1" ht="15.65" customHeight="1" x14ac:dyDescent="0.35">
      <c r="B7" s="218"/>
      <c r="C7" s="88" t="s">
        <v>206</v>
      </c>
      <c r="D7" s="88" t="s">
        <v>205</v>
      </c>
      <c r="E7" s="217"/>
      <c r="F7" s="104" t="s">
        <v>206</v>
      </c>
      <c r="G7" s="104" t="s">
        <v>205</v>
      </c>
      <c r="H7" s="104" t="s">
        <v>204</v>
      </c>
      <c r="I7" s="104" t="s">
        <v>203</v>
      </c>
      <c r="J7" s="104" t="s">
        <v>206</v>
      </c>
      <c r="K7" s="104" t="s">
        <v>205</v>
      </c>
      <c r="L7" s="104" t="s">
        <v>204</v>
      </c>
      <c r="M7" s="104" t="s">
        <v>203</v>
      </c>
      <c r="N7" s="104" t="s">
        <v>206</v>
      </c>
      <c r="O7" s="104" t="s">
        <v>205</v>
      </c>
      <c r="P7" s="104" t="s">
        <v>204</v>
      </c>
      <c r="Q7" s="104" t="s">
        <v>203</v>
      </c>
      <c r="R7" s="104" t="s">
        <v>206</v>
      </c>
      <c r="S7" s="104" t="s">
        <v>205</v>
      </c>
      <c r="T7" s="104" t="s">
        <v>204</v>
      </c>
      <c r="U7" s="104" t="s">
        <v>203</v>
      </c>
      <c r="V7" s="104" t="s">
        <v>206</v>
      </c>
      <c r="W7" s="104" t="s">
        <v>205</v>
      </c>
      <c r="X7" s="104" t="s">
        <v>204</v>
      </c>
      <c r="Y7" s="104" t="s">
        <v>203</v>
      </c>
      <c r="Z7" s="82"/>
      <c r="AA7" s="82"/>
      <c r="AB7" s="82"/>
      <c r="AC7" s="82"/>
      <c r="AD7" s="82"/>
      <c r="AE7" s="82"/>
      <c r="AF7" s="82"/>
      <c r="AG7" s="82"/>
    </row>
    <row r="8" spans="1:33" x14ac:dyDescent="0.35">
      <c r="A8" s="188"/>
      <c r="B8" s="183">
        <v>46039</v>
      </c>
      <c r="C8" s="182"/>
      <c r="D8" s="216" t="s">
        <v>191</v>
      </c>
      <c r="E8" s="162" t="s">
        <v>229</v>
      </c>
      <c r="F8" s="212">
        <v>1739.384</v>
      </c>
      <c r="G8" s="211">
        <v>1741.64</v>
      </c>
      <c r="H8" s="202">
        <f>(IF(G8="","",G8-F8))</f>
        <v>2.2560000000000855</v>
      </c>
      <c r="I8" s="210">
        <f>IF(H8="","",H8/F8)</f>
        <v>1.2970108958114399E-3</v>
      </c>
      <c r="J8" s="207">
        <v>5512</v>
      </c>
      <c r="K8" s="206">
        <v>5304</v>
      </c>
      <c r="L8" s="205">
        <f>(IF(K8="","",K8-J8))</f>
        <v>-208</v>
      </c>
      <c r="M8" s="200">
        <f>IF(L8="","",L8/J8)</f>
        <v>-3.7735849056603772E-2</v>
      </c>
      <c r="N8" s="209">
        <f>IF(J8="","",(F8*J8)/1000000)</f>
        <v>9.5874846080000005</v>
      </c>
      <c r="O8" s="209">
        <f>IF(K8="","",(G8*K8)/1000000)</f>
        <v>9.2376585599999999</v>
      </c>
      <c r="P8" s="208">
        <f>(IF(O8="","",O8-N8))</f>
        <v>-0.34982604800000061</v>
      </c>
      <c r="Q8" s="201">
        <f>IF(P8="","",P8/N8)</f>
        <v>-3.6487781968181553E-2</v>
      </c>
      <c r="R8" s="207">
        <v>834288</v>
      </c>
      <c r="S8" s="206">
        <v>806646</v>
      </c>
      <c r="T8" s="205">
        <f>(IF(S8="","",S8-R8))</f>
        <v>-27642</v>
      </c>
      <c r="U8" s="201">
        <f>IF(T8="","",T8/R8)</f>
        <v>-3.3132443472757608E-2</v>
      </c>
      <c r="V8" s="204">
        <f>IF(R8="","",(F8*R8)/1000000)</f>
        <v>1451.147198592</v>
      </c>
      <c r="W8" s="203">
        <f>IF(S8="","",(G8*S8)/1000000)</f>
        <v>1404.8869394400001</v>
      </c>
      <c r="X8" s="202">
        <f>(IF(W8="","",W8-V8))</f>
        <v>-46.26025915199989</v>
      </c>
      <c r="Y8" s="201">
        <f>IF(X8="","",X8/V8)</f>
        <v>-3.1878405717135162E-2</v>
      </c>
    </row>
    <row r="9" spans="1:33" x14ac:dyDescent="0.35">
      <c r="A9" s="188"/>
      <c r="B9" s="165"/>
      <c r="C9" s="164">
        <v>6</v>
      </c>
      <c r="D9" s="215"/>
      <c r="E9" s="193" t="s">
        <v>228</v>
      </c>
      <c r="F9" s="161">
        <f>F8</f>
        <v>1739.384</v>
      </c>
      <c r="G9" s="160">
        <f>G8-0.1</f>
        <v>1741.5400000000002</v>
      </c>
      <c r="H9" s="149">
        <f>(IF(G9="","",G9-F9))</f>
        <v>2.1560000000001764</v>
      </c>
      <c r="I9" s="159">
        <f>IF(H9="","",H9/F9)</f>
        <v>1.2395192780893559E-3</v>
      </c>
      <c r="J9" s="154">
        <v>5497</v>
      </c>
      <c r="K9" s="153">
        <v>5552</v>
      </c>
      <c r="L9" s="152">
        <f>(IF(K9="","",K9-J9))</f>
        <v>55</v>
      </c>
      <c r="M9" s="200">
        <f>IF(L9="","",L9/J9)</f>
        <v>1.0005457522284883E-2</v>
      </c>
      <c r="N9" s="157">
        <f>IF(J9="","",(F9*J9)/1000000)</f>
        <v>9.5613938479999998</v>
      </c>
      <c r="O9" s="156">
        <f>IF(K9="","",(G9*K9)/1000000)</f>
        <v>9.6690300800000024</v>
      </c>
      <c r="P9" s="155">
        <f>(IF(O9="","",O9-N9))</f>
        <v>0.10763623200000261</v>
      </c>
      <c r="Q9" s="148">
        <f>IF(P9="","",P9/N9)</f>
        <v>1.1257378757859385E-2</v>
      </c>
      <c r="R9" s="154">
        <v>830470</v>
      </c>
      <c r="S9" s="153">
        <v>832713</v>
      </c>
      <c r="T9" s="152">
        <f>(IF(S9="","",S9-R9))</f>
        <v>2243</v>
      </c>
      <c r="U9" s="148">
        <f>IF(T9="","",T9/R9)</f>
        <v>2.7008802244512142E-3</v>
      </c>
      <c r="V9" s="151">
        <f>IF(R9="","",(F9*R9)/1000000)</f>
        <v>1444.5062304800001</v>
      </c>
      <c r="W9" s="150">
        <f>IF(S9="","",(G9*S9)/1000000)</f>
        <v>1450.2029980200002</v>
      </c>
      <c r="X9" s="149">
        <f>(IF(W9="","",W9-V9))</f>
        <v>5.6967675400001099</v>
      </c>
      <c r="Y9" s="148">
        <f>IF(X9="","",X9/V9)</f>
        <v>3.943747295646562E-3</v>
      </c>
      <c r="Z9" s="190" t="s">
        <v>231</v>
      </c>
      <c r="AA9" s="189"/>
      <c r="AB9" s="189"/>
      <c r="AC9" s="189"/>
      <c r="AD9" s="189"/>
      <c r="AE9" s="189"/>
      <c r="AF9" s="189"/>
      <c r="AG9" s="189"/>
    </row>
    <row r="10" spans="1:33" x14ac:dyDescent="0.35">
      <c r="A10" s="188"/>
      <c r="B10" s="147"/>
      <c r="C10" s="146"/>
      <c r="D10" s="214"/>
      <c r="E10" s="195" t="s">
        <v>227</v>
      </c>
      <c r="F10" s="143"/>
      <c r="G10" s="142"/>
      <c r="H10" s="131" t="str">
        <f>(IF(G10="","",G10-F10))</f>
        <v/>
      </c>
      <c r="I10" s="141" t="str">
        <f>IF(H10="","",H10/F10)</f>
        <v/>
      </c>
      <c r="J10" s="213"/>
      <c r="K10" s="135"/>
      <c r="L10" s="134" t="str">
        <f>(IF(K10="","",K10-J10))</f>
        <v/>
      </c>
      <c r="M10" s="140" t="str">
        <f>IF(L10="","",L10/J10)</f>
        <v/>
      </c>
      <c r="N10" s="139" t="str">
        <f>IF(J10="","",(F10*J10)/1000000)</f>
        <v/>
      </c>
      <c r="O10" s="138" t="str">
        <f>IF(K10="","",(G10*K10)/1000000)</f>
        <v/>
      </c>
      <c r="P10" s="137" t="str">
        <f>(IF(O10="","",O10-N10))</f>
        <v/>
      </c>
      <c r="Q10" s="130" t="str">
        <f>IF(P10="","",P10/N10)</f>
        <v/>
      </c>
      <c r="R10" s="213"/>
      <c r="S10" s="135"/>
      <c r="T10" s="134" t="str">
        <f>(IF(S10="","",S10-R10))</f>
        <v/>
      </c>
      <c r="U10" s="130" t="str">
        <f>IF(T10="","",T10/R10)</f>
        <v/>
      </c>
      <c r="V10" s="133" t="str">
        <f>IF(R10="","",(F10*R10)/1000000)</f>
        <v/>
      </c>
      <c r="W10" s="132" t="str">
        <f>IF(S10="","",(G10*S10)/1000000)</f>
        <v/>
      </c>
      <c r="X10" s="131" t="str">
        <f>(IF(W10="","",W10-V10))</f>
        <v/>
      </c>
      <c r="Y10" s="130" t="str">
        <f>IF(X10="","",X10/V10)</f>
        <v/>
      </c>
    </row>
    <row r="11" spans="1:33" x14ac:dyDescent="0.35">
      <c r="A11" s="188"/>
      <c r="B11" s="183">
        <v>46042</v>
      </c>
      <c r="C11" s="182"/>
      <c r="D11" s="165" t="s">
        <v>185</v>
      </c>
      <c r="E11" s="162" t="s">
        <v>229</v>
      </c>
      <c r="F11" s="212">
        <v>1562.107</v>
      </c>
      <c r="G11" s="211">
        <v>1559.19</v>
      </c>
      <c r="H11" s="202">
        <f>(IF(G11="","",G11-F11))</f>
        <v>-2.9169999999999163</v>
      </c>
      <c r="I11" s="210">
        <f>IF(H11="","",H11/F11)</f>
        <v>-1.8673496757904012E-3</v>
      </c>
      <c r="J11" s="207">
        <v>4706</v>
      </c>
      <c r="K11" s="206">
        <v>4486</v>
      </c>
      <c r="L11" s="205">
        <f>(IF(K11="","",K11-J11))</f>
        <v>-220</v>
      </c>
      <c r="M11" s="200">
        <f>IF(L11="","",L11/J11)</f>
        <v>-4.6748831279218021E-2</v>
      </c>
      <c r="N11" s="209">
        <f>IF(J11="","",(F11*J11)/1000000)</f>
        <v>7.3512755419999998</v>
      </c>
      <c r="O11" s="209">
        <f>IF(K11="","",(G11*K11)/1000000)</f>
        <v>6.9945263400000002</v>
      </c>
      <c r="P11" s="208">
        <f>(IF(O11="","",O11-N11))</f>
        <v>-0.3567492019999996</v>
      </c>
      <c r="Q11" s="201">
        <f>IF(P11="","",P11/N11)</f>
        <v>-4.852888454007559E-2</v>
      </c>
      <c r="R11" s="207">
        <v>804594</v>
      </c>
      <c r="S11" s="206">
        <v>777499</v>
      </c>
      <c r="T11" s="205">
        <f>(IF(S11="","",S11-R11))</f>
        <v>-27095</v>
      </c>
      <c r="U11" s="201">
        <f>IF(T11="","",T11/R11)</f>
        <v>-3.3675369192412569E-2</v>
      </c>
      <c r="V11" s="204">
        <f>IF(R11="","",(F11*R11)/1000000)</f>
        <v>1256.8619195580002</v>
      </c>
      <c r="W11" s="203">
        <f>IF(S11="","",(G11*S11)/1000000)</f>
        <v>1212.2686658099999</v>
      </c>
      <c r="X11" s="202">
        <f>(IF(W11="","",W11-V11))</f>
        <v>-44.593253748000279</v>
      </c>
      <c r="Y11" s="201">
        <f>IF(X11="","",X11/V11)</f>
        <v>-3.5479835178459665E-2</v>
      </c>
      <c r="Z11" s="76"/>
    </row>
    <row r="12" spans="1:33" x14ac:dyDescent="0.35">
      <c r="A12" s="188"/>
      <c r="B12" s="165"/>
      <c r="C12" s="164">
        <v>9</v>
      </c>
      <c r="D12" s="165"/>
      <c r="E12" s="193" t="s">
        <v>228</v>
      </c>
      <c r="F12" s="161">
        <f>F11</f>
        <v>1562.107</v>
      </c>
      <c r="G12" s="160">
        <f>G11-0.1</f>
        <v>1559.0900000000001</v>
      </c>
      <c r="H12" s="149">
        <f>(IF(G12="","",G12-F12))</f>
        <v>-3.0169999999998254</v>
      </c>
      <c r="I12" s="159">
        <f>IF(H12="","",H12/F12)</f>
        <v>-1.9313657771201495E-3</v>
      </c>
      <c r="J12" s="154">
        <v>4662</v>
      </c>
      <c r="K12" s="153">
        <v>4707</v>
      </c>
      <c r="L12" s="152">
        <f>(IF(K12="","",K12-J12))</f>
        <v>45</v>
      </c>
      <c r="M12" s="200">
        <f>IF(L12="","",L12/J12)</f>
        <v>9.6525096525096523E-3</v>
      </c>
      <c r="N12" s="157">
        <f>IF(J12="","",(F12*J12)/1000000)</f>
        <v>7.282542834</v>
      </c>
      <c r="O12" s="156">
        <f>IF(K12="","",(G12*K12)/1000000)</f>
        <v>7.3386366300000008</v>
      </c>
      <c r="P12" s="155">
        <f>(IF(O12="","",O12-N12))</f>
        <v>5.6093796000000751E-2</v>
      </c>
      <c r="Q12" s="148">
        <f>IF(P12="","",P12/N12)</f>
        <v>7.7025013485833137E-3</v>
      </c>
      <c r="R12" s="154">
        <v>806801</v>
      </c>
      <c r="S12" s="153">
        <v>803185</v>
      </c>
      <c r="T12" s="152">
        <f>(IF(S12="","",S12-R12))</f>
        <v>-3616</v>
      </c>
      <c r="U12" s="148">
        <f>IF(T12="","",T12/R12)</f>
        <v>-4.4818982623967994E-3</v>
      </c>
      <c r="V12" s="151">
        <f>IF(R12="","",(F12*R12)/1000000)</f>
        <v>1260.309489707</v>
      </c>
      <c r="W12" s="150">
        <f>IF(S12="","",(G12*S12)/1000000)</f>
        <v>1252.2377016500002</v>
      </c>
      <c r="X12" s="149">
        <f>(IF(W12="","",W12-V12))</f>
        <v>-8.0717880569998215</v>
      </c>
      <c r="Y12" s="148">
        <f>IF(X12="","",X12/V12)</f>
        <v>-6.4046078545963907E-3</v>
      </c>
      <c r="Z12" s="190" t="s">
        <v>231</v>
      </c>
      <c r="AA12" s="189"/>
      <c r="AB12" s="189"/>
      <c r="AC12" s="189"/>
      <c r="AD12" s="189"/>
      <c r="AE12" s="189"/>
      <c r="AF12" s="189"/>
      <c r="AG12" s="189"/>
    </row>
    <row r="13" spans="1:33" x14ac:dyDescent="0.35">
      <c r="A13" s="188"/>
      <c r="B13" s="147"/>
      <c r="C13" s="146"/>
      <c r="D13" s="147"/>
      <c r="E13" s="195" t="s">
        <v>227</v>
      </c>
      <c r="F13" s="143"/>
      <c r="G13" s="142"/>
      <c r="H13" s="131" t="str">
        <f>(IF(G13="","",G13-F13))</f>
        <v/>
      </c>
      <c r="I13" s="141" t="str">
        <f>IF(H13="","",H13/F13)</f>
        <v/>
      </c>
      <c r="J13" s="154"/>
      <c r="K13" s="135"/>
      <c r="L13" s="134" t="str">
        <f>(IF(K13="","",K13-J13))</f>
        <v/>
      </c>
      <c r="M13" s="140" t="str">
        <f>IF(L13="","",L13/J13)</f>
        <v/>
      </c>
      <c r="N13" s="139" t="str">
        <f>IF(J13="","",(F13*J13)/1000000)</f>
        <v/>
      </c>
      <c r="O13" s="138" t="str">
        <f>IF(K13="","",(G13*K13)/1000000)</f>
        <v/>
      </c>
      <c r="P13" s="137" t="str">
        <f>(IF(O13="","",O13-N13))</f>
        <v/>
      </c>
      <c r="Q13" s="130" t="str">
        <f>IF(P13="","",P13/N13)</f>
        <v/>
      </c>
      <c r="R13" s="154"/>
      <c r="S13" s="135"/>
      <c r="T13" s="134" t="str">
        <f>(IF(S13="","",S13-R13))</f>
        <v/>
      </c>
      <c r="U13" s="130" t="str">
        <f>IF(T13="","",T13/R13)</f>
        <v/>
      </c>
      <c r="V13" s="133" t="str">
        <f>IF(R13="","",(F13*R13)/1000000)</f>
        <v/>
      </c>
      <c r="W13" s="132" t="str">
        <f>IF(S13="","",(G13*S13)/1000000)</f>
        <v/>
      </c>
      <c r="X13" s="131" t="str">
        <f>(IF(W13="","",W13-V13))</f>
        <v/>
      </c>
      <c r="Y13" s="130" t="str">
        <f>IF(X13="","",X13/V13)</f>
        <v/>
      </c>
    </row>
    <row r="14" spans="1:33" x14ac:dyDescent="0.35">
      <c r="A14" s="188"/>
      <c r="B14" s="183">
        <v>46045</v>
      </c>
      <c r="C14" s="182"/>
      <c r="D14" s="183" t="s">
        <v>183</v>
      </c>
      <c r="E14" s="193" t="s">
        <v>229</v>
      </c>
      <c r="F14" s="179">
        <v>1578.1179999999999</v>
      </c>
      <c r="G14" s="178">
        <v>1578.463</v>
      </c>
      <c r="H14" s="167">
        <f>(IF(G14="","",G14-F14))</f>
        <v>0.34500000000002728</v>
      </c>
      <c r="I14" s="177">
        <f>IF(H14="","",H14/F14)</f>
        <v>2.1861483108362448E-4</v>
      </c>
      <c r="J14" s="172">
        <v>4478</v>
      </c>
      <c r="K14" s="171">
        <v>3973</v>
      </c>
      <c r="L14" s="170">
        <f>(IF(K14="","",K14-J14))</f>
        <v>-505</v>
      </c>
      <c r="M14" s="176">
        <f>IF(L14="","",L14/J14)</f>
        <v>-0.11277355962483251</v>
      </c>
      <c r="N14" s="175">
        <f>IF(J14="","",(F14*J14)/1000000)</f>
        <v>7.0668124040000002</v>
      </c>
      <c r="O14" s="174">
        <f>IF(K14="","",(G14*K14)/1000000)</f>
        <v>6.271233499</v>
      </c>
      <c r="P14" s="173">
        <f>(IF(O14="","",O14-N14))</f>
        <v>-0.79557890500000017</v>
      </c>
      <c r="Q14" s="166">
        <f>IF(P14="","",P14/N14)</f>
        <v>-0.11257959876643701</v>
      </c>
      <c r="R14" s="172">
        <v>800203</v>
      </c>
      <c r="S14" s="171">
        <v>798407</v>
      </c>
      <c r="T14" s="170">
        <f>(IF(S14="","",S14-R14))</f>
        <v>-1796</v>
      </c>
      <c r="U14" s="166">
        <f>IF(T14="","",T14/R14)</f>
        <v>-2.244430475766774E-3</v>
      </c>
      <c r="V14" s="169">
        <f>IF(R14="","",(F14*R14)/1000000)</f>
        <v>1262.814757954</v>
      </c>
      <c r="W14" s="168">
        <f>IF(S14="","",(G14*S14)/1000000)</f>
        <v>1260.255908441</v>
      </c>
      <c r="X14" s="167">
        <f>(IF(W14="","",W14-V14))</f>
        <v>-2.558849513000041</v>
      </c>
      <c r="Y14" s="166">
        <f>IF(X14="","",X14/V14)</f>
        <v>-2.0263063104725382E-3</v>
      </c>
    </row>
    <row r="15" spans="1:33" x14ac:dyDescent="0.35">
      <c r="A15" s="188"/>
      <c r="B15" s="165"/>
      <c r="C15" s="164">
        <v>10</v>
      </c>
      <c r="D15" s="165"/>
      <c r="E15" s="193" t="s">
        <v>228</v>
      </c>
      <c r="F15" s="161">
        <f>F14</f>
        <v>1578.1179999999999</v>
      </c>
      <c r="G15" s="160">
        <f>G14-0.1</f>
        <v>1578.3630000000001</v>
      </c>
      <c r="H15" s="149">
        <f>(IF(G15="","",G15-F15))</f>
        <v>0.24500000000011823</v>
      </c>
      <c r="I15" s="159">
        <f>IF(H15="","",H15/F15)</f>
        <v>1.5524821337828873E-4</v>
      </c>
      <c r="J15" s="154">
        <v>4452</v>
      </c>
      <c r="K15" s="153">
        <v>4481</v>
      </c>
      <c r="L15" s="152">
        <f>(IF(K15="","",K15-J15))</f>
        <v>29</v>
      </c>
      <c r="M15" s="158">
        <f>IF(L15="","",L15/J15)</f>
        <v>6.5139263252470799E-3</v>
      </c>
      <c r="N15" s="157">
        <f>IF(J15="","",(F15*J15)/1000000)</f>
        <v>7.0257813360000005</v>
      </c>
      <c r="O15" s="156">
        <f>IF(K15="","",(G15*K15)/1000000)</f>
        <v>7.0726446030000005</v>
      </c>
      <c r="P15" s="155">
        <f>(IF(O15="","",O15-N15))</f>
        <v>4.6863266999999986E-2</v>
      </c>
      <c r="Q15" s="148">
        <f>IF(P15="","",P15/N15)</f>
        <v>6.670185814049363E-3</v>
      </c>
      <c r="R15" s="154">
        <v>795695</v>
      </c>
      <c r="S15" s="153">
        <v>797870</v>
      </c>
      <c r="T15" s="152">
        <f>(IF(S15="","",S15-R15))</f>
        <v>2175</v>
      </c>
      <c r="U15" s="148">
        <f>IF(T15="","",T15/R15)</f>
        <v>2.7334594285498841E-3</v>
      </c>
      <c r="V15" s="151">
        <f>IF(R15="","",(F15*R15)/1000000)</f>
        <v>1255.70060201</v>
      </c>
      <c r="W15" s="150">
        <f>IF(S15="","",(G15*S15)/1000000)</f>
        <v>1259.32848681</v>
      </c>
      <c r="X15" s="149">
        <f>(IF(W15="","",W15-V15))</f>
        <v>3.6278847999999471</v>
      </c>
      <c r="Y15" s="148">
        <f>IF(X15="","",X15/V15)</f>
        <v>2.8891320066206797E-3</v>
      </c>
      <c r="Z15" s="190" t="s">
        <v>231</v>
      </c>
      <c r="AA15" s="189"/>
      <c r="AB15" s="189"/>
      <c r="AC15" s="189"/>
      <c r="AD15" s="189"/>
      <c r="AE15" s="189"/>
      <c r="AF15" s="189"/>
      <c r="AG15" s="189"/>
    </row>
    <row r="16" spans="1:33" x14ac:dyDescent="0.35">
      <c r="A16" s="188"/>
      <c r="B16" s="147"/>
      <c r="C16" s="146"/>
      <c r="D16" s="147"/>
      <c r="E16" s="199" t="s">
        <v>227</v>
      </c>
      <c r="F16" s="198"/>
      <c r="G16" s="142"/>
      <c r="H16" s="131" t="str">
        <f>(IF(G16="","",G16-F16))</f>
        <v/>
      </c>
      <c r="I16" s="141" t="str">
        <f>IF(H16="","",H16/F16)</f>
        <v/>
      </c>
      <c r="J16" s="154"/>
      <c r="K16" s="135"/>
      <c r="L16" s="134" t="str">
        <f>(IF(K16="","",K16-J16))</f>
        <v/>
      </c>
      <c r="M16" s="140" t="str">
        <f>IF(L16="","",L16/J16)</f>
        <v/>
      </c>
      <c r="N16" s="139" t="str">
        <f>IF(J16="","",(F16*J16)/1000000)</f>
        <v/>
      </c>
      <c r="O16" s="138" t="str">
        <f>IF(K16="","",(G16*K16)/1000000)</f>
        <v/>
      </c>
      <c r="P16" s="137" t="str">
        <f>(IF(O16="","",O16-N16))</f>
        <v/>
      </c>
      <c r="Q16" s="130" t="str">
        <f>IF(P16="","",P16/N16)</f>
        <v/>
      </c>
      <c r="R16" s="154"/>
      <c r="S16" s="135"/>
      <c r="T16" s="134" t="str">
        <f>(IF(S16="","",S16-R16))</f>
        <v/>
      </c>
      <c r="U16" s="130" t="str">
        <f>IF(T16="","",T16/R16)</f>
        <v/>
      </c>
      <c r="V16" s="133" t="str">
        <f>IF(R16="","",(F16*R16)/1000000)</f>
        <v/>
      </c>
      <c r="W16" s="132" t="str">
        <f>IF(S16="","",(G16*S16)/1000000)</f>
        <v/>
      </c>
      <c r="X16" s="131" t="str">
        <f>(IF(W16="","",W16-V16))</f>
        <v/>
      </c>
      <c r="Y16" s="130" t="str">
        <f>IF(X16="","",X16/V16)</f>
        <v/>
      </c>
    </row>
    <row r="17" spans="1:33" x14ac:dyDescent="0.35">
      <c r="A17" s="188"/>
      <c r="B17" s="183" t="s">
        <v>238</v>
      </c>
      <c r="C17" s="182"/>
      <c r="D17" s="183" t="s">
        <v>170</v>
      </c>
      <c r="E17" s="193" t="s">
        <v>229</v>
      </c>
      <c r="F17" s="197">
        <v>1718.6669999999999</v>
      </c>
      <c r="G17" s="178">
        <v>1719.0409999999999</v>
      </c>
      <c r="H17" s="167">
        <f>(IF(G17="","",G17-F17))</f>
        <v>0.37400000000002365</v>
      </c>
      <c r="I17" s="177">
        <f>IF(H17="","",H17/F17)</f>
        <v>2.1761050860930224E-4</v>
      </c>
      <c r="J17" s="172">
        <v>5140</v>
      </c>
      <c r="K17" s="171">
        <v>4963</v>
      </c>
      <c r="L17" s="170">
        <f>(IF(K17="","",K17-J17))</f>
        <v>-177</v>
      </c>
      <c r="M17" s="176">
        <f>IF(L17="","",L17/J17)</f>
        <v>-3.4435797665369652E-2</v>
      </c>
      <c r="N17" s="175">
        <f>IF(J17="","",(F17*J17)/1000000)</f>
        <v>8.8339483799999989</v>
      </c>
      <c r="O17" s="174">
        <f>IF(K17="","",(G17*K17)/1000000)</f>
        <v>8.5316004829999983</v>
      </c>
      <c r="P17" s="173">
        <f>(IF(O17="","",O17-N17))</f>
        <v>-0.30234789700000064</v>
      </c>
      <c r="Q17" s="166">
        <f>IF(P17="","",P17/N17)</f>
        <v>-3.4225680748204763E-2</v>
      </c>
      <c r="R17" s="172">
        <v>833854</v>
      </c>
      <c r="S17" s="171">
        <v>805898</v>
      </c>
      <c r="T17" s="170">
        <f>(IF(S17="","",S17-R17))</f>
        <v>-27956</v>
      </c>
      <c r="U17" s="166">
        <f>IF(T17="","",T17/R17)</f>
        <v>-3.3526252797252278E-2</v>
      </c>
      <c r="V17" s="169">
        <f>IF(R17="","",(F17*R17)/1000000)</f>
        <v>1433.117352618</v>
      </c>
      <c r="W17" s="168">
        <f>IF(S17="","",(G17*S17)/1000000)</f>
        <v>1385.3717038179998</v>
      </c>
      <c r="X17" s="167">
        <f>(IF(W17="","",W17-V17))</f>
        <v>-47.745648800000254</v>
      </c>
      <c r="Y17" s="166">
        <f>IF(X17="","",X17/V17)</f>
        <v>-3.331593795356614E-2</v>
      </c>
    </row>
    <row r="18" spans="1:33" x14ac:dyDescent="0.35">
      <c r="A18" s="188"/>
      <c r="B18" s="165"/>
      <c r="C18" s="164">
        <v>16</v>
      </c>
      <c r="D18" s="165"/>
      <c r="E18" s="193" t="s">
        <v>228</v>
      </c>
      <c r="F18" s="196">
        <v>1718.6669999999999</v>
      </c>
      <c r="G18" s="160">
        <v>1718.941</v>
      </c>
      <c r="H18" s="149">
        <f>(IF(G18="","",G18-F18))</f>
        <v>0.2740000000001146</v>
      </c>
      <c r="I18" s="159">
        <f>IF(H18="","",H18/F18)</f>
        <v>1.5942588063895717E-4</v>
      </c>
      <c r="J18" s="154">
        <v>5121</v>
      </c>
      <c r="K18" s="153">
        <v>5157</v>
      </c>
      <c r="L18" s="152">
        <f>(IF(K18="","",K18-J18))</f>
        <v>36</v>
      </c>
      <c r="M18" s="158">
        <f>IF(L18="","",L18/J18)</f>
        <v>7.0298769771528994E-3</v>
      </c>
      <c r="N18" s="157">
        <f>IF(J18="","",(F18*J18)/1000000)</f>
        <v>8.801293707000001</v>
      </c>
      <c r="O18" s="156">
        <f>IF(K18="","",(G18*K18)/1000000)</f>
        <v>8.8645787370000004</v>
      </c>
      <c r="P18" s="155">
        <f>(IF(O18="","",O18-N18))</f>
        <v>6.3285029999999409E-2</v>
      </c>
      <c r="Q18" s="148">
        <f>IF(P18="","",P18/N18)</f>
        <v>7.1904236021195882E-3</v>
      </c>
      <c r="R18" s="154">
        <v>830869</v>
      </c>
      <c r="S18" s="153">
        <v>832978</v>
      </c>
      <c r="T18" s="152">
        <f>(IF(S18="","",S18-R18))</f>
        <v>2109</v>
      </c>
      <c r="U18" s="148">
        <f>IF(T18="","",T18/R18)</f>
        <v>2.5383062793292322E-3</v>
      </c>
      <c r="V18" s="151">
        <f>IF(R18="","",(F18*R18)/1000000)</f>
        <v>1427.9871316229999</v>
      </c>
      <c r="W18" s="150">
        <f>IF(S18="","",(G18*S18)/1000000)</f>
        <v>1431.8400362980001</v>
      </c>
      <c r="X18" s="149">
        <f>(IF(W18="","",W18-V18))</f>
        <v>3.852904675000218</v>
      </c>
      <c r="Y18" s="148">
        <f>IF(X18="","",X18/V18)</f>
        <v>2.6981368316821891E-3</v>
      </c>
      <c r="Z18" s="190" t="s">
        <v>231</v>
      </c>
      <c r="AA18" s="189"/>
      <c r="AB18" s="189"/>
      <c r="AC18" s="189"/>
      <c r="AD18" s="189"/>
      <c r="AE18" s="189"/>
      <c r="AF18" s="189"/>
      <c r="AG18" s="189"/>
    </row>
    <row r="19" spans="1:33" x14ac:dyDescent="0.35">
      <c r="A19" s="188"/>
      <c r="B19" s="147"/>
      <c r="C19" s="146"/>
      <c r="D19" s="147"/>
      <c r="E19" s="192" t="s">
        <v>227</v>
      </c>
      <c r="F19" s="143"/>
      <c r="G19" s="142"/>
      <c r="H19" s="131" t="str">
        <f>(IF(G19="","",G19-F19))</f>
        <v/>
      </c>
      <c r="I19" s="141" t="str">
        <f>IF(H19="","",H19/F19)</f>
        <v/>
      </c>
      <c r="J19" s="154"/>
      <c r="K19" s="135"/>
      <c r="L19" s="134" t="str">
        <f>(IF(K19="","",K19-J19))</f>
        <v/>
      </c>
      <c r="M19" s="140" t="str">
        <f>IF(L19="","",L19/J19)</f>
        <v/>
      </c>
      <c r="N19" s="139" t="str">
        <f>IF(J19="","",(F19*J19)/1000000)</f>
        <v/>
      </c>
      <c r="O19" s="138" t="str">
        <f>IF(K19="","",(G19*K19)/1000000)</f>
        <v/>
      </c>
      <c r="P19" s="137" t="str">
        <f>(IF(O19="","",O19-N19))</f>
        <v/>
      </c>
      <c r="Q19" s="130" t="str">
        <f>IF(P19="","",P19/N19)</f>
        <v/>
      </c>
      <c r="R19" s="154"/>
      <c r="S19" s="135"/>
      <c r="T19" s="134" t="str">
        <f>(IF(S19="","",S19-R19))</f>
        <v/>
      </c>
      <c r="U19" s="130" t="str">
        <f>IF(T19="","",T19/R19)</f>
        <v/>
      </c>
      <c r="V19" s="133" t="str">
        <f>IF(R19="","",(F19*R19)/1000000)</f>
        <v/>
      </c>
      <c r="W19" s="132" t="str">
        <f>IF(S19="","",(G19*S19)/1000000)</f>
        <v/>
      </c>
      <c r="X19" s="131" t="str">
        <f>(IF(W19="","",W19-V19))</f>
        <v/>
      </c>
      <c r="Y19" s="130" t="str">
        <f>IF(X19="","",X19/V19)</f>
        <v/>
      </c>
    </row>
    <row r="20" spans="1:33" x14ac:dyDescent="0.35">
      <c r="A20" s="188"/>
      <c r="B20" s="183" t="s">
        <v>238</v>
      </c>
      <c r="C20" s="182"/>
      <c r="D20" s="183" t="s">
        <v>168</v>
      </c>
      <c r="E20" s="193" t="s">
        <v>229</v>
      </c>
      <c r="F20" s="179">
        <v>1486.16</v>
      </c>
      <c r="G20" s="178">
        <v>1485.991</v>
      </c>
      <c r="H20" s="167">
        <f>(IF(G20="","",G20-F20))</f>
        <v>-0.16900000000009641</v>
      </c>
      <c r="I20" s="177">
        <f>IF(H20="","",H20/F20)</f>
        <v>-1.1371588523449453E-4</v>
      </c>
      <c r="J20" s="172">
        <v>5022</v>
      </c>
      <c r="K20" s="171">
        <v>4867</v>
      </c>
      <c r="L20" s="170">
        <f>(IF(K20="","",K20-J20))</f>
        <v>-155</v>
      </c>
      <c r="M20" s="176">
        <f>IF(L20="","",L20/J20)</f>
        <v>-3.0864197530864196E-2</v>
      </c>
      <c r="N20" s="175">
        <f>IF(J20="","",(F20*J20)/1000000)</f>
        <v>7.4634955200000004</v>
      </c>
      <c r="O20" s="174">
        <f>IF(K20="","",(G20*K20)/1000000)</f>
        <v>7.2323181969999997</v>
      </c>
      <c r="P20" s="173">
        <f>(IF(O20="","",O20-N20))</f>
        <v>-0.23117732300000071</v>
      </c>
      <c r="Q20" s="166">
        <f>IF(P20="","",P20/N20)</f>
        <v>-3.0974403666554448E-2</v>
      </c>
      <c r="R20" s="172">
        <v>856727</v>
      </c>
      <c r="S20" s="171">
        <v>822563</v>
      </c>
      <c r="T20" s="170">
        <f>(IF(S20="","",S20-R20))</f>
        <v>-34164</v>
      </c>
      <c r="U20" s="166">
        <f>IF(T20="","",T20/R20)</f>
        <v>-3.9877347159596933E-2</v>
      </c>
      <c r="V20" s="169">
        <f>IF(R20="","",(F20*R20)/1000000)</f>
        <v>1273.2333983200001</v>
      </c>
      <c r="W20" s="168">
        <f>IF(S20="","",(G20*S20)/1000000)</f>
        <v>1222.3212149330002</v>
      </c>
      <c r="X20" s="167">
        <f>(IF(W20="","",W20-V20))</f>
        <v>-50.912183386999914</v>
      </c>
      <c r="Y20" s="166">
        <f>IF(X20="","",X20/V20)</f>
        <v>-3.9986528356998237E-2</v>
      </c>
    </row>
    <row r="21" spans="1:33" x14ac:dyDescent="0.35">
      <c r="A21" s="188"/>
      <c r="B21" s="165"/>
      <c r="C21" s="164">
        <v>17</v>
      </c>
      <c r="D21" s="165"/>
      <c r="E21" s="193" t="s">
        <v>228</v>
      </c>
      <c r="F21" s="161">
        <v>1486.16</v>
      </c>
      <c r="G21" s="160">
        <v>1485.8910000000001</v>
      </c>
      <c r="H21" s="149">
        <f>(IF(G21="","",G21-F21))</f>
        <v>-0.26900000000000546</v>
      </c>
      <c r="I21" s="159">
        <f>IF(H21="","",H21/F21)</f>
        <v>-1.8100339129030889E-4</v>
      </c>
      <c r="J21" s="154">
        <v>5051</v>
      </c>
      <c r="K21" s="153">
        <v>5075</v>
      </c>
      <c r="L21" s="152">
        <f>(IF(K21="","",K21-J21))</f>
        <v>24</v>
      </c>
      <c r="M21" s="158">
        <f>IF(L21="","",L21/J21)</f>
        <v>4.751534349633736E-3</v>
      </c>
      <c r="N21" s="157">
        <f>IF(J21="","",(F21*J21)/1000000)</f>
        <v>7.5065941600000006</v>
      </c>
      <c r="O21" s="156">
        <f>IF(K21="","",(G21*K21)/1000000)</f>
        <v>7.5408968249999999</v>
      </c>
      <c r="P21" s="155">
        <f>(IF(O21="","",O21-N21))</f>
        <v>3.4302664999999344E-2</v>
      </c>
      <c r="Q21" s="148">
        <f>IF(P21="","",P21/N21)</f>
        <v>4.5696709145122269E-3</v>
      </c>
      <c r="R21" s="154">
        <v>858484</v>
      </c>
      <c r="S21" s="153">
        <v>858536</v>
      </c>
      <c r="T21" s="152">
        <f>(IF(S21="","",S21-R21))</f>
        <v>52</v>
      </c>
      <c r="U21" s="148">
        <f>IF(T21="","",T21/R21)</f>
        <v>6.057189184655742E-5</v>
      </c>
      <c r="V21" s="151">
        <f>IF(R21="","",(F21*R21)/1000000)</f>
        <v>1275.84458144</v>
      </c>
      <c r="W21" s="150">
        <f>IF(S21="","",(G21*S21)/1000000)</f>
        <v>1275.690915576</v>
      </c>
      <c r="X21" s="149">
        <f>(IF(W21="","",W21-V21))</f>
        <v>-0.15366586400000415</v>
      </c>
      <c r="Y21" s="148">
        <f>IF(X21="","",X21/V21)</f>
        <v>-1.2044246316159215E-4</v>
      </c>
      <c r="Z21" s="190" t="s">
        <v>231</v>
      </c>
      <c r="AA21" s="189"/>
      <c r="AB21" s="189"/>
      <c r="AC21" s="189"/>
      <c r="AD21" s="189"/>
      <c r="AE21" s="189"/>
      <c r="AF21" s="189"/>
      <c r="AG21" s="189"/>
    </row>
    <row r="22" spans="1:33" x14ac:dyDescent="0.35">
      <c r="A22" s="188"/>
      <c r="B22" s="147"/>
      <c r="C22" s="146"/>
      <c r="D22" s="147"/>
      <c r="E22" s="192" t="s">
        <v>227</v>
      </c>
      <c r="F22" s="143"/>
      <c r="G22" s="142"/>
      <c r="H22" s="131" t="str">
        <f>(IF(G22="","",G22-F22))</f>
        <v/>
      </c>
      <c r="I22" s="141" t="str">
        <f>IF(H22="","",H22/F22)</f>
        <v/>
      </c>
      <c r="J22" s="136"/>
      <c r="K22" s="135"/>
      <c r="L22" s="134" t="str">
        <f>(IF(K22="","",K22-J22))</f>
        <v/>
      </c>
      <c r="M22" s="140" t="str">
        <f>IF(L22="","",L22/J22)</f>
        <v/>
      </c>
      <c r="N22" s="139" t="str">
        <f>IF(J22="","",(F22*J22)/1000000)</f>
        <v/>
      </c>
      <c r="O22" s="138" t="str">
        <f>IF(K22="","",(G22*K22)/1000000)</f>
        <v/>
      </c>
      <c r="P22" s="137" t="str">
        <f>(IF(O22="","",O22-N22))</f>
        <v/>
      </c>
      <c r="Q22" s="130" t="str">
        <f>IF(P22="","",P22/N22)</f>
        <v/>
      </c>
      <c r="R22" s="136"/>
      <c r="S22" s="135"/>
      <c r="T22" s="134" t="str">
        <f>(IF(S22="","",S22-R22))</f>
        <v/>
      </c>
      <c r="U22" s="130" t="str">
        <f>IF(T22="","",T22/R22)</f>
        <v/>
      </c>
      <c r="V22" s="133" t="str">
        <f>IF(R22="","",(F22*R22)/1000000)</f>
        <v/>
      </c>
      <c r="W22" s="132" t="str">
        <f>IF(S22="","",(G22*S22)/1000000)</f>
        <v/>
      </c>
      <c r="X22" s="131" t="str">
        <f>(IF(W22="","",W22-V22))</f>
        <v/>
      </c>
      <c r="Y22" s="130" t="str">
        <f>IF(X22="","",X22/V22)</f>
        <v/>
      </c>
    </row>
    <row r="23" spans="1:33" x14ac:dyDescent="0.35">
      <c r="A23" s="188"/>
      <c r="B23" s="183" t="s">
        <v>238</v>
      </c>
      <c r="C23" s="182"/>
      <c r="D23" s="183" t="s">
        <v>166</v>
      </c>
      <c r="E23" s="193" t="s">
        <v>229</v>
      </c>
      <c r="F23" s="179">
        <v>1134.453</v>
      </c>
      <c r="G23" s="178">
        <v>1134.1279999999999</v>
      </c>
      <c r="H23" s="167">
        <f>(IF(G23="","",G23-F23))</f>
        <v>-0.32500000000004547</v>
      </c>
      <c r="I23" s="177">
        <f>IF(H23="","",H23/F23)</f>
        <v>-2.8648167883556702E-4</v>
      </c>
      <c r="J23" s="172">
        <v>4967</v>
      </c>
      <c r="K23" s="171">
        <v>4833</v>
      </c>
      <c r="L23" s="170">
        <f>(IF(K23="","",K23-J23))</f>
        <v>-134</v>
      </c>
      <c r="M23" s="176">
        <f>IF(L23="","",L23/J23)</f>
        <v>-2.6978055164082946E-2</v>
      </c>
      <c r="N23" s="175">
        <f>IF(J23="","",(F23*J23)/1000000)</f>
        <v>5.6348280510000004</v>
      </c>
      <c r="O23" s="174">
        <f>IF(K23="","",(G23*K23)/1000000)</f>
        <v>5.4812406239999998</v>
      </c>
      <c r="P23" s="173">
        <f>(IF(O23="","",O23-N23))</f>
        <v>-0.15358742700000061</v>
      </c>
      <c r="Q23" s="166">
        <f>IF(P23="","",P23/N23)</f>
        <v>-2.7256808124383455E-2</v>
      </c>
      <c r="R23" s="172">
        <v>866836</v>
      </c>
      <c r="S23" s="171">
        <v>832251</v>
      </c>
      <c r="T23" s="170">
        <f>(IF(S23="","",S23-R23))</f>
        <v>-34585</v>
      </c>
      <c r="U23" s="166">
        <f>IF(T23="","",T23/R23)</f>
        <v>-3.9897973780507502E-2</v>
      </c>
      <c r="V23" s="169">
        <f>IF(R23="","",(F23*R23)/1000000)</f>
        <v>983.38470070799997</v>
      </c>
      <c r="W23" s="168">
        <f>IF(S23="","",(G23*S23)/1000000)</f>
        <v>943.87916212799985</v>
      </c>
      <c r="X23" s="167">
        <f>(IF(W23="","",W23-V23))</f>
        <v>-39.50553858000012</v>
      </c>
      <c r="Y23" s="166">
        <f>IF(X23="","",X23/V23)</f>
        <v>-4.0173025420832377E-2</v>
      </c>
    </row>
    <row r="24" spans="1:33" x14ac:dyDescent="0.35">
      <c r="A24" s="188"/>
      <c r="B24" s="165"/>
      <c r="C24" s="164">
        <v>18</v>
      </c>
      <c r="D24" s="165"/>
      <c r="E24" s="193" t="s">
        <v>228</v>
      </c>
      <c r="F24" s="179">
        <v>1134.453</v>
      </c>
      <c r="G24" s="178">
        <v>1134.028</v>
      </c>
      <c r="H24" s="149">
        <f>(IF(G24="","",G24-F24))</f>
        <v>-0.42499999999995453</v>
      </c>
      <c r="I24" s="159">
        <f>IF(H24="","",H24/F24)</f>
        <v>-3.7462988770795664E-4</v>
      </c>
      <c r="J24" s="154">
        <v>4982</v>
      </c>
      <c r="K24" s="153">
        <v>5108</v>
      </c>
      <c r="L24" s="152">
        <f>(IF(K24="","",K24-J24))</f>
        <v>126</v>
      </c>
      <c r="M24" s="158">
        <f>IF(L24="","",L24/J24)</f>
        <v>2.5291047771979124E-2</v>
      </c>
      <c r="N24" s="157">
        <f>IF(J24="","",(F24*J24)/1000000)</f>
        <v>5.6518448459999995</v>
      </c>
      <c r="O24" s="156">
        <f>IF(K24="","",(G24*K24)/1000000)</f>
        <v>5.7926150239999998</v>
      </c>
      <c r="P24" s="155">
        <f>(IF(O24="","",O24-N24))</f>
        <v>0.14077017800000036</v>
      </c>
      <c r="Q24" s="148">
        <f>IF(P24="","",P24/N24)</f>
        <v>2.4906943101884359E-2</v>
      </c>
      <c r="R24" s="154">
        <v>862906</v>
      </c>
      <c r="S24" s="153">
        <v>868360</v>
      </c>
      <c r="T24" s="152">
        <f>(IF(S24="","",S24-R24))</f>
        <v>5454</v>
      </c>
      <c r="U24" s="148">
        <f>IF(T24="","",T24/R24)</f>
        <v>6.3205030443640444E-3</v>
      </c>
      <c r="V24" s="151">
        <f>IF(R24="","",(F24*R24)/1000000)</f>
        <v>978.92630041799998</v>
      </c>
      <c r="W24" s="150">
        <f>IF(S24="","",(G24*S24)/1000000)</f>
        <v>984.74455408000006</v>
      </c>
      <c r="X24" s="149">
        <f>(IF(W24="","",W24-V24))</f>
        <v>5.8182536620000747</v>
      </c>
      <c r="Y24" s="148">
        <f>IF(X24="","",X24/V24)</f>
        <v>5.943505307310356E-3</v>
      </c>
      <c r="Z24" s="190" t="s">
        <v>231</v>
      </c>
      <c r="AA24" s="189"/>
      <c r="AB24" s="189"/>
      <c r="AC24" s="189"/>
      <c r="AD24" s="189"/>
      <c r="AE24" s="189"/>
      <c r="AF24" s="189"/>
      <c r="AG24" s="189"/>
    </row>
    <row r="25" spans="1:33" x14ac:dyDescent="0.35">
      <c r="A25" s="188"/>
      <c r="B25" s="147"/>
      <c r="C25" s="146"/>
      <c r="D25" s="147"/>
      <c r="E25" s="192" t="s">
        <v>227</v>
      </c>
      <c r="F25" s="143"/>
      <c r="G25" s="142"/>
      <c r="H25" s="131" t="str">
        <f>(IF(G25="","",G25-F25))</f>
        <v/>
      </c>
      <c r="I25" s="194" t="str">
        <f>IF(H25="","",H25/F25)</f>
        <v/>
      </c>
      <c r="J25" s="136"/>
      <c r="K25" s="135"/>
      <c r="L25" s="134" t="str">
        <f>(IF(K25="","",K25-J25))</f>
        <v/>
      </c>
      <c r="M25" s="140" t="str">
        <f>IF(L25="","",L25/J25)</f>
        <v/>
      </c>
      <c r="N25" s="139" t="str">
        <f>IF(J25="","",(F25*J25)/1000000)</f>
        <v/>
      </c>
      <c r="O25" s="138" t="str">
        <f>IF(K25="","",(G25*K25)/1000000)</f>
        <v/>
      </c>
      <c r="P25" s="137" t="str">
        <f>(IF(O25="","",O25-N25))</f>
        <v/>
      </c>
      <c r="Q25" s="130" t="str">
        <f>IF(P25="","",P25/N25)</f>
        <v/>
      </c>
      <c r="R25" s="136"/>
      <c r="S25" s="135"/>
      <c r="T25" s="134" t="str">
        <f>(IF(S25="","",S25-R25))</f>
        <v/>
      </c>
      <c r="U25" s="130" t="str">
        <f>IF(T25="","",T25/R25)</f>
        <v/>
      </c>
      <c r="V25" s="133" t="str">
        <f>IF(R25="","",(F25*R25)/1000000)</f>
        <v/>
      </c>
      <c r="W25" s="132" t="str">
        <f>IF(S25="","",(G25*S25)/1000000)</f>
        <v/>
      </c>
      <c r="X25" s="131" t="str">
        <f>(IF(W25="","",W25-V25))</f>
        <v/>
      </c>
      <c r="Y25" s="130" t="str">
        <f>IF(X25="","",X25/V25)</f>
        <v/>
      </c>
    </row>
    <row r="26" spans="1:33" x14ac:dyDescent="0.35">
      <c r="A26" s="188"/>
      <c r="B26" s="186" t="s">
        <v>237</v>
      </c>
      <c r="C26" s="182"/>
      <c r="D26" s="183" t="s">
        <v>162</v>
      </c>
      <c r="E26" s="162" t="s">
        <v>229</v>
      </c>
      <c r="F26" s="179">
        <v>1732.2729999999999</v>
      </c>
      <c r="G26" s="178">
        <v>1731.068</v>
      </c>
      <c r="H26" s="167">
        <f>(IF(G26="","",G26-F26))</f>
        <v>-1.2049999999999272</v>
      </c>
      <c r="I26" s="177">
        <f>IF(H26="","",H26/F26)</f>
        <v>-6.9561783852771899E-4</v>
      </c>
      <c r="J26" s="172">
        <v>3652</v>
      </c>
      <c r="K26" s="171">
        <v>3548</v>
      </c>
      <c r="L26" s="170">
        <f>(IF(K26="","",K26-J26))</f>
        <v>-104</v>
      </c>
      <c r="M26" s="176">
        <f>IF(L26="","",L26/J26)</f>
        <v>-2.8477546549835708E-2</v>
      </c>
      <c r="N26" s="175">
        <f>IF(J26="","",(F26*J26)/1000000)</f>
        <v>6.3262609959999994</v>
      </c>
      <c r="O26" s="174">
        <f>IF(K26="","",(G26*K26)/1000000)</f>
        <v>6.1418292639999992</v>
      </c>
      <c r="P26" s="173">
        <f>(IF(O26="","",O26-N26))</f>
        <v>-0.18443173200000018</v>
      </c>
      <c r="Q26" s="166">
        <f>IF(P26="","",P26/N26)</f>
        <v>-2.915335489898593E-2</v>
      </c>
      <c r="R26" s="172">
        <v>838546</v>
      </c>
      <c r="S26" s="8">
        <v>827692</v>
      </c>
      <c r="T26" s="170">
        <f>(IF(S26="","",S26-R26))</f>
        <v>-10854</v>
      </c>
      <c r="U26" s="166">
        <f>IF(T26="","",T26/R26)</f>
        <v>-1.294383373124432E-2</v>
      </c>
      <c r="V26" s="169">
        <f>IF(R26="","",(F26*R26)/1000000)</f>
        <v>1452.590595058</v>
      </c>
      <c r="W26" s="168">
        <f>IF(S26="","",(G26*S26)/1000000)</f>
        <v>1432.791135056</v>
      </c>
      <c r="X26" s="167">
        <f>(IF(W26="","",W26-V26))</f>
        <v>-19.799460001999933</v>
      </c>
      <c r="Y26" s="166">
        <f>IF(X26="","",X26/V26)</f>
        <v>-1.3630447608129644E-2</v>
      </c>
    </row>
    <row r="27" spans="1:33" x14ac:dyDescent="0.35">
      <c r="A27" s="188"/>
      <c r="B27" s="185"/>
      <c r="C27" s="164">
        <v>20</v>
      </c>
      <c r="D27" s="165"/>
      <c r="E27" s="193" t="s">
        <v>228</v>
      </c>
      <c r="F27" s="161">
        <v>1732.2729999999999</v>
      </c>
      <c r="G27" s="160">
        <v>1730.9680000000001</v>
      </c>
      <c r="H27" s="149">
        <f>(IF(G27="","",G27-F27))</f>
        <v>-1.3049999999998363</v>
      </c>
      <c r="I27" s="159">
        <f>IF(H27="","",H27/F27)</f>
        <v>-7.5334545998225247E-4</v>
      </c>
      <c r="J27" s="154">
        <v>3626</v>
      </c>
      <c r="K27" s="153">
        <v>3585</v>
      </c>
      <c r="L27" s="152">
        <f>(IF(K27="","",K27-J27))</f>
        <v>-41</v>
      </c>
      <c r="M27" s="158">
        <f>IF(L27="","",L27/J27)</f>
        <v>-1.1307225592939878E-2</v>
      </c>
      <c r="N27" s="157">
        <f>IF(J27="","",(F27*J27)/1000000)</f>
        <v>6.2812218980000001</v>
      </c>
      <c r="O27" s="156">
        <f>IF(K27="","",(G27*K27)/1000000)</f>
        <v>6.20552028</v>
      </c>
      <c r="P27" s="155">
        <f>(IF(O27="","",O27-N27))</f>
        <v>-7.5701618000000082E-2</v>
      </c>
      <c r="Q27" s="148">
        <f>IF(P27="","",P27/N27)</f>
        <v>-1.20520528058568E-2</v>
      </c>
      <c r="R27" s="154">
        <v>837027</v>
      </c>
      <c r="S27" s="153">
        <v>831853</v>
      </c>
      <c r="T27" s="152">
        <f>(IF(S27="","",S27-R27))</f>
        <v>-5174</v>
      </c>
      <c r="U27" s="148">
        <f>IF(T27="","",T27/R27)</f>
        <v>-6.181401555744319E-3</v>
      </c>
      <c r="V27" s="151">
        <f>IF(R27="","",(F27*R27)/1000000)</f>
        <v>1449.9592723709998</v>
      </c>
      <c r="W27" s="150">
        <f>IF(S27="","",(G27*S27)/1000000)</f>
        <v>1439.910923704</v>
      </c>
      <c r="X27" s="149">
        <f>(IF(W27="","",W27-V27))</f>
        <v>-10.0483486669998</v>
      </c>
      <c r="Y27" s="148">
        <f>IF(X27="","",X27/V27)</f>
        <v>-6.9300902849281816E-3</v>
      </c>
      <c r="Z27" s="190" t="s">
        <v>231</v>
      </c>
      <c r="AA27" s="189"/>
      <c r="AB27" s="189"/>
      <c r="AC27" s="189"/>
      <c r="AD27" s="189"/>
      <c r="AE27" s="189"/>
      <c r="AF27" s="189"/>
      <c r="AG27" s="189"/>
    </row>
    <row r="28" spans="1:33" x14ac:dyDescent="0.35">
      <c r="A28" s="188"/>
      <c r="B28" s="184"/>
      <c r="C28" s="146"/>
      <c r="D28" s="147"/>
      <c r="E28" s="195" t="s">
        <v>227</v>
      </c>
      <c r="F28" s="143"/>
      <c r="G28" s="142"/>
      <c r="H28" s="131" t="str">
        <f>(IF(G28="","",G28-F28))</f>
        <v/>
      </c>
      <c r="I28" s="194" t="str">
        <f>IF(H28="","",H28/F28)</f>
        <v/>
      </c>
      <c r="J28" s="136"/>
      <c r="K28" s="135"/>
      <c r="L28" s="134" t="str">
        <f>(IF(K28="","",K28-J28))</f>
        <v/>
      </c>
      <c r="M28" s="140" t="str">
        <f>IF(L28="","",L28/J28)</f>
        <v/>
      </c>
      <c r="N28" s="139" t="str">
        <f>IF(J28="","",(F28*J28)/1000000)</f>
        <v/>
      </c>
      <c r="O28" s="138" t="str">
        <f>IF(K28="","",(G28*K28)/1000000)</f>
        <v/>
      </c>
      <c r="P28" s="137" t="str">
        <f>(IF(O28="","",O28-N28))</f>
        <v/>
      </c>
      <c r="Q28" s="130" t="str">
        <f>IF(P28="","",P28/N28)</f>
        <v/>
      </c>
      <c r="R28" s="136"/>
      <c r="S28" s="135"/>
      <c r="T28" s="134" t="str">
        <f>(IF(S28="","",S28-R28))</f>
        <v/>
      </c>
      <c r="U28" s="130" t="str">
        <f>IF(T28="","",T28/R28)</f>
        <v/>
      </c>
      <c r="V28" s="133" t="str">
        <f>IF(R28="","",(F28*R28)/1000000)</f>
        <v/>
      </c>
      <c r="W28" s="132" t="str">
        <f>IF(S28="","",(G28*S28)/1000000)</f>
        <v/>
      </c>
      <c r="X28" s="131" t="str">
        <f>(IF(W28="","",W28-V28))</f>
        <v/>
      </c>
      <c r="Y28" s="130" t="str">
        <f>IF(X28="","",X28/V28)</f>
        <v/>
      </c>
    </row>
    <row r="29" spans="1:33" x14ac:dyDescent="0.35">
      <c r="A29" s="188"/>
      <c r="B29" s="186" t="s">
        <v>237</v>
      </c>
      <c r="C29" s="182"/>
      <c r="D29" s="183" t="s">
        <v>160</v>
      </c>
      <c r="E29" s="193" t="s">
        <v>229</v>
      </c>
      <c r="F29" s="179">
        <v>1598.8489999999999</v>
      </c>
      <c r="G29" s="178">
        <v>1592.3689999999999</v>
      </c>
      <c r="H29" s="167">
        <f>(IF(G29="","",G29-F29))</f>
        <v>-6.4800000000000182</v>
      </c>
      <c r="I29" s="177">
        <f>IF(H29="","",H29/F29)</f>
        <v>-4.0529155661354005E-3</v>
      </c>
      <c r="J29" s="172">
        <v>4434</v>
      </c>
      <c r="K29" s="8">
        <v>4338</v>
      </c>
      <c r="L29" s="170">
        <f>(IF(K29="","",K29-J29))</f>
        <v>-96</v>
      </c>
      <c r="M29" s="176">
        <f>IF(L29="","",L29/J29)</f>
        <v>-2.165087956698241E-2</v>
      </c>
      <c r="N29" s="175">
        <f>IF(J29="","",(F29*J29)/1000000)</f>
        <v>7.0892964660000004</v>
      </c>
      <c r="O29" s="174">
        <f>IF(K29="","",(G29*K29)/1000000)</f>
        <v>6.9076967219999998</v>
      </c>
      <c r="P29" s="173">
        <f>(IF(O29="","",O29-N29))</f>
        <v>-0.18159974400000056</v>
      </c>
      <c r="Q29" s="166">
        <f>IF(P29="","",P29/N29)</f>
        <v>-2.561604594630033E-2</v>
      </c>
      <c r="R29" s="171">
        <v>828174</v>
      </c>
      <c r="S29" s="8">
        <v>787214</v>
      </c>
      <c r="T29" s="170">
        <f>(IF(S29="","",S29-R29))</f>
        <v>-40960</v>
      </c>
      <c r="U29" s="166">
        <f>IF(T29="","",T29/R29)</f>
        <v>-4.9458205642775553E-2</v>
      </c>
      <c r="V29" s="169">
        <f>IF(R29="","",(F29*R29)/1000000)</f>
        <v>1324.1251717259997</v>
      </c>
      <c r="W29" s="168">
        <f>IF(S29="","",(G29*S29)/1000000)</f>
        <v>1253.5351699659998</v>
      </c>
      <c r="X29" s="167">
        <f>(IF(W29="","",W29-V29))</f>
        <v>-70.59000175999995</v>
      </c>
      <c r="Y29" s="166">
        <f>IF(X29="","",X29/V29)</f>
        <v>-5.3310671277388186E-2</v>
      </c>
    </row>
    <row r="30" spans="1:33" x14ac:dyDescent="0.35">
      <c r="A30" s="188"/>
      <c r="B30" s="185"/>
      <c r="C30" s="164">
        <v>21</v>
      </c>
      <c r="D30" s="165"/>
      <c r="E30" s="193" t="s">
        <v>228</v>
      </c>
      <c r="F30" s="161">
        <v>1598.8489999999999</v>
      </c>
      <c r="G30" s="160">
        <v>1592.269</v>
      </c>
      <c r="H30" s="149">
        <f>(IF(G30="","",G30-F30))</f>
        <v>-6.5799999999999272</v>
      </c>
      <c r="I30" s="159">
        <f>IF(H30="","",H30/F30)</f>
        <v>-4.115460559439902E-3</v>
      </c>
      <c r="J30" s="154">
        <v>4413</v>
      </c>
      <c r="K30" s="153">
        <v>4344</v>
      </c>
      <c r="L30" s="152">
        <f>(IF(K30="","",K30-J30))</f>
        <v>-69</v>
      </c>
      <c r="M30" s="158">
        <f>IF(L30="","",L30/J30)</f>
        <v>-1.5635622025832768E-2</v>
      </c>
      <c r="N30" s="157">
        <f>IF(J30="","",(F30*J30)/1000000)</f>
        <v>7.0557206370000003</v>
      </c>
      <c r="O30" s="156">
        <f>IF(K30="","",(G30*K30)/1000000)</f>
        <v>6.9168165360000007</v>
      </c>
      <c r="P30" s="155">
        <f>(IF(O30="","",O30-N30))</f>
        <v>-0.13890410099999961</v>
      </c>
      <c r="Q30" s="148">
        <f>IF(P30="","",P30/N30)</f>
        <v>-1.9686734799503034E-2</v>
      </c>
      <c r="R30" s="154">
        <v>826713</v>
      </c>
      <c r="S30" s="153">
        <v>790048</v>
      </c>
      <c r="T30" s="152">
        <f>(IF(S30="","",S30-R30))</f>
        <v>-36665</v>
      </c>
      <c r="U30" s="148">
        <f>IF(T30="","",T30/R30)</f>
        <v>-4.4350336815799439E-2</v>
      </c>
      <c r="V30" s="151">
        <f>IF(R30="","",(F30*R30)/1000000)</f>
        <v>1321.789253337</v>
      </c>
      <c r="W30" s="150">
        <f>IF(S30="","",(G30*S30)/1000000)</f>
        <v>1257.9689389119999</v>
      </c>
      <c r="X30" s="149">
        <f>(IF(W30="","",W30-V30))</f>
        <v>-63.820314425000106</v>
      </c>
      <c r="Y30" s="148">
        <f>IF(X30="","",X30/V30)</f>
        <v>-4.8283275313276162E-2</v>
      </c>
      <c r="Z30" s="190" t="s">
        <v>236</v>
      </c>
      <c r="AA30" s="189"/>
      <c r="AB30" s="189"/>
      <c r="AC30" s="189"/>
      <c r="AD30" s="189"/>
      <c r="AE30" s="189"/>
      <c r="AF30" s="189"/>
      <c r="AG30" s="189"/>
    </row>
    <row r="31" spans="1:33" x14ac:dyDescent="0.35">
      <c r="A31" s="188"/>
      <c r="B31" s="184"/>
      <c r="C31" s="146"/>
      <c r="D31" s="147"/>
      <c r="E31" s="192" t="s">
        <v>227</v>
      </c>
      <c r="F31" s="143"/>
      <c r="G31" s="142"/>
      <c r="H31" s="131" t="str">
        <f>(IF(G31="","",G31-F31))</f>
        <v/>
      </c>
      <c r="I31" s="141" t="str">
        <f>IF(H31="","",H31/F31)</f>
        <v/>
      </c>
      <c r="J31" s="136"/>
      <c r="K31" s="135"/>
      <c r="L31" s="134" t="str">
        <f>(IF(K31="","",K31-J31))</f>
        <v/>
      </c>
      <c r="M31" s="140" t="str">
        <f>IF(L31="","",L31/J31)</f>
        <v/>
      </c>
      <c r="N31" s="139" t="str">
        <f>IF(J31="","",(F31*J31)/1000000)</f>
        <v/>
      </c>
      <c r="O31" s="138" t="str">
        <f>IF(K31="","",(G31*K31)/1000000)</f>
        <v/>
      </c>
      <c r="P31" s="137" t="str">
        <f>(IF(O31="","",O31-N31))</f>
        <v/>
      </c>
      <c r="Q31" s="130" t="str">
        <f>IF(P31="","",P31/N31)</f>
        <v/>
      </c>
      <c r="R31" s="136"/>
      <c r="S31" s="135"/>
      <c r="T31" s="134" t="str">
        <f>(IF(S31="","",S31-R31))</f>
        <v/>
      </c>
      <c r="U31" s="130" t="str">
        <f>IF(T31="","",T31/R31)</f>
        <v/>
      </c>
      <c r="V31" s="133" t="str">
        <f>IF(R31="","",(F31*R31)/1000000)</f>
        <v/>
      </c>
      <c r="W31" s="132" t="str">
        <f>IF(S31="","",(G31*S31)/1000000)</f>
        <v/>
      </c>
      <c r="X31" s="131" t="str">
        <f>(IF(W31="","",W31-V31))</f>
        <v/>
      </c>
      <c r="Y31" s="130" t="str">
        <f>IF(X31="","",X31/V31)</f>
        <v/>
      </c>
    </row>
    <row r="32" spans="1:33" x14ac:dyDescent="0.35">
      <c r="A32" s="113"/>
      <c r="B32" s="186" t="s">
        <v>235</v>
      </c>
      <c r="C32" s="182"/>
      <c r="D32" s="183" t="s">
        <v>157</v>
      </c>
      <c r="E32" s="180" t="s">
        <v>229</v>
      </c>
      <c r="F32" s="179">
        <v>1626.325</v>
      </c>
      <c r="G32" s="178">
        <v>1622.9290000000001</v>
      </c>
      <c r="H32" s="167">
        <f>(IF(G32="","",G32-F32))</f>
        <v>-3.3959999999999582</v>
      </c>
      <c r="I32" s="177">
        <f>IF(H32="","",H32/F32)</f>
        <v>-2.0881435137503008E-3</v>
      </c>
      <c r="J32" s="172">
        <v>4553</v>
      </c>
      <c r="K32" s="8">
        <v>4238</v>
      </c>
      <c r="L32" s="170">
        <f>(IF(K32="","",K32-J32))</f>
        <v>-315</v>
      </c>
      <c r="M32" s="176">
        <f>IF(L32="","",L32/J32)</f>
        <v>-6.9185152646606629E-2</v>
      </c>
      <c r="N32" s="175">
        <f>IF(J32="","",(F32*J32)/1000000)</f>
        <v>7.4046577250000007</v>
      </c>
      <c r="O32" s="174">
        <f>IF(K32="","",(G32*K32)/1000000)</f>
        <v>6.8779731020000003</v>
      </c>
      <c r="P32" s="173">
        <f>(IF(O32="","",O32-N32))</f>
        <v>-0.52668462300000041</v>
      </c>
      <c r="Q32" s="166">
        <f>IF(P32="","",P32/N32)</f>
        <v>-7.1128827632610164E-2</v>
      </c>
      <c r="R32" s="172">
        <v>832168</v>
      </c>
      <c r="S32" s="8">
        <v>800400</v>
      </c>
      <c r="T32" s="170">
        <f>(IF(S32="","",S32-R32))</f>
        <v>-31768</v>
      </c>
      <c r="U32" s="166">
        <f>IF(T32="","",T32/R32)</f>
        <v>-3.8174983897482237E-2</v>
      </c>
      <c r="V32" s="169">
        <f>IF(R32="","",(F32*R32)/1000000)</f>
        <v>1353.3756226</v>
      </c>
      <c r="W32" s="168">
        <f>IF(S32="","",(G32*S32)/1000000)</f>
        <v>1298.9923716000001</v>
      </c>
      <c r="X32" s="167">
        <f>(IF(W32="","",W32-V32))</f>
        <v>-54.383250999999973</v>
      </c>
      <c r="Y32" s="166">
        <f>IF(X32="","",X32/V32)</f>
        <v>-4.0183412566219497E-2</v>
      </c>
    </row>
    <row r="33" spans="1:33" x14ac:dyDescent="0.35">
      <c r="A33" s="113"/>
      <c r="B33" s="185"/>
      <c r="C33" s="164">
        <v>22</v>
      </c>
      <c r="D33" s="165"/>
      <c r="E33" s="162" t="s">
        <v>228</v>
      </c>
      <c r="F33" s="161">
        <v>1626.325</v>
      </c>
      <c r="G33" s="160">
        <v>1622.829</v>
      </c>
      <c r="H33" s="149">
        <f>(IF(G33="","",G33-F33))</f>
        <v>-3.4960000000000946</v>
      </c>
      <c r="I33" s="159">
        <f>IF(H33="","",H33/F33)</f>
        <v>-2.1496318386546934E-3</v>
      </c>
      <c r="J33" s="154">
        <v>4529</v>
      </c>
      <c r="K33" s="153">
        <v>4471</v>
      </c>
      <c r="L33" s="152">
        <f>(IF(K33="","",K33-J33))</f>
        <v>-58</v>
      </c>
      <c r="M33" s="158">
        <f>IF(L33="","",L33/J33)</f>
        <v>-1.2806359019651136E-2</v>
      </c>
      <c r="N33" s="157">
        <f>IF(J33="","",(F33*J33)/1000000)</f>
        <v>7.3656259249999998</v>
      </c>
      <c r="O33" s="156">
        <f>IF(K33="","",(G33*K33)/1000000)</f>
        <v>7.2556684589999998</v>
      </c>
      <c r="P33" s="155">
        <f>(IF(O33="","",O33-N33))</f>
        <v>-0.109957466</v>
      </c>
      <c r="Q33" s="148">
        <f>IF(P33="","",P33/N33)</f>
        <v>-1.4928461901219889E-2</v>
      </c>
      <c r="R33" s="154">
        <v>831625</v>
      </c>
      <c r="S33" s="153">
        <v>827910</v>
      </c>
      <c r="T33" s="152">
        <f>(IF(S33="","",S33-R33))</f>
        <v>-3715</v>
      </c>
      <c r="U33" s="148">
        <f>IF(T33="","",T33/R33)</f>
        <v>-4.4671576732301221E-3</v>
      </c>
      <c r="V33" s="151">
        <f>IF(R33="","",(F33*R33)/1000000)</f>
        <v>1352.492528125</v>
      </c>
      <c r="W33" s="150">
        <f>IF(S33="","",(G33*S33)/1000000)</f>
        <v>1343.5563573899999</v>
      </c>
      <c r="X33" s="149">
        <f>(IF(W33="","",W33-V33))</f>
        <v>-8.9361707350001325</v>
      </c>
      <c r="Y33" s="148">
        <f>IF(X33="","",X33/V33)</f>
        <v>-6.6071867675221892E-3</v>
      </c>
      <c r="Z33" s="190" t="s">
        <v>231</v>
      </c>
      <c r="AA33" s="189"/>
      <c r="AB33" s="189"/>
      <c r="AC33" s="189"/>
      <c r="AD33" s="189"/>
      <c r="AE33" s="189"/>
      <c r="AF33" s="189"/>
      <c r="AG33" s="189"/>
    </row>
    <row r="34" spans="1:33" x14ac:dyDescent="0.35">
      <c r="A34" s="113"/>
      <c r="B34" s="184"/>
      <c r="C34" s="146"/>
      <c r="D34" s="147"/>
      <c r="E34" s="144" t="s">
        <v>227</v>
      </c>
      <c r="F34" s="143"/>
      <c r="G34" s="142"/>
      <c r="H34" s="131" t="str">
        <f>(IF(G34="","",G34-F34))</f>
        <v/>
      </c>
      <c r="I34" s="141" t="str">
        <f>IF(H34="","",H34/F34)</f>
        <v/>
      </c>
      <c r="J34" s="136"/>
      <c r="K34" s="135"/>
      <c r="L34" s="134" t="str">
        <f>(IF(K34="","",K34-J34))</f>
        <v/>
      </c>
      <c r="M34" s="140" t="str">
        <f>IF(L34="","",L34/J34)</f>
        <v/>
      </c>
      <c r="N34" s="139"/>
      <c r="O34" s="138" t="str">
        <f>IF(K34="","",(G34*K34)/1000000)</f>
        <v/>
      </c>
      <c r="P34" s="137" t="str">
        <f>(IF(O34="","",O34-N34))</f>
        <v/>
      </c>
      <c r="Q34" s="130" t="str">
        <f>IF(P34="","",P34/N34)</f>
        <v/>
      </c>
      <c r="R34" s="136"/>
      <c r="S34" s="135"/>
      <c r="T34" s="134" t="str">
        <f>(IF(S34="","",S34-R34))</f>
        <v/>
      </c>
      <c r="U34" s="130" t="str">
        <f>IF(T34="","",T34/R34)</f>
        <v/>
      </c>
      <c r="V34" s="133" t="str">
        <f>IF(R34="","",(F34*R34)/1000000)</f>
        <v/>
      </c>
      <c r="W34" s="132" t="str">
        <f>IF(S34="","",(G34*S34)/1000000)</f>
        <v/>
      </c>
      <c r="X34" s="131" t="str">
        <f>(IF(W34="","",W34-V34))</f>
        <v/>
      </c>
      <c r="Y34" s="130" t="str">
        <f>IF(X34="","",X34/V34)</f>
        <v/>
      </c>
    </row>
    <row r="35" spans="1:33" x14ac:dyDescent="0.35">
      <c r="A35" s="113"/>
      <c r="B35" s="186" t="s">
        <v>235</v>
      </c>
      <c r="C35" s="182"/>
      <c r="D35" s="183" t="s">
        <v>155</v>
      </c>
      <c r="E35" s="180" t="s">
        <v>229</v>
      </c>
      <c r="F35" s="179">
        <v>1627.6220000000001</v>
      </c>
      <c r="G35" s="178">
        <v>1626.9929999999999</v>
      </c>
      <c r="H35" s="167">
        <f>(IF(G35="","",G35-F35))</f>
        <v>-0.62900000000013279</v>
      </c>
      <c r="I35" s="177">
        <f>IF(H35="","",H35/F35)</f>
        <v>-3.864533657078442E-4</v>
      </c>
      <c r="J35" s="172">
        <v>4584</v>
      </c>
      <c r="K35" s="8">
        <v>4427</v>
      </c>
      <c r="L35" s="170">
        <f>(IF(K35="","",K35-J35))</f>
        <v>-157</v>
      </c>
      <c r="M35" s="176">
        <f>IF(L35="","",L35/J35)</f>
        <v>-3.4249563699825479E-2</v>
      </c>
      <c r="N35" s="175">
        <f>IF(J35="","",(F35*J35)/1000000)</f>
        <v>7.4610192480000004</v>
      </c>
      <c r="O35" s="174">
        <f>IF(K35="","",(G35*K35)/1000000)</f>
        <v>7.2026980109999998</v>
      </c>
      <c r="P35" s="173">
        <f>(IF(O35="","",O35-N35))</f>
        <v>-0.25832123700000054</v>
      </c>
      <c r="Q35" s="166">
        <f>IF(P35="","",P35/N35)</f>
        <v>-3.4622781206367491E-2</v>
      </c>
      <c r="R35" s="172">
        <v>813624</v>
      </c>
      <c r="S35" s="171">
        <v>818255</v>
      </c>
      <c r="T35" s="170">
        <f>(IF(S35="","",S35-R35))</f>
        <v>4631</v>
      </c>
      <c r="U35" s="166">
        <f>IF(T35="","",T35/R35)</f>
        <v>5.6918183337757982E-3</v>
      </c>
      <c r="V35" s="169">
        <f>IF(R35="","",(F35*R35)/1000000)</f>
        <v>1324.272322128</v>
      </c>
      <c r="W35" s="168">
        <f>IF(S35="","",(G35*S35)/1000000)</f>
        <v>1331.295157215</v>
      </c>
      <c r="X35" s="167">
        <f>(IF(W35="","",W35-V35))</f>
        <v>7.0228350869999758</v>
      </c>
      <c r="Y35" s="166">
        <f>IF(X35="","",X35/V35)</f>
        <v>5.3031653457159319E-3</v>
      </c>
    </row>
    <row r="36" spans="1:33" x14ac:dyDescent="0.35">
      <c r="A36" s="113"/>
      <c r="B36" s="185"/>
      <c r="C36" s="164">
        <v>23</v>
      </c>
      <c r="D36" s="165"/>
      <c r="E36" s="162" t="s">
        <v>228</v>
      </c>
      <c r="F36" s="161">
        <v>1627.6220000000001</v>
      </c>
      <c r="G36" s="160">
        <v>1626.893</v>
      </c>
      <c r="H36" s="149">
        <f>(IF(G36="","",G36-F36))</f>
        <v>-0.72900000000004184</v>
      </c>
      <c r="I36" s="159">
        <f>IF(H36="","",H36/F36)</f>
        <v>-4.478926925293722E-4</v>
      </c>
      <c r="J36" s="154">
        <v>4564</v>
      </c>
      <c r="K36" s="153">
        <v>4419</v>
      </c>
      <c r="L36" s="152">
        <f>(IF(K36="","",K36-J36))</f>
        <v>-145</v>
      </c>
      <c r="M36" s="158">
        <f>IF(L36="","",L36/J36)</f>
        <v>-3.1770376862401403E-2</v>
      </c>
      <c r="N36" s="157">
        <f>IF(J36="","",(F36*J36)/1000000)</f>
        <v>7.4284668080000005</v>
      </c>
      <c r="O36" s="156">
        <f>IF(K36="","",(G36*K36)/1000000)</f>
        <v>7.1892401670000003</v>
      </c>
      <c r="P36" s="155">
        <f>(IF(O36="","",O36-N36))</f>
        <v>-0.23922664100000013</v>
      </c>
      <c r="Q36" s="148">
        <f>IF(P36="","",P36/N36)</f>
        <v>-3.2204039835295191E-2</v>
      </c>
      <c r="R36" s="154">
        <v>814529</v>
      </c>
      <c r="S36" s="153">
        <v>814615</v>
      </c>
      <c r="T36" s="152">
        <f>(IF(S36="","",S36-R36))</f>
        <v>86</v>
      </c>
      <c r="U36" s="148">
        <f>IF(T36="","",T36/R36)</f>
        <v>1.0558249000342529E-4</v>
      </c>
      <c r="V36" s="151">
        <f>IF(R36="","",(F36*R36)/1000000)</f>
        <v>1325.745320038</v>
      </c>
      <c r="W36" s="150">
        <f>IF(S36="","",(G36*S36)/1000000)</f>
        <v>1325.2914411949998</v>
      </c>
      <c r="X36" s="149">
        <f>(IF(W36="","",W36-V36))</f>
        <v>-0.45387884300021142</v>
      </c>
      <c r="Y36" s="148">
        <f>IF(X36="","",X36/V36)</f>
        <v>-3.4235749215181225E-4</v>
      </c>
      <c r="Z36" s="191" t="s">
        <v>154</v>
      </c>
      <c r="AA36" s="191"/>
      <c r="AB36" s="191"/>
      <c r="AC36" s="191"/>
      <c r="AD36" s="191"/>
      <c r="AE36" s="191"/>
      <c r="AF36" s="191"/>
      <c r="AG36" s="191"/>
    </row>
    <row r="37" spans="1:33" x14ac:dyDescent="0.35">
      <c r="A37" s="113"/>
      <c r="B37" s="184"/>
      <c r="C37" s="146"/>
      <c r="D37" s="147"/>
      <c r="E37" s="144" t="s">
        <v>227</v>
      </c>
      <c r="F37" s="143"/>
      <c r="G37" s="142"/>
      <c r="H37" s="131" t="str">
        <f>(IF(G37="","",G37-F37))</f>
        <v/>
      </c>
      <c r="I37" s="141" t="str">
        <f>IF(H37="","",H37/F37)</f>
        <v/>
      </c>
      <c r="J37" s="136"/>
      <c r="K37" s="135"/>
      <c r="L37" s="134" t="str">
        <f>(IF(K37="","",K37-J37))</f>
        <v/>
      </c>
      <c r="M37" s="140" t="str">
        <f>IF(L37="","",L37/J37)</f>
        <v/>
      </c>
      <c r="N37" s="139"/>
      <c r="O37" s="138" t="str">
        <f>IF(K37="","",(G37*K37)/1000000)</f>
        <v/>
      </c>
      <c r="P37" s="137" t="str">
        <f>(IF(O37="","",O37-N37))</f>
        <v/>
      </c>
      <c r="Q37" s="130" t="str">
        <f>IF(P37="","",P37/N37)</f>
        <v/>
      </c>
      <c r="R37" s="136"/>
      <c r="S37" s="135"/>
      <c r="T37" s="134" t="str">
        <f>(IF(S37="","",S37-R37))</f>
        <v/>
      </c>
      <c r="U37" s="130" t="str">
        <f>IF(T37="","",T37/R37)</f>
        <v/>
      </c>
      <c r="V37" s="133" t="str">
        <f>IF(R37="","",(F37*R37)/1000000)</f>
        <v/>
      </c>
      <c r="W37" s="132" t="str">
        <f>IF(S37="","",(G37*S37)/1000000)</f>
        <v/>
      </c>
      <c r="X37" s="131" t="str">
        <f>(IF(W37="","",W37-V37))</f>
        <v/>
      </c>
      <c r="Y37" s="130" t="str">
        <f>IF(X37="","",X37/V37)</f>
        <v/>
      </c>
    </row>
    <row r="38" spans="1:33" x14ac:dyDescent="0.35">
      <c r="A38" s="187"/>
      <c r="B38" s="186" t="s">
        <v>235</v>
      </c>
      <c r="C38" s="182"/>
      <c r="D38" s="183" t="s">
        <v>152</v>
      </c>
      <c r="E38" s="180" t="s">
        <v>229</v>
      </c>
      <c r="F38" s="179">
        <v>1556.741</v>
      </c>
      <c r="G38" s="178">
        <v>1551.82</v>
      </c>
      <c r="H38" s="167">
        <f>(IF(G38="","",G38-F38))</f>
        <v>-4.9210000000000491</v>
      </c>
      <c r="I38" s="177">
        <f>IF(H38="","",H38/F38)</f>
        <v>-3.161091022848405E-3</v>
      </c>
      <c r="J38" s="172">
        <v>4624</v>
      </c>
      <c r="K38" s="8">
        <v>4518</v>
      </c>
      <c r="L38" s="170">
        <f>(IF(K38="","",K38-J38))</f>
        <v>-106</v>
      </c>
      <c r="M38" s="176">
        <f>IF(L38="","",L38/J38)</f>
        <v>-2.2923875432525952E-2</v>
      </c>
      <c r="N38" s="175">
        <f>IF(J38="","",(F38*J38)/1000000)</f>
        <v>7.1983703839999995</v>
      </c>
      <c r="O38" s="174">
        <f>IF(K38="","",(G38*K38)/1000000)</f>
        <v>7.0111227600000001</v>
      </c>
      <c r="P38" s="173">
        <f>(IF(O38="","",O38-N38))</f>
        <v>-0.18724762399999939</v>
      </c>
      <c r="Q38" s="166">
        <f>IF(P38="","",P38/N38)</f>
        <v>-2.6012501998535591E-2</v>
      </c>
      <c r="R38" s="172">
        <v>782490</v>
      </c>
      <c r="S38" s="8">
        <v>756661</v>
      </c>
      <c r="T38" s="170">
        <f>(IF(S38="","",S38-R38))</f>
        <v>-25829</v>
      </c>
      <c r="U38" s="166">
        <f>IF(T38="","",T38/R38)</f>
        <v>-3.3008728546051705E-2</v>
      </c>
      <c r="V38" s="169">
        <f>IF(R38="","",(F38*R38)/1000000)</f>
        <v>1218.1342650899999</v>
      </c>
      <c r="W38" s="168">
        <f>IF(S38="","",(G38*S38)/1000000)</f>
        <v>1174.20167302</v>
      </c>
      <c r="X38" s="167">
        <f>(IF(W38="","",W38-V38))</f>
        <v>-43.932592069999828</v>
      </c>
      <c r="Y38" s="166">
        <f>IF(X38="","",X38/V38)</f>
        <v>-3.6065475973417381E-2</v>
      </c>
    </row>
    <row r="39" spans="1:33" x14ac:dyDescent="0.35">
      <c r="A39" s="187"/>
      <c r="B39" s="185"/>
      <c r="C39" s="164">
        <v>24</v>
      </c>
      <c r="D39" s="165"/>
      <c r="E39" s="162" t="s">
        <v>228</v>
      </c>
      <c r="F39" s="161">
        <v>1556.741</v>
      </c>
      <c r="G39" s="160">
        <v>1551.72</v>
      </c>
      <c r="H39" s="149">
        <f>(IF(G39="","",G39-F39))</f>
        <v>-5.0209999999999582</v>
      </c>
      <c r="I39" s="159">
        <f>IF(H39="","",H39/F39)</f>
        <v>-3.2253277841336218E-3</v>
      </c>
      <c r="J39" s="154">
        <v>4629</v>
      </c>
      <c r="K39" s="153">
        <v>4858</v>
      </c>
      <c r="L39" s="152">
        <f>(IF(K39="","",K39-J39))</f>
        <v>229</v>
      </c>
      <c r="M39" s="158">
        <f>IF(L39="","",L39/J39)</f>
        <v>4.9470728019010583E-2</v>
      </c>
      <c r="N39" s="157">
        <f>IF(J39="","",(F39*J39)/1000000)</f>
        <v>7.206154089</v>
      </c>
      <c r="O39" s="156">
        <f>IF(K39="","",(G39*K39)/1000000)</f>
        <v>7.5382557600000002</v>
      </c>
      <c r="P39" s="155">
        <f>(IF(O39="","",O39-N39))</f>
        <v>0.33210167100000021</v>
      </c>
      <c r="Q39" s="148">
        <f>IF(P39="","",P39/N39)</f>
        <v>4.6085840921295931E-2</v>
      </c>
      <c r="R39" s="154">
        <v>782355</v>
      </c>
      <c r="S39" s="153">
        <v>744779</v>
      </c>
      <c r="T39" s="152">
        <f>(IF(S39="","",S39-R39))</f>
        <v>-37576</v>
      </c>
      <c r="U39" s="148">
        <f>IF(T39="","",T39/R39)</f>
        <v>-4.8029347291191342E-2</v>
      </c>
      <c r="V39" s="151">
        <f>IF(R39="","",(F39*R39)/1000000)</f>
        <v>1217.9241050550002</v>
      </c>
      <c r="W39" s="150">
        <f>IF(S39="","",(G39*S39)/1000000)</f>
        <v>1155.6884698800002</v>
      </c>
      <c r="X39" s="149">
        <f>(IF(W39="","",W39-V39))</f>
        <v>-62.23563517499997</v>
      </c>
      <c r="Y39" s="148">
        <f>IF(X39="","",X39/V39)</f>
        <v>-5.1099764687052872E-2</v>
      </c>
      <c r="Z39" s="44"/>
      <c r="AA39" s="43"/>
      <c r="AB39" s="43"/>
      <c r="AC39" s="43"/>
      <c r="AD39" s="43"/>
      <c r="AE39" s="43"/>
      <c r="AF39" s="43"/>
      <c r="AG39" s="43"/>
    </row>
    <row r="40" spans="1:33" x14ac:dyDescent="0.35">
      <c r="A40" s="187"/>
      <c r="B40" s="184"/>
      <c r="C40" s="146"/>
      <c r="D40" s="147"/>
      <c r="E40" s="144" t="s">
        <v>227</v>
      </c>
      <c r="F40" s="143"/>
      <c r="G40" s="142"/>
      <c r="H40" s="131" t="str">
        <f>(IF(G40="","",G40-F40))</f>
        <v/>
      </c>
      <c r="I40" s="141" t="str">
        <f>IF(H40="","",H40/F40)</f>
        <v/>
      </c>
      <c r="J40" s="136"/>
      <c r="K40" s="135"/>
      <c r="L40" s="134" t="str">
        <f>(IF(K40="","",K40-J40))</f>
        <v/>
      </c>
      <c r="M40" s="140" t="str">
        <f>IF(L40="","",L40/J40)</f>
        <v/>
      </c>
      <c r="N40" s="139"/>
      <c r="O40" s="138" t="str">
        <f>IF(K40="","",(G40*K40)/1000000)</f>
        <v/>
      </c>
      <c r="P40" s="137" t="str">
        <f>(IF(O40="","",O40-N40))</f>
        <v/>
      </c>
      <c r="Q40" s="130" t="str">
        <f>IF(P40="","",P40/N40)</f>
        <v/>
      </c>
      <c r="R40" s="136"/>
      <c r="S40" s="135"/>
      <c r="T40" s="134" t="str">
        <f>(IF(S40="","",S40-R40))</f>
        <v/>
      </c>
      <c r="U40" s="130" t="str">
        <f>IF(T40="","",T40/R40)</f>
        <v/>
      </c>
      <c r="V40" s="133" t="str">
        <f>IF(R40="","",(F40*R40)/1000000)</f>
        <v/>
      </c>
      <c r="W40" s="132" t="str">
        <f>IF(S40="","",(G40*S40)/1000000)</f>
        <v/>
      </c>
      <c r="X40" s="131" t="str">
        <f>(IF(W40="","",W40-V40))</f>
        <v/>
      </c>
      <c r="Y40" s="130" t="str">
        <f>IF(X40="","",X40/V40)</f>
        <v/>
      </c>
    </row>
    <row r="41" spans="1:33" x14ac:dyDescent="0.35">
      <c r="A41" s="188"/>
      <c r="B41" s="186" t="s">
        <v>234</v>
      </c>
      <c r="C41" s="182"/>
      <c r="D41" s="183" t="s">
        <v>145</v>
      </c>
      <c r="E41" s="180" t="s">
        <v>229</v>
      </c>
      <c r="F41" s="179">
        <v>1645.3889999999999</v>
      </c>
      <c r="G41" s="178">
        <v>1644.0340000000001</v>
      </c>
      <c r="H41" s="167">
        <f>(IF(G41="","",G41-F41))</f>
        <v>-1.3549999999997908</v>
      </c>
      <c r="I41" s="177">
        <f>IF(H41="","",H41/F41)</f>
        <v>-8.2351346702803463E-4</v>
      </c>
      <c r="J41" s="172">
        <v>5143</v>
      </c>
      <c r="K41" s="8">
        <v>4975</v>
      </c>
      <c r="L41" s="170">
        <f>(IF(K41="","",K41-J41))</f>
        <v>-168</v>
      </c>
      <c r="M41" s="176">
        <f>IF(L41="","",L41/J41)</f>
        <v>-3.2665759284464323E-2</v>
      </c>
      <c r="N41" s="175">
        <f>IF(J41="","",(F41*J41)/1000000)</f>
        <v>8.4622356270000001</v>
      </c>
      <c r="O41" s="174">
        <f>IF(K41="","",(G41*K41)/1000000)</f>
        <v>8.1790691500000001</v>
      </c>
      <c r="P41" s="173">
        <f>(IF(O41="","",O41-N41))</f>
        <v>-0.28316647699999997</v>
      </c>
      <c r="Q41" s="166">
        <f>IF(P41="","",P41/N41)</f>
        <v>-3.3462372058811023E-2</v>
      </c>
      <c r="R41" s="172">
        <v>841782</v>
      </c>
      <c r="S41" s="8">
        <v>818552</v>
      </c>
      <c r="T41" s="170">
        <f>(IF(S41="","",S41-R41))</f>
        <v>-23230</v>
      </c>
      <c r="U41" s="166">
        <f>IF(T41="","",T41/R41)</f>
        <v>-2.7596218498376065E-2</v>
      </c>
      <c r="V41" s="169">
        <f>IF(R41="","",(F41*R41)/1000000)</f>
        <v>1385.058843198</v>
      </c>
      <c r="W41" s="168">
        <f>IF(S41="","",(G41*S41)/1000000)</f>
        <v>1345.727318768</v>
      </c>
      <c r="X41" s="167">
        <f>(IF(W41="","",W41-V41))</f>
        <v>-39.331524429999945</v>
      </c>
      <c r="Y41" s="166">
        <f>IF(X41="","",X41/V41)</f>
        <v>-2.8397006107831722E-2</v>
      </c>
    </row>
    <row r="42" spans="1:33" x14ac:dyDescent="0.35">
      <c r="A42" s="188"/>
      <c r="B42" s="185"/>
      <c r="C42" s="164">
        <v>27</v>
      </c>
      <c r="D42" s="165"/>
      <c r="E42" s="162" t="s">
        <v>228</v>
      </c>
      <c r="F42" s="161">
        <v>1645.3889999999999</v>
      </c>
      <c r="G42" s="160">
        <v>1643.934</v>
      </c>
      <c r="H42" s="149">
        <f>(IF(G42="","",G42-F42))</f>
        <v>-1.4549999999999272</v>
      </c>
      <c r="I42" s="159">
        <f>IF(H42="","",H42/F42)</f>
        <v>-8.8428936865381214E-4</v>
      </c>
      <c r="J42" s="154">
        <v>5120</v>
      </c>
      <c r="K42" s="153">
        <v>5143</v>
      </c>
      <c r="L42" s="152">
        <f>(IF(K42="","",K42-J42))</f>
        <v>23</v>
      </c>
      <c r="M42" s="158">
        <f>IF(L42="","",L42/J42)</f>
        <v>4.4921874999999997E-3</v>
      </c>
      <c r="N42" s="157">
        <f>IF(J42="","",(F42*J42)/1000000)</f>
        <v>8.4243916799999994</v>
      </c>
      <c r="O42" s="156">
        <f>IF(K42="","",(G42*K42)/1000000)</f>
        <v>8.4547525619999995</v>
      </c>
      <c r="P42" s="155">
        <f>(IF(O42="","",O42-N42))</f>
        <v>3.0360882000000089E-2</v>
      </c>
      <c r="Q42" s="148">
        <f>IF(P42="","",P42/N42)</f>
        <v>3.6039257376979049E-3</v>
      </c>
      <c r="R42" s="154">
        <v>840809</v>
      </c>
      <c r="S42" s="153">
        <v>843893</v>
      </c>
      <c r="T42" s="152">
        <f>(IF(S42="","",S42-R42))</f>
        <v>3084</v>
      </c>
      <c r="U42" s="148">
        <f>IF(T42="","",T42/R42)</f>
        <v>3.6678960382203331E-3</v>
      </c>
      <c r="V42" s="151">
        <f>IF(R42="","",(F42*R42)/1000000)</f>
        <v>1383.4578797009999</v>
      </c>
      <c r="W42" s="150">
        <f>IF(S42="","",(G42*S42)/1000000)</f>
        <v>1387.3043950620001</v>
      </c>
      <c r="X42" s="149">
        <f>(IF(W42="","",W42-V42))</f>
        <v>3.8465153610002289</v>
      </c>
      <c r="Y42" s="148">
        <f>IF(X42="","",X42/V42)</f>
        <v>2.7803631880947166E-3</v>
      </c>
      <c r="Z42" s="190" t="s">
        <v>231</v>
      </c>
      <c r="AA42" s="189"/>
      <c r="AB42" s="189"/>
      <c r="AC42" s="189"/>
      <c r="AD42" s="189"/>
      <c r="AE42" s="189"/>
      <c r="AF42" s="189"/>
      <c r="AG42" s="189"/>
    </row>
    <row r="43" spans="1:33" x14ac:dyDescent="0.35">
      <c r="A43" s="188"/>
      <c r="B43" s="184"/>
      <c r="C43" s="146"/>
      <c r="D43" s="147"/>
      <c r="E43" s="144" t="s">
        <v>227</v>
      </c>
      <c r="F43" s="143"/>
      <c r="G43" s="142"/>
      <c r="H43" s="131" t="str">
        <f>(IF(G43="","",G43-F43))</f>
        <v/>
      </c>
      <c r="I43" s="141" t="str">
        <f>IF(H43="","",H43/F43)</f>
        <v/>
      </c>
      <c r="J43" s="136"/>
      <c r="K43" s="135"/>
      <c r="L43" s="134" t="str">
        <f>(IF(K43="","",K43-J43))</f>
        <v/>
      </c>
      <c r="M43" s="140" t="str">
        <f>IF(L43="","",L43/J43)</f>
        <v/>
      </c>
      <c r="N43" s="139"/>
      <c r="O43" s="138" t="str">
        <f>IF(K43="","",(G43*K43)/1000000)</f>
        <v/>
      </c>
      <c r="P43" s="137" t="str">
        <f>(IF(O43="","",O43-N43))</f>
        <v/>
      </c>
      <c r="Q43" s="130" t="str">
        <f>IF(P43="","",P43/N43)</f>
        <v/>
      </c>
      <c r="R43" s="136"/>
      <c r="S43" s="135"/>
      <c r="T43" s="134" t="str">
        <f>(IF(S43="","",S43-R43))</f>
        <v/>
      </c>
      <c r="U43" s="130" t="str">
        <f>IF(T43="","",T43/R43)</f>
        <v/>
      </c>
      <c r="V43" s="133" t="str">
        <f>IF(R43="","",(F43*R43)/1000000)</f>
        <v/>
      </c>
      <c r="W43" s="132" t="str">
        <f>IF(S43="","",(G43*S43)/1000000)</f>
        <v/>
      </c>
      <c r="X43" s="131" t="str">
        <f>(IF(W43="","",W43-V43))</f>
        <v/>
      </c>
      <c r="Y43" s="130" t="str">
        <f>IF(X43="","",X43/V43)</f>
        <v/>
      </c>
    </row>
    <row r="44" spans="1:33" x14ac:dyDescent="0.35">
      <c r="A44" s="188"/>
      <c r="B44" s="186" t="s">
        <v>233</v>
      </c>
      <c r="C44" s="182"/>
      <c r="D44" s="183" t="s">
        <v>141</v>
      </c>
      <c r="E44" s="180" t="s">
        <v>229</v>
      </c>
      <c r="F44" s="179">
        <v>1675.049</v>
      </c>
      <c r="G44" s="178">
        <v>1669.796</v>
      </c>
      <c r="H44" s="167">
        <f>(IF(G44="","",G44-F44))</f>
        <v>-5.2529999999999291</v>
      </c>
      <c r="I44" s="177">
        <f>IF(H44="","",H44/F44)</f>
        <v>-3.1360276624743093E-3</v>
      </c>
      <c r="J44" s="172">
        <v>5119</v>
      </c>
      <c r="K44" s="8">
        <v>5014</v>
      </c>
      <c r="L44" s="170">
        <f>(IF(K44="","",K44-J44))</f>
        <v>-105</v>
      </c>
      <c r="M44" s="176">
        <f>IF(L44="","",L44/J44)</f>
        <v>-2.0511818714592695E-2</v>
      </c>
      <c r="N44" s="175">
        <f>IF(J44="","",(F44*J44)/1000000)</f>
        <v>8.5745758310000006</v>
      </c>
      <c r="O44" s="174">
        <f>IF(K44="","",(G44*K44)/1000000)</f>
        <v>8.3723571440000004</v>
      </c>
      <c r="P44" s="173">
        <f>(IF(O44="","",O44-N44))</f>
        <v>-0.20221868700000023</v>
      </c>
      <c r="Q44" s="166">
        <f>IF(P44="","",P44/N44)</f>
        <v>-2.3583520746170449E-2</v>
      </c>
      <c r="R44" s="172">
        <v>780570</v>
      </c>
      <c r="S44" s="8">
        <v>763091</v>
      </c>
      <c r="T44" s="170">
        <f>(IF(S44="","",S44-R44))</f>
        <v>-17479</v>
      </c>
      <c r="U44" s="166">
        <f>IF(T44="","",T44/R44)</f>
        <v>-2.2392610528203748E-2</v>
      </c>
      <c r="V44" s="169">
        <f>IF(R44="","",(F44*R44)/1000000)</f>
        <v>1307.49299793</v>
      </c>
      <c r="W44" s="168">
        <f>IF(S44="","",(G44*S44)/1000000)</f>
        <v>1274.2062994360001</v>
      </c>
      <c r="X44" s="167">
        <f>(IF(W44="","",W44-V44))</f>
        <v>-33.286698493999893</v>
      </c>
      <c r="Y44" s="166">
        <f>IF(X44="","",X44/V44)</f>
        <v>-2.5458414344626555E-2</v>
      </c>
    </row>
    <row r="45" spans="1:33" x14ac:dyDescent="0.35">
      <c r="A45" s="188"/>
      <c r="B45" s="185"/>
      <c r="C45" s="164">
        <v>29</v>
      </c>
      <c r="D45" s="165"/>
      <c r="E45" s="162" t="s">
        <v>228</v>
      </c>
      <c r="F45" s="161">
        <v>1675.049</v>
      </c>
      <c r="G45" s="160">
        <v>1669.6959999999999</v>
      </c>
      <c r="H45" s="149">
        <f>(IF(G45="","",G45-F45))</f>
        <v>-5.3530000000000655</v>
      </c>
      <c r="I45" s="159">
        <f>IF(H45="","",H45/F45)</f>
        <v>-3.1957274085713705E-3</v>
      </c>
      <c r="J45" s="154">
        <v>5116</v>
      </c>
      <c r="K45" s="153">
        <v>5094</v>
      </c>
      <c r="L45" s="152">
        <f>(IF(K45="","",K45-J45))</f>
        <v>-22</v>
      </c>
      <c r="M45" s="158">
        <f>IF(L45="","",L45/J45)</f>
        <v>-4.3002345582486314E-3</v>
      </c>
      <c r="N45" s="157">
        <f>IF(J45="","",(F45*J45)/1000000)</f>
        <v>8.5695506840000011</v>
      </c>
      <c r="O45" s="156">
        <f>IF(K45="","",(G45*K45)/1000000)</f>
        <v>8.5054314239999993</v>
      </c>
      <c r="P45" s="155">
        <f>(IF(O45="","",O45-N45))</f>
        <v>-6.4119260000001788E-2</v>
      </c>
      <c r="Q45" s="148">
        <f>IF(P45="","",P45/N45)</f>
        <v>-7.4822195893790898E-3</v>
      </c>
      <c r="R45" s="154">
        <v>779879</v>
      </c>
      <c r="S45" s="153">
        <v>778426</v>
      </c>
      <c r="T45" s="152">
        <f>(IF(S45="","",S45-R45))</f>
        <v>-1453</v>
      </c>
      <c r="U45" s="148">
        <f>IF(T45="","",T45/R45)</f>
        <v>-1.8631095336584264E-3</v>
      </c>
      <c r="V45" s="151">
        <f>IF(R45="","",(F45*R45)/1000000)</f>
        <v>1306.3355390710001</v>
      </c>
      <c r="W45" s="150">
        <f>IF(S45="","",(G45*S45)/1000000)</f>
        <v>1299.7347784959998</v>
      </c>
      <c r="X45" s="149">
        <f>(IF(W45="","",W45-V45))</f>
        <v>-6.6007605750003222</v>
      </c>
      <c r="Y45" s="148">
        <f>IF(X45="","",X45/V45)</f>
        <v>-5.0528829520281211E-3</v>
      </c>
      <c r="Z45" s="190" t="s">
        <v>231</v>
      </c>
      <c r="AA45" s="189"/>
      <c r="AB45" s="189"/>
      <c r="AC45" s="189"/>
      <c r="AD45" s="189"/>
      <c r="AE45" s="189"/>
      <c r="AF45" s="189"/>
      <c r="AG45" s="189"/>
    </row>
    <row r="46" spans="1:33" x14ac:dyDescent="0.35">
      <c r="A46" s="188"/>
      <c r="B46" s="184"/>
      <c r="C46" s="146"/>
      <c r="D46" s="147"/>
      <c r="E46" s="144" t="s">
        <v>227</v>
      </c>
      <c r="F46" s="143"/>
      <c r="G46" s="142"/>
      <c r="H46" s="131" t="str">
        <f>(IF(G46="","",G46-F46))</f>
        <v/>
      </c>
      <c r="I46" s="141" t="str">
        <f>IF(H46="","",H46/F46)</f>
        <v/>
      </c>
      <c r="J46" s="136"/>
      <c r="K46" s="135"/>
      <c r="L46" s="134" t="str">
        <f>(IF(K46="","",K46-J46))</f>
        <v/>
      </c>
      <c r="M46" s="140" t="str">
        <f>IF(L46="","",L46/J46)</f>
        <v/>
      </c>
      <c r="N46" s="139"/>
      <c r="O46" s="138" t="str">
        <f>IF(K46="","",(G46*K46)/1000000)</f>
        <v/>
      </c>
      <c r="P46" s="137" t="str">
        <f>(IF(O46="","",O46-N46))</f>
        <v/>
      </c>
      <c r="Q46" s="130" t="str">
        <f>IF(P46="","",P46/N46)</f>
        <v/>
      </c>
      <c r="R46" s="136"/>
      <c r="S46" s="135"/>
      <c r="T46" s="134" t="str">
        <f>(IF(S46="","",S46-R46))</f>
        <v/>
      </c>
      <c r="U46" s="130" t="str">
        <f>IF(T46="","",T46/R46)</f>
        <v/>
      </c>
      <c r="V46" s="133" t="str">
        <f>IF(R46="","",(F46*R46)/1000000)</f>
        <v/>
      </c>
      <c r="W46" s="132" t="str">
        <f>IF(S46="","",(G46*S46)/1000000)</f>
        <v/>
      </c>
      <c r="X46" s="131" t="str">
        <f>(IF(W46="","",W46-V46))</f>
        <v/>
      </c>
      <c r="Y46" s="130" t="str">
        <f>IF(X46="","",X46/V46)</f>
        <v/>
      </c>
    </row>
    <row r="47" spans="1:33" x14ac:dyDescent="0.35">
      <c r="A47" s="188"/>
      <c r="B47" s="186" t="s">
        <v>232</v>
      </c>
      <c r="C47" s="182"/>
      <c r="D47" s="183" t="s">
        <v>130</v>
      </c>
      <c r="E47" s="180" t="s">
        <v>229</v>
      </c>
      <c r="F47" s="179">
        <v>1637.6410000000001</v>
      </c>
      <c r="G47" s="178">
        <v>1631.4829999999999</v>
      </c>
      <c r="H47" s="167">
        <f>(IF(G47="","",G47-F47))</f>
        <v>-6.1580000000001291</v>
      </c>
      <c r="I47" s="177">
        <f>IF(H47="","",H47/F47)</f>
        <v>-3.7602869004868156E-3</v>
      </c>
      <c r="J47" s="172">
        <v>4381</v>
      </c>
      <c r="K47" s="8">
        <v>4238</v>
      </c>
      <c r="L47" s="170">
        <f>(IF(K47="","",K47-J47))</f>
        <v>-143</v>
      </c>
      <c r="M47" s="176">
        <f>IF(L47="","",L47/J47)</f>
        <v>-3.2640949554896145E-2</v>
      </c>
      <c r="N47" s="175">
        <f>IF(J47="","",(F47*J47)/1000000)</f>
        <v>7.1745052209999995</v>
      </c>
      <c r="O47" s="174">
        <f>IF(K47="","",(G47*K47)/1000000)</f>
        <v>6.9142249539999998</v>
      </c>
      <c r="P47" s="173">
        <f>(IF(O47="","",O47-N47))</f>
        <v>-0.26028026699999973</v>
      </c>
      <c r="Q47" s="166">
        <f>IF(P47="","",P47/N47)</f>
        <v>-3.6278497120352117E-2</v>
      </c>
      <c r="R47" s="172">
        <v>702454</v>
      </c>
      <c r="S47" s="8">
        <v>686034</v>
      </c>
      <c r="T47" s="170">
        <f>(IF(S47="","",S47-R47))</f>
        <v>-16420</v>
      </c>
      <c r="U47" s="166">
        <f>IF(T47="","",T47/R47)</f>
        <v>-2.337519609824985E-2</v>
      </c>
      <c r="V47" s="169">
        <f>IF(R47="","",(F47*R47)/1000000)</f>
        <v>1150.3674710139999</v>
      </c>
      <c r="W47" s="168">
        <f>IF(S47="","",(G47*S47)/1000000)</f>
        <v>1119.252808422</v>
      </c>
      <c r="X47" s="167">
        <f>(IF(W47="","",W47-V47))</f>
        <v>-31.114662591999831</v>
      </c>
      <c r="Y47" s="166">
        <f>IF(X47="","",X47/V47)</f>
        <v>-2.7047585555051885E-2</v>
      </c>
    </row>
    <row r="48" spans="1:33" x14ac:dyDescent="0.35">
      <c r="A48" s="188"/>
      <c r="B48" s="185"/>
      <c r="C48" s="164">
        <v>34</v>
      </c>
      <c r="D48" s="165"/>
      <c r="E48" s="162" t="s">
        <v>228</v>
      </c>
      <c r="F48" s="161">
        <v>1637.6410000000001</v>
      </c>
      <c r="G48" s="160">
        <v>1631.383</v>
      </c>
      <c r="H48" s="149">
        <f>(IF(G48="","",G48-F48))</f>
        <v>-6.2580000000000382</v>
      </c>
      <c r="I48" s="159">
        <f>IF(H48="","",H48/F48)</f>
        <v>-3.8213503447947616E-3</v>
      </c>
      <c r="J48" s="154">
        <v>4409</v>
      </c>
      <c r="K48" s="153">
        <v>4357</v>
      </c>
      <c r="L48" s="152">
        <f>(IF(K48="","",K48-J48))</f>
        <v>-52</v>
      </c>
      <c r="M48" s="158">
        <f>IF(L48="","",L48/J48)</f>
        <v>-1.1794057609435245E-2</v>
      </c>
      <c r="N48" s="157">
        <f>IF(J48="","",(F48*J48)/1000000)</f>
        <v>7.2203591690000009</v>
      </c>
      <c r="O48" s="156">
        <f>IF(K48="","",(G48*K48)/1000000)</f>
        <v>7.1079357310000004</v>
      </c>
      <c r="P48" s="155">
        <f>(IF(O48="","",O48-N48))</f>
        <v>-0.11242343800000043</v>
      </c>
      <c r="Q48" s="148">
        <f>IF(P48="","",P48/N48)</f>
        <v>-1.5570338728117698E-2</v>
      </c>
      <c r="R48" s="154">
        <v>706192</v>
      </c>
      <c r="S48" s="153">
        <v>705430</v>
      </c>
      <c r="T48" s="152">
        <f>(IF(S48="","",S48-R48))</f>
        <v>-762</v>
      </c>
      <c r="U48" s="148">
        <f>IF(T48="","",T48/R48)</f>
        <v>-1.0790266669687563E-3</v>
      </c>
      <c r="V48" s="151">
        <f>IF(R48="","",(N48*R48)/1000000)</f>
        <v>5.0989598822744489</v>
      </c>
      <c r="W48" s="150">
        <f>IF(S48="","",(O48*S48)/1000000)</f>
        <v>5.01415110271933</v>
      </c>
      <c r="X48" s="149">
        <f>(IF(W48="","",W48-V48))</f>
        <v>-8.4808779555118896E-2</v>
      </c>
      <c r="Y48" s="148">
        <f>IF(X48="","",X48/V48)</f>
        <v>-1.6632564584385195E-2</v>
      </c>
      <c r="Z48" s="190" t="s">
        <v>231</v>
      </c>
      <c r="AA48" s="189"/>
      <c r="AB48" s="189"/>
      <c r="AC48" s="189"/>
      <c r="AD48" s="189"/>
      <c r="AE48" s="189"/>
      <c r="AF48" s="189"/>
      <c r="AG48" s="189"/>
    </row>
    <row r="49" spans="1:25" x14ac:dyDescent="0.35">
      <c r="A49" s="188"/>
      <c r="B49" s="184"/>
      <c r="C49" s="146"/>
      <c r="D49" s="147"/>
      <c r="E49" s="144" t="s">
        <v>227</v>
      </c>
      <c r="F49" s="143"/>
      <c r="G49" s="142"/>
      <c r="H49" s="131" t="str">
        <f>(IF(G49="","",G49-F49))</f>
        <v/>
      </c>
      <c r="I49" s="141" t="str">
        <f>IF(H49="","",H49/F49)</f>
        <v/>
      </c>
      <c r="J49" s="136"/>
      <c r="K49" s="135"/>
      <c r="L49" s="134" t="str">
        <f>(IF(K49="","",K49-J49))</f>
        <v/>
      </c>
      <c r="M49" s="140" t="str">
        <f>IF(L49="","",L49/J49)</f>
        <v/>
      </c>
      <c r="N49" s="139" t="str">
        <f>IF(J49="","",(F49*J49)/1000000)</f>
        <v/>
      </c>
      <c r="O49" s="138" t="str">
        <f>IF(K49="","",(G49*K49)/1000000)</f>
        <v/>
      </c>
      <c r="P49" s="137" t="str">
        <f>(IF(O49="","",O49-N49))</f>
        <v/>
      </c>
      <c r="Q49" s="130" t="str">
        <f>IF(P49="","",P49/N49)</f>
        <v/>
      </c>
      <c r="R49" s="136"/>
      <c r="S49" s="135"/>
      <c r="T49" s="134" t="str">
        <f>(IF(S49="","",S49-R49))</f>
        <v/>
      </c>
      <c r="U49" s="130" t="str">
        <f>IF(T49="","",T49/R49)</f>
        <v/>
      </c>
      <c r="V49" s="133" t="str">
        <f>IF(R49="","",(F49*R49)/1000000)</f>
        <v/>
      </c>
      <c r="W49" s="132" t="str">
        <f>IF(S49="","",(G49*S49)/1000000)</f>
        <v/>
      </c>
      <c r="X49" s="131" t="str">
        <f>(IF(W49="","",W49-V49))</f>
        <v/>
      </c>
      <c r="Y49" s="130" t="str">
        <f>IF(X49="","",X49/V49)</f>
        <v/>
      </c>
    </row>
    <row r="50" spans="1:25" x14ac:dyDescent="0.35">
      <c r="A50" s="187"/>
      <c r="B50" s="186" t="s">
        <v>230</v>
      </c>
      <c r="C50" s="182"/>
      <c r="D50" s="183" t="s">
        <v>106</v>
      </c>
      <c r="E50" s="180" t="s">
        <v>229</v>
      </c>
      <c r="F50" s="179">
        <v>1758.0309999999999</v>
      </c>
      <c r="G50" s="178">
        <v>1756.144</v>
      </c>
      <c r="H50" s="167">
        <f>(IF(G50="","",G50-F50))</f>
        <v>-1.8869999999999436</v>
      </c>
      <c r="I50" s="177">
        <f>IF(H50="","",H50/F50)</f>
        <v>-1.0733599123109569E-3</v>
      </c>
      <c r="J50" s="172">
        <v>4791</v>
      </c>
      <c r="K50" s="8">
        <v>4641</v>
      </c>
      <c r="L50" s="170">
        <f>(IF(K50="","",K50-J50))</f>
        <v>-150</v>
      </c>
      <c r="M50" s="176">
        <f>IF(L50="","",L50/J50)</f>
        <v>-3.1308703819661866E-2</v>
      </c>
      <c r="N50" s="175">
        <f>IF(J50="","",(F50*J50)/1000000)</f>
        <v>8.4227265209999995</v>
      </c>
      <c r="O50" s="174">
        <f>IF(K50="","",(G50*K50)/1000000)</f>
        <v>8.1502643040000002</v>
      </c>
      <c r="P50" s="173">
        <f>(IF(O50="","",O50-N50))</f>
        <v>-0.27246221699999928</v>
      </c>
      <c r="Q50" s="166">
        <f>IF(P50="","",P50/N50)</f>
        <v>-3.2348458224386326E-2</v>
      </c>
      <c r="R50" s="172">
        <v>853954</v>
      </c>
      <c r="S50" s="8">
        <v>826672</v>
      </c>
      <c r="T50" s="170">
        <f>(IF(S50="","",S50-R50))</f>
        <v>-27282</v>
      </c>
      <c r="U50" s="166">
        <f>IF(T50="","",T50/R50)</f>
        <v>-3.1947856676120726E-2</v>
      </c>
      <c r="V50" s="169">
        <f>IF(R50="","",(F50*R50)/1000000)</f>
        <v>1501.277604574</v>
      </c>
      <c r="W50" s="168">
        <f>IF(S50="","",(G50*S50)/1000000)</f>
        <v>1451.755072768</v>
      </c>
      <c r="X50" s="167">
        <f>(IF(W50="","",W50-V50))</f>
        <v>-49.522531805999961</v>
      </c>
      <c r="Y50" s="166">
        <f>IF(X50="","",X50/V50)</f>
        <v>-3.2986925039791289E-2</v>
      </c>
    </row>
    <row r="51" spans="1:25" x14ac:dyDescent="0.35">
      <c r="A51" s="187"/>
      <c r="B51" s="185"/>
      <c r="C51" s="164">
        <v>45</v>
      </c>
      <c r="D51" s="165"/>
      <c r="E51" s="162" t="s">
        <v>228</v>
      </c>
      <c r="F51" s="161">
        <v>1758.0309999999999</v>
      </c>
      <c r="G51" s="160">
        <v>1756.0440000000001</v>
      </c>
      <c r="H51" s="149">
        <f>(IF(G51="","",G51-F51))</f>
        <v>-1.9869999999998527</v>
      </c>
      <c r="I51" s="159">
        <f>IF(H51="","",H51/F51)</f>
        <v>-1.1302417306633687E-3</v>
      </c>
      <c r="J51" s="154">
        <v>4774</v>
      </c>
      <c r="K51" s="153">
        <v>4810</v>
      </c>
      <c r="L51" s="152">
        <f>(IF(K51="","",K51-J51))</f>
        <v>36</v>
      </c>
      <c r="M51" s="158">
        <f>IF(L51="","",L51/J51)</f>
        <v>7.5408462505236699E-3</v>
      </c>
      <c r="N51" s="157">
        <f>IF(J51="","",(F51*J51)/1000000)</f>
        <v>8.3928399939999991</v>
      </c>
      <c r="O51" s="156">
        <f>IF(K51="","",(G51*K51)/1000000)</f>
        <v>8.4465716400000002</v>
      </c>
      <c r="P51" s="155">
        <f>(IF(O51="","",O51-N51))</f>
        <v>5.3731646000001021E-2</v>
      </c>
      <c r="Q51" s="148">
        <f>IF(P51="","",P51/N51)</f>
        <v>6.4020815407434808E-3</v>
      </c>
      <c r="R51" s="154">
        <v>852207</v>
      </c>
      <c r="S51" s="153">
        <v>852081</v>
      </c>
      <c r="T51" s="152">
        <f>(IF(S51="","",S51-R51))</f>
        <v>-126</v>
      </c>
      <c r="U51" s="148">
        <f>IF(T51="","",T51/R51)</f>
        <v>-1.4785140230014538E-4</v>
      </c>
      <c r="V51" s="151">
        <f>IF(R51="","",(F51*R51)/1000000)</f>
        <v>1498.2063244170001</v>
      </c>
      <c r="W51" s="150">
        <f>IF(S51="","",(G51*S51)/1000000)</f>
        <v>1496.2917275640002</v>
      </c>
      <c r="X51" s="149">
        <f>(IF(W51="","",W51-V51))</f>
        <v>-1.9145968529999209</v>
      </c>
      <c r="Y51" s="148">
        <f>IF(X51="","",X51/V51)</f>
        <v>-1.2779260251387281E-3</v>
      </c>
    </row>
    <row r="52" spans="1:25" x14ac:dyDescent="0.35">
      <c r="A52" s="187"/>
      <c r="B52" s="184"/>
      <c r="C52" s="146"/>
      <c r="D52" s="147"/>
      <c r="E52" s="144" t="s">
        <v>227</v>
      </c>
      <c r="F52" s="143"/>
      <c r="G52" s="142"/>
      <c r="H52" s="131" t="str">
        <f>(IF(G52="","",G52-F52))</f>
        <v/>
      </c>
      <c r="I52" s="141" t="str">
        <f>IF(H52="","",H52/F52)</f>
        <v/>
      </c>
      <c r="J52" s="136"/>
      <c r="K52" s="135"/>
      <c r="L52" s="134" t="str">
        <f>(IF(K52="","",K52-J52))</f>
        <v/>
      </c>
      <c r="M52" s="140" t="str">
        <f>IF(L52="","",L52/J52)</f>
        <v/>
      </c>
      <c r="N52" s="139"/>
      <c r="O52" s="138" t="str">
        <f>IF(K52="","",(G52*K52)/1000000)</f>
        <v/>
      </c>
      <c r="P52" s="137" t="str">
        <f>(IF(O52="","",O52-N52))</f>
        <v/>
      </c>
      <c r="Q52" s="130" t="str">
        <f>IF(P52="","",P52/N52)</f>
        <v/>
      </c>
      <c r="R52" s="136"/>
      <c r="S52" s="135"/>
      <c r="T52" s="134" t="str">
        <f>(IF(S52="","",S52-R52))</f>
        <v/>
      </c>
      <c r="U52" s="130" t="str">
        <f>IF(T52="","",T52/R52)</f>
        <v/>
      </c>
      <c r="V52" s="133" t="str">
        <f>IF(R52="","",(F52*R52)/1000000)</f>
        <v/>
      </c>
      <c r="W52" s="132" t="str">
        <f>IF(S52="","",(G52*S52)/1000000)</f>
        <v/>
      </c>
      <c r="X52" s="131" t="str">
        <f>(IF(W52="","",W52-V52))</f>
        <v/>
      </c>
      <c r="Y52" s="130" t="str">
        <f>IF(X52="","",X52/V52)</f>
        <v/>
      </c>
    </row>
    <row r="53" spans="1:25" x14ac:dyDescent="0.35">
      <c r="B53" s="186"/>
      <c r="C53" s="182"/>
      <c r="D53" s="181"/>
      <c r="E53" s="180" t="s">
        <v>229</v>
      </c>
      <c r="F53" s="179"/>
      <c r="G53" s="178"/>
      <c r="H53" s="167" t="str">
        <f>(IF(G53="","",G53-F53))</f>
        <v/>
      </c>
      <c r="I53" s="177" t="str">
        <f>IF(H53="","",H53/F53)</f>
        <v/>
      </c>
      <c r="J53" s="172"/>
      <c r="K53" s="171"/>
      <c r="L53" s="170" t="str">
        <f>(IF(K53="","",K53-J53))</f>
        <v/>
      </c>
      <c r="M53" s="176" t="str">
        <f>IF(L53="","",L53/J53)</f>
        <v/>
      </c>
      <c r="N53" s="175"/>
      <c r="O53" s="174" t="str">
        <f>IF(K53="","",(G53*K53)/1000000)</f>
        <v/>
      </c>
      <c r="P53" s="173" t="str">
        <f>(IF(O53="","",O53-N53))</f>
        <v/>
      </c>
      <c r="Q53" s="166" t="str">
        <f>IF(P53="","",P53/N53)</f>
        <v/>
      </c>
      <c r="R53" s="172"/>
      <c r="S53" s="171"/>
      <c r="T53" s="170" t="str">
        <f>(IF(S53="","",S53-R53))</f>
        <v/>
      </c>
      <c r="U53" s="166" t="str">
        <f>IF(T53="","",T53/R53)</f>
        <v/>
      </c>
      <c r="V53" s="169" t="str">
        <f>IF(R53="","",(F53*R53)/1000000)</f>
        <v/>
      </c>
      <c r="W53" s="168" t="str">
        <f>IF(S53="","",(G53*S53)/1000000)</f>
        <v/>
      </c>
      <c r="X53" s="167" t="str">
        <f>(IF(W53="","",W53-V53))</f>
        <v/>
      </c>
      <c r="Y53" s="166" t="str">
        <f>IF(X53="","",X53/V53)</f>
        <v/>
      </c>
    </row>
    <row r="54" spans="1:25" x14ac:dyDescent="0.35">
      <c r="B54" s="185"/>
      <c r="C54" s="164"/>
      <c r="D54" s="163"/>
      <c r="E54" s="162" t="s">
        <v>228</v>
      </c>
      <c r="F54" s="161"/>
      <c r="G54" s="160"/>
      <c r="H54" s="149" t="str">
        <f>(IF(G54="","",G54-F54))</f>
        <v/>
      </c>
      <c r="I54" s="159" t="str">
        <f>IF(H54="","",H54/F54)</f>
        <v/>
      </c>
      <c r="J54" s="154"/>
      <c r="K54" s="153"/>
      <c r="L54" s="152" t="str">
        <f>(IF(K54="","",K54-J54))</f>
        <v/>
      </c>
      <c r="M54" s="158" t="str">
        <f>IF(L54="","",L54/J54)</f>
        <v/>
      </c>
      <c r="N54" s="157"/>
      <c r="O54" s="156" t="str">
        <f>IF(K54="","",(G54*K54)/1000000)</f>
        <v/>
      </c>
      <c r="P54" s="155" t="str">
        <f>(IF(O54="","",O54-N54))</f>
        <v/>
      </c>
      <c r="Q54" s="148" t="str">
        <f>IF(P54="","",P54/N54)</f>
        <v/>
      </c>
      <c r="R54" s="154"/>
      <c r="S54" s="153"/>
      <c r="T54" s="152" t="str">
        <f>(IF(S54="","",S54-R54))</f>
        <v/>
      </c>
      <c r="U54" s="148" t="str">
        <f>IF(T54="","",T54/R54)</f>
        <v/>
      </c>
      <c r="V54" s="151" t="str">
        <f>IF(R54="","",(F54*R54)/1000000)</f>
        <v/>
      </c>
      <c r="W54" s="150" t="str">
        <f>IF(S54="","",(G54*S54)/1000000)</f>
        <v/>
      </c>
      <c r="X54" s="149" t="str">
        <f>(IF(W54="","",W54-V54))</f>
        <v/>
      </c>
      <c r="Y54" s="148" t="str">
        <f>IF(X54="","",X54/V54)</f>
        <v/>
      </c>
    </row>
    <row r="55" spans="1:25" x14ac:dyDescent="0.35">
      <c r="B55" s="184"/>
      <c r="C55" s="146"/>
      <c r="D55" s="145"/>
      <c r="E55" s="144" t="s">
        <v>227</v>
      </c>
      <c r="F55" s="143"/>
      <c r="G55" s="142"/>
      <c r="H55" s="131" t="str">
        <f>(IF(G55="","",G55-F55))</f>
        <v/>
      </c>
      <c r="I55" s="141" t="str">
        <f>IF(H55="","",H55/F55)</f>
        <v/>
      </c>
      <c r="J55" s="136"/>
      <c r="K55" s="135"/>
      <c r="L55" s="134" t="str">
        <f>(IF(K55="","",K55-J55))</f>
        <v/>
      </c>
      <c r="M55" s="140" t="str">
        <f>IF(L55="","",L55/J55)</f>
        <v/>
      </c>
      <c r="N55" s="139"/>
      <c r="O55" s="138" t="str">
        <f>IF(K55="","",(G55*K55)/1000000)</f>
        <v/>
      </c>
      <c r="P55" s="137" t="str">
        <f>(IF(O55="","",O55-N55))</f>
        <v/>
      </c>
      <c r="Q55" s="130" t="str">
        <f>IF(P55="","",P55/N55)</f>
        <v/>
      </c>
      <c r="R55" s="136"/>
      <c r="S55" s="135"/>
      <c r="T55" s="134" t="str">
        <f>(IF(S55="","",S55-R55))</f>
        <v/>
      </c>
      <c r="U55" s="130" t="str">
        <f>IF(T55="","",T55/R55)</f>
        <v/>
      </c>
      <c r="V55" s="133" t="str">
        <f>IF(R55="","",(F55*R55)/1000000)</f>
        <v/>
      </c>
      <c r="W55" s="132" t="str">
        <f>IF(S55="","",(G55*S55)/1000000)</f>
        <v/>
      </c>
      <c r="X55" s="131" t="str">
        <f>(IF(W55="","",W55-V55))</f>
        <v/>
      </c>
      <c r="Y55" s="130" t="str">
        <f>IF(X55="","",X55/V55)</f>
        <v/>
      </c>
    </row>
    <row r="56" spans="1:25" x14ac:dyDescent="0.35">
      <c r="B56" s="186"/>
      <c r="C56" s="182"/>
      <c r="D56" s="181"/>
      <c r="E56" s="180" t="s">
        <v>229</v>
      </c>
      <c r="F56" s="179"/>
      <c r="G56" s="178"/>
      <c r="H56" s="167" t="str">
        <f>(IF(G56="","",G56-F56))</f>
        <v/>
      </c>
      <c r="I56" s="177" t="str">
        <f>IF(H56="","",H56/F56)</f>
        <v/>
      </c>
      <c r="J56" s="172"/>
      <c r="K56" s="171"/>
      <c r="L56" s="170" t="str">
        <f>(IF(K56="","",K56-J56))</f>
        <v/>
      </c>
      <c r="M56" s="176" t="str">
        <f>IF(L56="","",L56/J56)</f>
        <v/>
      </c>
      <c r="N56" s="175"/>
      <c r="O56" s="174" t="str">
        <f>IF(K56="","",(G56*K56)/1000000)</f>
        <v/>
      </c>
      <c r="P56" s="173" t="str">
        <f>(IF(O56="","",O56-N56))</f>
        <v/>
      </c>
      <c r="Q56" s="166" t="str">
        <f>IF(P56="","",P56/N56)</f>
        <v/>
      </c>
      <c r="R56" s="172"/>
      <c r="S56" s="171"/>
      <c r="T56" s="170" t="str">
        <f>(IF(S56="","",S56-R56))</f>
        <v/>
      </c>
      <c r="U56" s="166" t="str">
        <f>IF(T56="","",T56/R56)</f>
        <v/>
      </c>
      <c r="V56" s="169" t="str">
        <f>IF(R56="","",(F56*R56)/1000000)</f>
        <v/>
      </c>
      <c r="W56" s="168" t="str">
        <f>IF(S56="","",(G56*S56)/1000000)</f>
        <v/>
      </c>
      <c r="X56" s="167" t="str">
        <f>(IF(W56="","",W56-V56))</f>
        <v/>
      </c>
      <c r="Y56" s="166" t="str">
        <f>IF(X56="","",X56/V56)</f>
        <v/>
      </c>
    </row>
    <row r="57" spans="1:25" x14ac:dyDescent="0.35">
      <c r="B57" s="185"/>
      <c r="C57" s="164"/>
      <c r="D57" s="163"/>
      <c r="E57" s="162" t="s">
        <v>228</v>
      </c>
      <c r="F57" s="161"/>
      <c r="G57" s="160"/>
      <c r="H57" s="149" t="str">
        <f>(IF(G57="","",G57-F57))</f>
        <v/>
      </c>
      <c r="I57" s="159" t="str">
        <f>IF(H57="","",H57/F57)</f>
        <v/>
      </c>
      <c r="J57" s="154"/>
      <c r="K57" s="153"/>
      <c r="L57" s="152" t="str">
        <f>(IF(K57="","",K57-J57))</f>
        <v/>
      </c>
      <c r="M57" s="158" t="str">
        <f>IF(L57="","",L57/J57)</f>
        <v/>
      </c>
      <c r="N57" s="157"/>
      <c r="O57" s="156" t="str">
        <f>IF(K57="","",(G57*K57)/1000000)</f>
        <v/>
      </c>
      <c r="P57" s="155" t="str">
        <f>(IF(O57="","",O57-N57))</f>
        <v/>
      </c>
      <c r="Q57" s="148" t="str">
        <f>IF(P57="","",P57/N57)</f>
        <v/>
      </c>
      <c r="R57" s="154"/>
      <c r="S57" s="153"/>
      <c r="T57" s="152" t="str">
        <f>(IF(S57="","",S57-R57))</f>
        <v/>
      </c>
      <c r="U57" s="148" t="str">
        <f>IF(T57="","",T57/R57)</f>
        <v/>
      </c>
      <c r="V57" s="151" t="str">
        <f>IF(R57="","",(F57*R57)/1000000)</f>
        <v/>
      </c>
      <c r="W57" s="150" t="str">
        <f>IF(S57="","",(G57*S57)/1000000)</f>
        <v/>
      </c>
      <c r="X57" s="149" t="str">
        <f>(IF(W57="","",W57-V57))</f>
        <v/>
      </c>
      <c r="Y57" s="148" t="str">
        <f>IF(X57="","",X57/V57)</f>
        <v/>
      </c>
    </row>
    <row r="58" spans="1:25" x14ac:dyDescent="0.35">
      <c r="B58" s="184"/>
      <c r="C58" s="146"/>
      <c r="D58" s="145"/>
      <c r="E58" s="144" t="s">
        <v>227</v>
      </c>
      <c r="F58" s="143"/>
      <c r="G58" s="142"/>
      <c r="H58" s="131" t="str">
        <f>(IF(G58="","",G58-F58))</f>
        <v/>
      </c>
      <c r="I58" s="141" t="str">
        <f>IF(H58="","",H58/F58)</f>
        <v/>
      </c>
      <c r="J58" s="136"/>
      <c r="K58" s="135"/>
      <c r="L58" s="134" t="str">
        <f>(IF(K58="","",K58-J58))</f>
        <v/>
      </c>
      <c r="M58" s="140" t="str">
        <f>IF(L58="","",L58/J58)</f>
        <v/>
      </c>
      <c r="N58" s="139"/>
      <c r="O58" s="138" t="str">
        <f>IF(K58="","",(G58*K58)/1000000)</f>
        <v/>
      </c>
      <c r="P58" s="137" t="str">
        <f>(IF(O58="","",O58-N58))</f>
        <v/>
      </c>
      <c r="Q58" s="130" t="str">
        <f>IF(P58="","",P58/N58)</f>
        <v/>
      </c>
      <c r="R58" s="136"/>
      <c r="S58" s="135"/>
      <c r="T58" s="134" t="str">
        <f>(IF(S58="","",S58-R58))</f>
        <v/>
      </c>
      <c r="U58" s="130" t="str">
        <f>IF(T58="","",T58/R58)</f>
        <v/>
      </c>
      <c r="V58" s="133" t="str">
        <f>IF(R58="","",(F58*R58)/1000000)</f>
        <v/>
      </c>
      <c r="W58" s="132" t="str">
        <f>IF(S58="","",(G58*S58)/1000000)</f>
        <v/>
      </c>
      <c r="X58" s="131" t="str">
        <f>(IF(W58="","",W58-V58))</f>
        <v/>
      </c>
      <c r="Y58" s="130" t="str">
        <f>IF(X58="","",X58/V58)</f>
        <v/>
      </c>
    </row>
    <row r="59" spans="1:25" x14ac:dyDescent="0.35">
      <c r="B59" s="186"/>
      <c r="C59" s="182"/>
      <c r="D59" s="181"/>
      <c r="E59" s="180" t="s">
        <v>229</v>
      </c>
      <c r="F59" s="179"/>
      <c r="G59" s="178"/>
      <c r="H59" s="167" t="str">
        <f>(IF(G59="","",G59-F59))</f>
        <v/>
      </c>
      <c r="I59" s="177" t="str">
        <f>IF(H59="","",H59/F59)</f>
        <v/>
      </c>
      <c r="J59" s="172"/>
      <c r="K59" s="171"/>
      <c r="L59" s="170" t="str">
        <f>(IF(K59="","",K59-J59))</f>
        <v/>
      </c>
      <c r="M59" s="176" t="str">
        <f>IF(L59="","",L59/J59)</f>
        <v/>
      </c>
      <c r="N59" s="175"/>
      <c r="O59" s="174" t="str">
        <f>IF(K59="","",(G59*K59)/1000000)</f>
        <v/>
      </c>
      <c r="P59" s="173" t="str">
        <f>(IF(O59="","",O59-N59))</f>
        <v/>
      </c>
      <c r="Q59" s="166" t="str">
        <f>IF(P59="","",P59/N59)</f>
        <v/>
      </c>
      <c r="R59" s="172"/>
      <c r="S59" s="171"/>
      <c r="T59" s="170" t="str">
        <f>(IF(S59="","",S59-R59))</f>
        <v/>
      </c>
      <c r="U59" s="166" t="str">
        <f>IF(T59="","",T59/R59)</f>
        <v/>
      </c>
      <c r="V59" s="169" t="str">
        <f>IF(R59="","",(F59*R59)/1000000)</f>
        <v/>
      </c>
      <c r="W59" s="168" t="str">
        <f>IF(S59="","",(G59*S59)/1000000)</f>
        <v/>
      </c>
      <c r="X59" s="167" t="str">
        <f>(IF(W59="","",W59-V59))</f>
        <v/>
      </c>
      <c r="Y59" s="166" t="str">
        <f>IF(X59="","",X59/V59)</f>
        <v/>
      </c>
    </row>
    <row r="60" spans="1:25" x14ac:dyDescent="0.35">
      <c r="B60" s="185"/>
      <c r="C60" s="164"/>
      <c r="D60" s="163"/>
      <c r="E60" s="162" t="s">
        <v>228</v>
      </c>
      <c r="F60" s="161"/>
      <c r="G60" s="160"/>
      <c r="H60" s="149" t="str">
        <f>(IF(G60="","",G60-F60))</f>
        <v/>
      </c>
      <c r="I60" s="159" t="str">
        <f>IF(H60="","",H60/F60)</f>
        <v/>
      </c>
      <c r="J60" s="154"/>
      <c r="K60" s="153"/>
      <c r="L60" s="152" t="str">
        <f>(IF(K60="","",K60-J60))</f>
        <v/>
      </c>
      <c r="M60" s="158" t="str">
        <f>IF(L60="","",L60/J60)</f>
        <v/>
      </c>
      <c r="N60" s="157"/>
      <c r="O60" s="156" t="str">
        <f>IF(K60="","",(G60*K60)/1000000)</f>
        <v/>
      </c>
      <c r="P60" s="155" t="str">
        <f>(IF(O60="","",O60-N60))</f>
        <v/>
      </c>
      <c r="Q60" s="148" t="str">
        <f>IF(P60="","",P60/N60)</f>
        <v/>
      </c>
      <c r="R60" s="154"/>
      <c r="S60" s="153"/>
      <c r="T60" s="152" t="str">
        <f>(IF(S60="","",S60-R60))</f>
        <v/>
      </c>
      <c r="U60" s="148" t="str">
        <f>IF(T60="","",T60/R60)</f>
        <v/>
      </c>
      <c r="V60" s="151" t="str">
        <f>IF(R60="","",(F60*R60)/1000000)</f>
        <v/>
      </c>
      <c r="W60" s="150" t="str">
        <f>IF(S60="","",(G60*S60)/1000000)</f>
        <v/>
      </c>
      <c r="X60" s="149" t="str">
        <f>(IF(W60="","",W60-V60))</f>
        <v/>
      </c>
      <c r="Y60" s="148" t="str">
        <f>IF(X60="","",X60/V60)</f>
        <v/>
      </c>
    </row>
    <row r="61" spans="1:25" x14ac:dyDescent="0.35">
      <c r="B61" s="184"/>
      <c r="C61" s="146"/>
      <c r="D61" s="145"/>
      <c r="E61" s="144" t="s">
        <v>227</v>
      </c>
      <c r="F61" s="143"/>
      <c r="G61" s="142"/>
      <c r="H61" s="131" t="str">
        <f>(IF(G61="","",G61-F61))</f>
        <v/>
      </c>
      <c r="I61" s="141" t="str">
        <f>IF(H61="","",H61/F61)</f>
        <v/>
      </c>
      <c r="J61" s="136"/>
      <c r="K61" s="135"/>
      <c r="L61" s="134" t="str">
        <f>(IF(K61="","",K61-J61))</f>
        <v/>
      </c>
      <c r="M61" s="140" t="str">
        <f>IF(L61="","",L61/J61)</f>
        <v/>
      </c>
      <c r="N61" s="139"/>
      <c r="O61" s="138" t="str">
        <f>IF(K61="","",(G61*K61)/1000000)</f>
        <v/>
      </c>
      <c r="P61" s="137" t="str">
        <f>(IF(O61="","",O61-N61))</f>
        <v/>
      </c>
      <c r="Q61" s="130" t="str">
        <f>IF(P61="","",P61/N61)</f>
        <v/>
      </c>
      <c r="R61" s="136"/>
      <c r="S61" s="135"/>
      <c r="T61" s="134" t="str">
        <f>(IF(S61="","",S61-R61))</f>
        <v/>
      </c>
      <c r="U61" s="130" t="str">
        <f>IF(T61="","",T61/R61)</f>
        <v/>
      </c>
      <c r="V61" s="133" t="str">
        <f>IF(R61="","",(F61*R61)/1000000)</f>
        <v/>
      </c>
      <c r="W61" s="132" t="str">
        <f>IF(S61="","",(G61*S61)/1000000)</f>
        <v/>
      </c>
      <c r="X61" s="131" t="str">
        <f>(IF(W61="","",W61-V61))</f>
        <v/>
      </c>
      <c r="Y61" s="130" t="str">
        <f>IF(X61="","",X61/V61)</f>
        <v/>
      </c>
    </row>
    <row r="62" spans="1:25" x14ac:dyDescent="0.35">
      <c r="B62" s="186"/>
      <c r="C62" s="182"/>
      <c r="D62" s="181"/>
      <c r="E62" s="180" t="s">
        <v>229</v>
      </c>
      <c r="F62" s="179"/>
      <c r="G62" s="178"/>
      <c r="H62" s="167" t="str">
        <f>(IF(G62="","",G62-F62))</f>
        <v/>
      </c>
      <c r="I62" s="177" t="str">
        <f>IF(H62="","",H62/F62)</f>
        <v/>
      </c>
      <c r="J62" s="172"/>
      <c r="K62" s="171"/>
      <c r="L62" s="170" t="str">
        <f>(IF(K62="","",K62-J62))</f>
        <v/>
      </c>
      <c r="M62" s="176" t="str">
        <f>IF(L62="","",L62/J62)</f>
        <v/>
      </c>
      <c r="N62" s="175"/>
      <c r="O62" s="174" t="str">
        <f>IF(K62="","",(G62*K62)/1000000)</f>
        <v/>
      </c>
      <c r="P62" s="173" t="str">
        <f>(IF(O62="","",O62-N62))</f>
        <v/>
      </c>
      <c r="Q62" s="166" t="str">
        <f>IF(P62="","",P62/N62)</f>
        <v/>
      </c>
      <c r="R62" s="172"/>
      <c r="S62" s="171"/>
      <c r="T62" s="170" t="str">
        <f>(IF(S62="","",S62-R62))</f>
        <v/>
      </c>
      <c r="U62" s="166" t="str">
        <f>IF(T62="","",T62/R62)</f>
        <v/>
      </c>
      <c r="V62" s="169" t="str">
        <f>IF(R62="","",(F62*R62)/1000000)</f>
        <v/>
      </c>
      <c r="W62" s="168" t="str">
        <f>IF(S62="","",(G62*S62)/1000000)</f>
        <v/>
      </c>
      <c r="X62" s="167" t="str">
        <f>(IF(W62="","",W62-V62))</f>
        <v/>
      </c>
      <c r="Y62" s="166" t="str">
        <f>IF(X62="","",X62/V62)</f>
        <v/>
      </c>
    </row>
    <row r="63" spans="1:25" x14ac:dyDescent="0.35">
      <c r="B63" s="185"/>
      <c r="C63" s="164"/>
      <c r="D63" s="163"/>
      <c r="E63" s="162" t="s">
        <v>228</v>
      </c>
      <c r="F63" s="161"/>
      <c r="G63" s="160"/>
      <c r="H63" s="149" t="str">
        <f>(IF(G63="","",G63-F63))</f>
        <v/>
      </c>
      <c r="I63" s="159" t="str">
        <f>IF(H63="","",H63/F63)</f>
        <v/>
      </c>
      <c r="J63" s="154"/>
      <c r="K63" s="153"/>
      <c r="L63" s="152" t="str">
        <f>(IF(K63="","",K63-J63))</f>
        <v/>
      </c>
      <c r="M63" s="158" t="str">
        <f>IF(L63="","",L63/J63)</f>
        <v/>
      </c>
      <c r="N63" s="157"/>
      <c r="O63" s="156" t="str">
        <f>IF(K63="","",(G63*K63)/1000000)</f>
        <v/>
      </c>
      <c r="P63" s="155" t="str">
        <f>(IF(O63="","",O63-N63))</f>
        <v/>
      </c>
      <c r="Q63" s="148" t="str">
        <f>IF(P63="","",P63/N63)</f>
        <v/>
      </c>
      <c r="R63" s="154"/>
      <c r="S63" s="153"/>
      <c r="T63" s="152" t="str">
        <f>(IF(S63="","",S63-R63))</f>
        <v/>
      </c>
      <c r="U63" s="148" t="str">
        <f>IF(T63="","",T63/R63)</f>
        <v/>
      </c>
      <c r="V63" s="151" t="str">
        <f>IF(R63="","",(F63*R63)/1000000)</f>
        <v/>
      </c>
      <c r="W63" s="150" t="str">
        <f>IF(S63="","",(G63*S63)/1000000)</f>
        <v/>
      </c>
      <c r="X63" s="149" t="str">
        <f>(IF(W63="","",W63-V63))</f>
        <v/>
      </c>
      <c r="Y63" s="148" t="str">
        <f>IF(X63="","",X63/V63)</f>
        <v/>
      </c>
    </row>
    <row r="64" spans="1:25" x14ac:dyDescent="0.35">
      <c r="B64" s="184"/>
      <c r="C64" s="146"/>
      <c r="D64" s="145"/>
      <c r="E64" s="144" t="s">
        <v>227</v>
      </c>
      <c r="F64" s="143"/>
      <c r="G64" s="142"/>
      <c r="H64" s="131" t="str">
        <f>(IF(G64="","",G64-F64))</f>
        <v/>
      </c>
      <c r="I64" s="141" t="str">
        <f>IF(H64="","",H64/F64)</f>
        <v/>
      </c>
      <c r="J64" s="136"/>
      <c r="K64" s="135"/>
      <c r="L64" s="134" t="str">
        <f>(IF(K64="","",K64-J64))</f>
        <v/>
      </c>
      <c r="M64" s="140" t="str">
        <f>IF(L64="","",L64/J64)</f>
        <v/>
      </c>
      <c r="N64" s="139"/>
      <c r="O64" s="138" t="str">
        <f>IF(K64="","",(G64*K64)/1000000)</f>
        <v/>
      </c>
      <c r="P64" s="137" t="str">
        <f>(IF(O64="","",O64-N64))</f>
        <v/>
      </c>
      <c r="Q64" s="130" t="str">
        <f>IF(P64="","",P64/N64)</f>
        <v/>
      </c>
      <c r="R64" s="136"/>
      <c r="S64" s="135"/>
      <c r="T64" s="134" t="str">
        <f>(IF(S64="","",S64-R64))</f>
        <v/>
      </c>
      <c r="U64" s="130" t="str">
        <f>IF(T64="","",T64/R64)</f>
        <v/>
      </c>
      <c r="V64" s="133" t="str">
        <f>IF(R64="","",(F64*R64)/1000000)</f>
        <v/>
      </c>
      <c r="W64" s="132" t="str">
        <f>IF(S64="","",(G64*S64)/1000000)</f>
        <v/>
      </c>
      <c r="X64" s="131" t="str">
        <f>(IF(W64="","",W64-V64))</f>
        <v/>
      </c>
      <c r="Y64" s="130" t="str">
        <f>IF(X64="","",X64/V64)</f>
        <v/>
      </c>
    </row>
    <row r="65" spans="2:25" x14ac:dyDescent="0.35">
      <c r="B65" s="186"/>
      <c r="C65" s="182"/>
      <c r="D65" s="181"/>
      <c r="E65" s="180" t="s">
        <v>229</v>
      </c>
      <c r="F65" s="179"/>
      <c r="G65" s="178"/>
      <c r="H65" s="167" t="str">
        <f>(IF(G65="","",G65-F65))</f>
        <v/>
      </c>
      <c r="I65" s="177" t="str">
        <f>IF(H65="","",H65/F65)</f>
        <v/>
      </c>
      <c r="J65" s="172"/>
      <c r="K65" s="171"/>
      <c r="L65" s="170" t="str">
        <f>(IF(K65="","",K65-J65))</f>
        <v/>
      </c>
      <c r="M65" s="176" t="str">
        <f>IF(L65="","",L65/J65)</f>
        <v/>
      </c>
      <c r="N65" s="175"/>
      <c r="O65" s="174" t="str">
        <f>IF(K65="","",(G65*K65)/1000000)</f>
        <v/>
      </c>
      <c r="P65" s="173" t="str">
        <f>(IF(O65="","",O65-N65))</f>
        <v/>
      </c>
      <c r="Q65" s="166" t="str">
        <f>IF(P65="","",P65/N65)</f>
        <v/>
      </c>
      <c r="R65" s="172"/>
      <c r="S65" s="171"/>
      <c r="T65" s="170" t="str">
        <f>(IF(S65="","",S65-R65))</f>
        <v/>
      </c>
      <c r="U65" s="166" t="str">
        <f>IF(T65="","",T65/R65)</f>
        <v/>
      </c>
      <c r="V65" s="169" t="str">
        <f>IF(R65="","",(F65*R65)/1000000)</f>
        <v/>
      </c>
      <c r="W65" s="168" t="str">
        <f>IF(S65="","",(G65*S65)/1000000)</f>
        <v/>
      </c>
      <c r="X65" s="167" t="str">
        <f>(IF(W65="","",W65-V65))</f>
        <v/>
      </c>
      <c r="Y65" s="166" t="str">
        <f>IF(X65="","",X65/V65)</f>
        <v/>
      </c>
    </row>
    <row r="66" spans="2:25" x14ac:dyDescent="0.35">
      <c r="B66" s="185"/>
      <c r="C66" s="164"/>
      <c r="D66" s="163"/>
      <c r="E66" s="162" t="s">
        <v>228</v>
      </c>
      <c r="F66" s="161"/>
      <c r="G66" s="160"/>
      <c r="H66" s="149" t="str">
        <f>(IF(G66="","",G66-F66))</f>
        <v/>
      </c>
      <c r="I66" s="159" t="str">
        <f>IF(H66="","",H66/F66)</f>
        <v/>
      </c>
      <c r="J66" s="154"/>
      <c r="K66" s="153"/>
      <c r="L66" s="152" t="str">
        <f>(IF(K66="","",K66-J66))</f>
        <v/>
      </c>
      <c r="M66" s="158" t="str">
        <f>IF(L66="","",L66/J66)</f>
        <v/>
      </c>
      <c r="N66" s="157"/>
      <c r="O66" s="156" t="str">
        <f>IF(K66="","",(G66*K66)/1000000)</f>
        <v/>
      </c>
      <c r="P66" s="155" t="str">
        <f>(IF(O66="","",O66-N66))</f>
        <v/>
      </c>
      <c r="Q66" s="148" t="str">
        <f>IF(P66="","",P66/N66)</f>
        <v/>
      </c>
      <c r="R66" s="154"/>
      <c r="S66" s="153"/>
      <c r="T66" s="152" t="str">
        <f>(IF(S66="","",S66-R66))</f>
        <v/>
      </c>
      <c r="U66" s="148" t="str">
        <f>IF(T66="","",T66/R66)</f>
        <v/>
      </c>
      <c r="V66" s="151" t="str">
        <f>IF(R66="","",(F66*R66)/1000000)</f>
        <v/>
      </c>
      <c r="W66" s="150" t="str">
        <f>IF(S66="","",(G66*S66)/1000000)</f>
        <v/>
      </c>
      <c r="X66" s="149" t="str">
        <f>(IF(W66="","",W66-V66))</f>
        <v/>
      </c>
      <c r="Y66" s="148" t="str">
        <f>IF(X66="","",X66/V66)</f>
        <v/>
      </c>
    </row>
    <row r="67" spans="2:25" x14ac:dyDescent="0.35">
      <c r="B67" s="184"/>
      <c r="C67" s="146"/>
      <c r="D67" s="145"/>
      <c r="E67" s="144" t="s">
        <v>227</v>
      </c>
      <c r="F67" s="143"/>
      <c r="G67" s="142"/>
      <c r="H67" s="131" t="str">
        <f>(IF(G67="","",G67-F67))</f>
        <v/>
      </c>
      <c r="I67" s="141" t="str">
        <f>IF(H67="","",H67/F67)</f>
        <v/>
      </c>
      <c r="J67" s="136"/>
      <c r="K67" s="135"/>
      <c r="L67" s="134" t="str">
        <f>(IF(K67="","",K67-J67))</f>
        <v/>
      </c>
      <c r="M67" s="140" t="str">
        <f>IF(L67="","",L67/J67)</f>
        <v/>
      </c>
      <c r="N67" s="139"/>
      <c r="O67" s="138" t="str">
        <f>IF(K67="","",(G67*K67)/1000000)</f>
        <v/>
      </c>
      <c r="P67" s="137" t="str">
        <f>(IF(O67="","",O67-N67))</f>
        <v/>
      </c>
      <c r="Q67" s="130" t="str">
        <f>IF(P67="","",P67/N67)</f>
        <v/>
      </c>
      <c r="R67" s="136"/>
      <c r="S67" s="135"/>
      <c r="T67" s="134" t="str">
        <f>(IF(S67="","",S67-R67))</f>
        <v/>
      </c>
      <c r="U67" s="130" t="str">
        <f>IF(T67="","",T67/R67)</f>
        <v/>
      </c>
      <c r="V67" s="133" t="str">
        <f>IF(R67="","",(F67*R67)/1000000)</f>
        <v/>
      </c>
      <c r="W67" s="132" t="str">
        <f>IF(S67="","",(G67*S67)/1000000)</f>
        <v/>
      </c>
      <c r="X67" s="131" t="str">
        <f>(IF(W67="","",W67-V67))</f>
        <v/>
      </c>
      <c r="Y67" s="130" t="str">
        <f>IF(X67="","",X67/V67)</f>
        <v/>
      </c>
    </row>
    <row r="68" spans="2:25" x14ac:dyDescent="0.35">
      <c r="B68" s="183"/>
      <c r="C68" s="182"/>
      <c r="D68" s="181"/>
      <c r="E68" s="180" t="s">
        <v>229</v>
      </c>
      <c r="F68" s="179"/>
      <c r="G68" s="178"/>
      <c r="H68" s="167" t="str">
        <f>(IF(G68="","",G68-F68))</f>
        <v/>
      </c>
      <c r="I68" s="177" t="str">
        <f>IF(H68="","",H68/F68)</f>
        <v/>
      </c>
      <c r="J68" s="172"/>
      <c r="K68" s="171"/>
      <c r="L68" s="170" t="str">
        <f>(IF(K68="","",K68-J68))</f>
        <v/>
      </c>
      <c r="M68" s="176" t="str">
        <f>IF(L68="","",L68/J68)</f>
        <v/>
      </c>
      <c r="N68" s="175"/>
      <c r="O68" s="174" t="str">
        <f>IF(K68="","",(G68*K68)/1000000)</f>
        <v/>
      </c>
      <c r="P68" s="173" t="str">
        <f>(IF(O68="","",O68-N68))</f>
        <v/>
      </c>
      <c r="Q68" s="166" t="str">
        <f>IF(P68="","",P68/N68)</f>
        <v/>
      </c>
      <c r="R68" s="172"/>
      <c r="S68" s="171"/>
      <c r="T68" s="170" t="str">
        <f>(IF(S68="","",S68-R68))</f>
        <v/>
      </c>
      <c r="U68" s="166" t="str">
        <f>IF(T68="","",T68/R68)</f>
        <v/>
      </c>
      <c r="V68" s="169" t="str">
        <f>IF(R68="","",(F68*R68)/1000000)</f>
        <v/>
      </c>
      <c r="W68" s="168" t="str">
        <f>IF(S68="","",(G68*S68)/1000000)</f>
        <v/>
      </c>
      <c r="X68" s="167" t="str">
        <f>(IF(W68="","",W68-V68))</f>
        <v/>
      </c>
      <c r="Y68" s="166" t="str">
        <f>IF(X68="","",X68/V68)</f>
        <v/>
      </c>
    </row>
    <row r="69" spans="2:25" x14ac:dyDescent="0.35">
      <c r="B69" s="165"/>
      <c r="C69" s="164"/>
      <c r="D69" s="163"/>
      <c r="E69" s="162" t="s">
        <v>228</v>
      </c>
      <c r="F69" s="161"/>
      <c r="G69" s="160"/>
      <c r="H69" s="149" t="str">
        <f>(IF(G69="","",G69-F69))</f>
        <v/>
      </c>
      <c r="I69" s="159" t="str">
        <f>IF(H69="","",H69/F69)</f>
        <v/>
      </c>
      <c r="J69" s="154"/>
      <c r="K69" s="153"/>
      <c r="L69" s="152" t="str">
        <f>(IF(K69="","",K69-J69))</f>
        <v/>
      </c>
      <c r="M69" s="158" t="str">
        <f>IF(L69="","",L69/J69)</f>
        <v/>
      </c>
      <c r="N69" s="157"/>
      <c r="O69" s="156" t="str">
        <f>IF(K69="","",(G69*K69)/1000000)</f>
        <v/>
      </c>
      <c r="P69" s="155" t="str">
        <f>(IF(O69="","",O69-N69))</f>
        <v/>
      </c>
      <c r="Q69" s="148" t="str">
        <f>IF(P69="","",P69/N69)</f>
        <v/>
      </c>
      <c r="R69" s="154"/>
      <c r="S69" s="153"/>
      <c r="T69" s="152" t="str">
        <f>(IF(S69="","",S69-R69))</f>
        <v/>
      </c>
      <c r="U69" s="148" t="str">
        <f>IF(T69="","",T69/R69)</f>
        <v/>
      </c>
      <c r="V69" s="151" t="str">
        <f>IF(R69="","",(F69*R69)/1000000)</f>
        <v/>
      </c>
      <c r="W69" s="150" t="str">
        <f>IF(S69="","",(G69*S69)/1000000)</f>
        <v/>
      </c>
      <c r="X69" s="149" t="str">
        <f>(IF(W69="","",W69-V69))</f>
        <v/>
      </c>
      <c r="Y69" s="148" t="str">
        <f>IF(X69="","",X69/V69)</f>
        <v/>
      </c>
    </row>
    <row r="70" spans="2:25" x14ac:dyDescent="0.35">
      <c r="B70" s="147"/>
      <c r="C70" s="146"/>
      <c r="D70" s="145"/>
      <c r="E70" s="144" t="s">
        <v>227</v>
      </c>
      <c r="F70" s="143"/>
      <c r="G70" s="142"/>
      <c r="H70" s="131" t="str">
        <f>(IF(G70="","",G70-F70))</f>
        <v/>
      </c>
      <c r="I70" s="141" t="str">
        <f>IF(H70="","",H70/F70)</f>
        <v/>
      </c>
      <c r="J70" s="136"/>
      <c r="K70" s="135"/>
      <c r="L70" s="134" t="str">
        <f>(IF(K70="","",K70-J70))</f>
        <v/>
      </c>
      <c r="M70" s="140" t="str">
        <f>IF(L70="","",L70/J70)</f>
        <v/>
      </c>
      <c r="N70" s="139"/>
      <c r="O70" s="138" t="str">
        <f>IF(K70="","",(G70*K70)/1000000)</f>
        <v/>
      </c>
      <c r="P70" s="137" t="str">
        <f>(IF(O70="","",O70-N70))</f>
        <v/>
      </c>
      <c r="Q70" s="130" t="str">
        <f>IF(P70="","",P70/N70)</f>
        <v/>
      </c>
      <c r="R70" s="136"/>
      <c r="S70" s="135"/>
      <c r="T70" s="134" t="str">
        <f>(IF(S70="","",S70-R70))</f>
        <v/>
      </c>
      <c r="U70" s="130" t="str">
        <f>IF(T70="","",T70/R70)</f>
        <v/>
      </c>
      <c r="V70" s="133" t="str">
        <f>IF(R70="","",(F70*R70)/1000000)</f>
        <v/>
      </c>
      <c r="W70" s="132" t="str">
        <f>IF(S70="","",(G70*S70)/1000000)</f>
        <v/>
      </c>
      <c r="X70" s="131" t="str">
        <f>(IF(W70="","",W70-V70))</f>
        <v/>
      </c>
      <c r="Y70" s="130" t="str">
        <f>IF(X70="","",X70/V70)</f>
        <v/>
      </c>
    </row>
    <row r="71" spans="2:25" x14ac:dyDescent="0.35">
      <c r="B71" s="183"/>
      <c r="C71" s="182"/>
      <c r="D71" s="181"/>
      <c r="E71" s="180" t="s">
        <v>229</v>
      </c>
      <c r="F71" s="179"/>
      <c r="G71" s="178"/>
      <c r="H71" s="167" t="str">
        <f>(IF(G71="","",G71-F71))</f>
        <v/>
      </c>
      <c r="I71" s="177" t="str">
        <f>IF(H71="","",H71/F71)</f>
        <v/>
      </c>
      <c r="J71" s="172"/>
      <c r="K71" s="171"/>
      <c r="L71" s="170" t="str">
        <f>(IF(K71="","",K71-J71))</f>
        <v/>
      </c>
      <c r="M71" s="176" t="str">
        <f>IF(L71="","",L71/J71)</f>
        <v/>
      </c>
      <c r="N71" s="175"/>
      <c r="O71" s="174" t="str">
        <f>IF(K71="","",(G71*K71)/1000000)</f>
        <v/>
      </c>
      <c r="P71" s="173" t="str">
        <f>(IF(O71="","",O71-N71))</f>
        <v/>
      </c>
      <c r="Q71" s="166" t="str">
        <f>IF(P71="","",P71/N71)</f>
        <v/>
      </c>
      <c r="R71" s="172"/>
      <c r="S71" s="171"/>
      <c r="T71" s="170" t="str">
        <f>(IF(S71="","",S71-R71))</f>
        <v/>
      </c>
      <c r="U71" s="166" t="str">
        <f>IF(T71="","",T71/R71)</f>
        <v/>
      </c>
      <c r="V71" s="169" t="str">
        <f>IF(R71="","",(F71*R71)/1000000)</f>
        <v/>
      </c>
      <c r="W71" s="168" t="str">
        <f>IF(S71="","",(G71*S71)/1000000)</f>
        <v/>
      </c>
      <c r="X71" s="167" t="str">
        <f>(IF(W71="","",W71-V71))</f>
        <v/>
      </c>
      <c r="Y71" s="166" t="str">
        <f>IF(X71="","",X71/V71)</f>
        <v/>
      </c>
    </row>
    <row r="72" spans="2:25" x14ac:dyDescent="0.35">
      <c r="B72" s="165"/>
      <c r="C72" s="164"/>
      <c r="D72" s="163"/>
      <c r="E72" s="162" t="s">
        <v>228</v>
      </c>
      <c r="F72" s="161"/>
      <c r="G72" s="160"/>
      <c r="H72" s="149" t="str">
        <f>(IF(G72="","",G72-F72))</f>
        <v/>
      </c>
      <c r="I72" s="159" t="str">
        <f>IF(H72="","",H72/F72)</f>
        <v/>
      </c>
      <c r="J72" s="154"/>
      <c r="K72" s="153"/>
      <c r="L72" s="152" t="str">
        <f>(IF(K72="","",K72-J72))</f>
        <v/>
      </c>
      <c r="M72" s="158" t="str">
        <f>IF(L72="","",L72/J72)</f>
        <v/>
      </c>
      <c r="N72" s="157"/>
      <c r="O72" s="156" t="str">
        <f>IF(K72="","",(G72*K72)/1000000)</f>
        <v/>
      </c>
      <c r="P72" s="155" t="str">
        <f>(IF(O72="","",O72-N72))</f>
        <v/>
      </c>
      <c r="Q72" s="148" t="str">
        <f>IF(P72="","",P72/N72)</f>
        <v/>
      </c>
      <c r="R72" s="154"/>
      <c r="S72" s="153"/>
      <c r="T72" s="152" t="str">
        <f>(IF(S72="","",S72-R72))</f>
        <v/>
      </c>
      <c r="U72" s="148" t="str">
        <f>IF(T72="","",T72/R72)</f>
        <v/>
      </c>
      <c r="V72" s="151" t="str">
        <f>IF(R72="","",(F72*R72)/1000000)</f>
        <v/>
      </c>
      <c r="W72" s="150" t="str">
        <f>IF(S72="","",(G72*S72)/1000000)</f>
        <v/>
      </c>
      <c r="X72" s="149" t="str">
        <f>(IF(W72="","",W72-V72))</f>
        <v/>
      </c>
      <c r="Y72" s="148" t="str">
        <f>IF(X72="","",X72/V72)</f>
        <v/>
      </c>
    </row>
    <row r="73" spans="2:25" x14ac:dyDescent="0.35">
      <c r="B73" s="147"/>
      <c r="C73" s="146"/>
      <c r="D73" s="145"/>
      <c r="E73" s="144" t="s">
        <v>227</v>
      </c>
      <c r="F73" s="143"/>
      <c r="G73" s="142"/>
      <c r="H73" s="131" t="str">
        <f>(IF(G73="","",G73-F73))</f>
        <v/>
      </c>
      <c r="I73" s="141" t="str">
        <f>IF(H73="","",H73/F73)</f>
        <v/>
      </c>
      <c r="J73" s="136"/>
      <c r="K73" s="135"/>
      <c r="L73" s="134" t="str">
        <f>(IF(K73="","",K73-J73))</f>
        <v/>
      </c>
      <c r="M73" s="140" t="str">
        <f>IF(L73="","",L73/J73)</f>
        <v/>
      </c>
      <c r="N73" s="139"/>
      <c r="O73" s="138" t="str">
        <f>IF(K73="","",(G73*K73)/1000000)</f>
        <v/>
      </c>
      <c r="P73" s="137" t="str">
        <f>(IF(O73="","",O73-N73))</f>
        <v/>
      </c>
      <c r="Q73" s="130" t="str">
        <f>IF(P73="","",P73/N73)</f>
        <v/>
      </c>
      <c r="R73" s="136"/>
      <c r="S73" s="135"/>
      <c r="T73" s="134" t="str">
        <f>(IF(S73="","",S73-R73))</f>
        <v/>
      </c>
      <c r="U73" s="130" t="str">
        <f>IF(T73="","",T73/R73)</f>
        <v/>
      </c>
      <c r="V73" s="133" t="str">
        <f>IF(R73="","",(F73*R73)/1000000)</f>
        <v/>
      </c>
      <c r="W73" s="132" t="str">
        <f>IF(S73="","",(G73*S73)/1000000)</f>
        <v/>
      </c>
      <c r="X73" s="131" t="str">
        <f>(IF(W73="","",W73-V73))</f>
        <v/>
      </c>
      <c r="Y73" s="130" t="str">
        <f>IF(X73="","",X73/V73)</f>
        <v/>
      </c>
    </row>
    <row r="74" spans="2:25" x14ac:dyDescent="0.35">
      <c r="B74" s="183"/>
      <c r="C74" s="182"/>
      <c r="D74" s="181"/>
      <c r="E74" s="180" t="s">
        <v>229</v>
      </c>
      <c r="F74" s="179"/>
      <c r="G74" s="178"/>
      <c r="H74" s="167" t="str">
        <f>(IF(G74="","",G74-F74))</f>
        <v/>
      </c>
      <c r="I74" s="177" t="str">
        <f>IF(H74="","",H74/F74)</f>
        <v/>
      </c>
      <c r="J74" s="172"/>
      <c r="K74" s="171"/>
      <c r="L74" s="170" t="str">
        <f>(IF(K74="","",K74-J74))</f>
        <v/>
      </c>
      <c r="M74" s="176" t="str">
        <f>IF(L74="","",L74/J74)</f>
        <v/>
      </c>
      <c r="N74" s="175"/>
      <c r="O74" s="174" t="str">
        <f>IF(K74="","",(G74*K74)/1000000)</f>
        <v/>
      </c>
      <c r="P74" s="173" t="str">
        <f>(IF(O74="","",O74-N74))</f>
        <v/>
      </c>
      <c r="Q74" s="166" t="str">
        <f>IF(P74="","",P74/N74)</f>
        <v/>
      </c>
      <c r="R74" s="172"/>
      <c r="S74" s="171"/>
      <c r="T74" s="170" t="str">
        <f>(IF(S74="","",S74-R74))</f>
        <v/>
      </c>
      <c r="U74" s="166" t="str">
        <f>IF(T74="","",T74/R74)</f>
        <v/>
      </c>
      <c r="V74" s="169" t="str">
        <f>IF(R74="","",(F74*R74)/1000000)</f>
        <v/>
      </c>
      <c r="W74" s="168" t="str">
        <f>IF(S74="","",(G74*S74)/1000000)</f>
        <v/>
      </c>
      <c r="X74" s="167" t="str">
        <f>(IF(W74="","",W74-V74))</f>
        <v/>
      </c>
      <c r="Y74" s="166" t="str">
        <f>IF(X74="","",X74/V74)</f>
        <v/>
      </c>
    </row>
    <row r="75" spans="2:25" x14ac:dyDescent="0.35">
      <c r="B75" s="165"/>
      <c r="C75" s="164"/>
      <c r="D75" s="163"/>
      <c r="E75" s="162" t="s">
        <v>228</v>
      </c>
      <c r="F75" s="161"/>
      <c r="G75" s="160"/>
      <c r="H75" s="149" t="str">
        <f>(IF(G75="","",G75-F75))</f>
        <v/>
      </c>
      <c r="I75" s="159" t="str">
        <f>IF(H75="","",H75/F75)</f>
        <v/>
      </c>
      <c r="J75" s="154"/>
      <c r="K75" s="153"/>
      <c r="L75" s="152" t="str">
        <f>(IF(K75="","",K75-J75))</f>
        <v/>
      </c>
      <c r="M75" s="158" t="str">
        <f>IF(L75="","",L75/J75)</f>
        <v/>
      </c>
      <c r="N75" s="157"/>
      <c r="O75" s="156" t="str">
        <f>IF(K75="","",(G75*K75)/1000000)</f>
        <v/>
      </c>
      <c r="P75" s="155" t="str">
        <f>(IF(O75="","",O75-N75))</f>
        <v/>
      </c>
      <c r="Q75" s="148" t="str">
        <f>IF(P75="","",P75/N75)</f>
        <v/>
      </c>
      <c r="R75" s="154"/>
      <c r="S75" s="153"/>
      <c r="T75" s="152" t="str">
        <f>(IF(S75="","",S75-R75))</f>
        <v/>
      </c>
      <c r="U75" s="148" t="str">
        <f>IF(T75="","",T75/R75)</f>
        <v/>
      </c>
      <c r="V75" s="151" t="str">
        <f>IF(R75="","",(F75*R75)/1000000)</f>
        <v/>
      </c>
      <c r="W75" s="150" t="str">
        <f>IF(S75="","",(G75*S75)/1000000)</f>
        <v/>
      </c>
      <c r="X75" s="149" t="str">
        <f>(IF(W75="","",W75-V75))</f>
        <v/>
      </c>
      <c r="Y75" s="148" t="str">
        <f>IF(X75="","",X75/V75)</f>
        <v/>
      </c>
    </row>
    <row r="76" spans="2:25" x14ac:dyDescent="0.35">
      <c r="B76" s="147"/>
      <c r="C76" s="146"/>
      <c r="D76" s="145"/>
      <c r="E76" s="144" t="s">
        <v>227</v>
      </c>
      <c r="F76" s="143"/>
      <c r="G76" s="142"/>
      <c r="H76" s="131" t="str">
        <f>(IF(G76="","",G76-F76))</f>
        <v/>
      </c>
      <c r="I76" s="141" t="str">
        <f>IF(H76="","",H76/F76)</f>
        <v/>
      </c>
      <c r="J76" s="136"/>
      <c r="K76" s="135"/>
      <c r="L76" s="134" t="str">
        <f>(IF(K76="","",K76-J76))</f>
        <v/>
      </c>
      <c r="M76" s="140" t="str">
        <f>IF(L76="","",L76/J76)</f>
        <v/>
      </c>
      <c r="N76" s="139"/>
      <c r="O76" s="138" t="str">
        <f>IF(K76="","",(G76*K76)/1000000)</f>
        <v/>
      </c>
      <c r="P76" s="137" t="str">
        <f>(IF(O76="","",O76-N76))</f>
        <v/>
      </c>
      <c r="Q76" s="130" t="str">
        <f>IF(P76="","",P76/N76)</f>
        <v/>
      </c>
      <c r="R76" s="136"/>
      <c r="S76" s="135"/>
      <c r="T76" s="134" t="str">
        <f>(IF(S76="","",S76-R76))</f>
        <v/>
      </c>
      <c r="U76" s="130" t="str">
        <f>IF(T76="","",T76/R76)</f>
        <v/>
      </c>
      <c r="V76" s="133" t="str">
        <f>IF(R76="","",(F76*R76)/1000000)</f>
        <v/>
      </c>
      <c r="W76" s="132" t="str">
        <f>IF(S76="","",(G76*S76)/1000000)</f>
        <v/>
      </c>
      <c r="X76" s="131" t="str">
        <f>(IF(W76="","",W76-V76))</f>
        <v/>
      </c>
      <c r="Y76" s="130" t="str">
        <f>IF(X76="","",X76/V76)</f>
        <v/>
      </c>
    </row>
    <row r="77" spans="2:25" x14ac:dyDescent="0.35">
      <c r="B77" s="183"/>
      <c r="C77" s="182"/>
      <c r="D77" s="181"/>
      <c r="E77" s="180" t="s">
        <v>229</v>
      </c>
      <c r="F77" s="179"/>
      <c r="G77" s="178"/>
      <c r="H77" s="167" t="str">
        <f>(IF(G77="","",G77-F77))</f>
        <v/>
      </c>
      <c r="I77" s="177" t="str">
        <f>IF(H77="","",H77/F77)</f>
        <v/>
      </c>
      <c r="J77" s="172"/>
      <c r="K77" s="171"/>
      <c r="L77" s="170" t="str">
        <f>(IF(K77="","",K77-J77))</f>
        <v/>
      </c>
      <c r="M77" s="176" t="str">
        <f>IF(L77="","",L77/J77)</f>
        <v/>
      </c>
      <c r="N77" s="175"/>
      <c r="O77" s="174" t="str">
        <f>IF(K77="","",(G77*K77)/1000000)</f>
        <v/>
      </c>
      <c r="P77" s="173" t="str">
        <f>(IF(O77="","",O77-N77))</f>
        <v/>
      </c>
      <c r="Q77" s="166" t="str">
        <f>IF(P77="","",P77/N77)</f>
        <v/>
      </c>
      <c r="R77" s="172"/>
      <c r="S77" s="171"/>
      <c r="T77" s="170" t="str">
        <f>(IF(S77="","",S77-R77))</f>
        <v/>
      </c>
      <c r="U77" s="166" t="str">
        <f>IF(T77="","",T77/R77)</f>
        <v/>
      </c>
      <c r="V77" s="169" t="str">
        <f>IF(R77="","",(F77*R77)/1000000)</f>
        <v/>
      </c>
      <c r="W77" s="168" t="str">
        <f>IF(S77="","",(G77*S77)/1000000)</f>
        <v/>
      </c>
      <c r="X77" s="167" t="str">
        <f>(IF(W77="","",W77-V77))</f>
        <v/>
      </c>
      <c r="Y77" s="166" t="str">
        <f>IF(X77="","",X77/V77)</f>
        <v/>
      </c>
    </row>
    <row r="78" spans="2:25" x14ac:dyDescent="0.35">
      <c r="B78" s="165"/>
      <c r="C78" s="164"/>
      <c r="D78" s="163"/>
      <c r="E78" s="162" t="s">
        <v>228</v>
      </c>
      <c r="F78" s="161"/>
      <c r="G78" s="160"/>
      <c r="H78" s="149" t="str">
        <f>(IF(G78="","",G78-F78))</f>
        <v/>
      </c>
      <c r="I78" s="159" t="str">
        <f>IF(H78="","",H78/F78)</f>
        <v/>
      </c>
      <c r="J78" s="154"/>
      <c r="K78" s="153"/>
      <c r="L78" s="152" t="str">
        <f>(IF(K78="","",K78-J78))</f>
        <v/>
      </c>
      <c r="M78" s="158" t="str">
        <f>IF(L78="","",L78/J78)</f>
        <v/>
      </c>
      <c r="N78" s="157"/>
      <c r="O78" s="156" t="str">
        <f>IF(K78="","",(G78*K78)/1000000)</f>
        <v/>
      </c>
      <c r="P78" s="155" t="str">
        <f>(IF(O78="","",O78-N78))</f>
        <v/>
      </c>
      <c r="Q78" s="148" t="str">
        <f>IF(P78="","",P78/N78)</f>
        <v/>
      </c>
      <c r="R78" s="154"/>
      <c r="S78" s="153"/>
      <c r="T78" s="152" t="str">
        <f>(IF(S78="","",S78-R78))</f>
        <v/>
      </c>
      <c r="U78" s="148" t="str">
        <f>IF(T78="","",T78/R78)</f>
        <v/>
      </c>
      <c r="V78" s="151" t="str">
        <f>IF(R78="","",(F78*R78)/1000000)</f>
        <v/>
      </c>
      <c r="W78" s="150" t="str">
        <f>IF(S78="","",(G78*S78)/1000000)</f>
        <v/>
      </c>
      <c r="X78" s="149" t="str">
        <f>(IF(W78="","",W78-V78))</f>
        <v/>
      </c>
      <c r="Y78" s="148" t="str">
        <f>IF(X78="","",X78/V78)</f>
        <v/>
      </c>
    </row>
    <row r="79" spans="2:25" x14ac:dyDescent="0.35">
      <c r="B79" s="147"/>
      <c r="C79" s="146"/>
      <c r="D79" s="145"/>
      <c r="E79" s="144" t="s">
        <v>227</v>
      </c>
      <c r="F79" s="143"/>
      <c r="G79" s="142"/>
      <c r="H79" s="131" t="str">
        <f>(IF(G79="","",G79-F79))</f>
        <v/>
      </c>
      <c r="I79" s="141" t="str">
        <f>IF(H79="","",H79/F79)</f>
        <v/>
      </c>
      <c r="J79" s="136"/>
      <c r="K79" s="135"/>
      <c r="L79" s="134" t="str">
        <f>(IF(K79="","",K79-J79))</f>
        <v/>
      </c>
      <c r="M79" s="140" t="str">
        <f>IF(L79="","",L79/J79)</f>
        <v/>
      </c>
      <c r="N79" s="139"/>
      <c r="O79" s="138" t="str">
        <f>IF(K79="","",(G79*K79)/1000000)</f>
        <v/>
      </c>
      <c r="P79" s="137" t="str">
        <f>(IF(O79="","",O79-N79))</f>
        <v/>
      </c>
      <c r="Q79" s="130" t="str">
        <f>IF(P79="","",P79/N79)</f>
        <v/>
      </c>
      <c r="R79" s="136"/>
      <c r="S79" s="135"/>
      <c r="T79" s="134" t="str">
        <f>(IF(S79="","",S79-R79))</f>
        <v/>
      </c>
      <c r="U79" s="130" t="str">
        <f>IF(T79="","",T79/R79)</f>
        <v/>
      </c>
      <c r="V79" s="133" t="str">
        <f>IF(R79="","",(F79*R79)/1000000)</f>
        <v/>
      </c>
      <c r="W79" s="132" t="str">
        <f>IF(S79="","",(G79*S79)/1000000)</f>
        <v/>
      </c>
      <c r="X79" s="131" t="str">
        <f>(IF(W79="","",W79-V79))</f>
        <v/>
      </c>
      <c r="Y79" s="130" t="str">
        <f>IF(X79="","",X79/V79)</f>
        <v/>
      </c>
    </row>
    <row r="80" spans="2:25" x14ac:dyDescent="0.35">
      <c r="B80" s="183"/>
      <c r="C80" s="182"/>
      <c r="D80" s="181"/>
      <c r="E80" s="180" t="s">
        <v>229</v>
      </c>
      <c r="F80" s="179"/>
      <c r="G80" s="178"/>
      <c r="H80" s="167" t="str">
        <f>(IF(G80="","",G80-F80))</f>
        <v/>
      </c>
      <c r="I80" s="177" t="str">
        <f>IF(H80="","",H80/F80)</f>
        <v/>
      </c>
      <c r="J80" s="172"/>
      <c r="K80" s="171"/>
      <c r="L80" s="170" t="str">
        <f>(IF(K80="","",K80-J80))</f>
        <v/>
      </c>
      <c r="M80" s="176" t="str">
        <f>IF(L80="","",L80/J80)</f>
        <v/>
      </c>
      <c r="N80" s="175"/>
      <c r="O80" s="174" t="str">
        <f>IF(K80="","",(G80*K80)/1000000)</f>
        <v/>
      </c>
      <c r="P80" s="173" t="str">
        <f>(IF(O80="","",O80-N80))</f>
        <v/>
      </c>
      <c r="Q80" s="166" t="str">
        <f>IF(P80="","",P80/N80)</f>
        <v/>
      </c>
      <c r="R80" s="172"/>
      <c r="S80" s="171"/>
      <c r="T80" s="170" t="str">
        <f>(IF(S80="","",S80-R80))</f>
        <v/>
      </c>
      <c r="U80" s="166" t="str">
        <f>IF(T80="","",T80/R80)</f>
        <v/>
      </c>
      <c r="V80" s="169" t="str">
        <f>IF(R80="","",(F80*R80)/1000000)</f>
        <v/>
      </c>
      <c r="W80" s="168" t="str">
        <f>IF(S80="","",(G80*S80)/1000000)</f>
        <v/>
      </c>
      <c r="X80" s="167" t="str">
        <f>(IF(W80="","",W80-V80))</f>
        <v/>
      </c>
      <c r="Y80" s="166" t="str">
        <f>IF(X80="","",X80/V80)</f>
        <v/>
      </c>
    </row>
    <row r="81" spans="2:25" x14ac:dyDescent="0.35">
      <c r="B81" s="165"/>
      <c r="C81" s="164"/>
      <c r="D81" s="163"/>
      <c r="E81" s="162" t="s">
        <v>228</v>
      </c>
      <c r="F81" s="161"/>
      <c r="G81" s="160"/>
      <c r="H81" s="149" t="str">
        <f>(IF(G81="","",G81-F81))</f>
        <v/>
      </c>
      <c r="I81" s="159" t="str">
        <f>IF(H81="","",H81/F81)</f>
        <v/>
      </c>
      <c r="J81" s="154"/>
      <c r="K81" s="153"/>
      <c r="L81" s="152" t="str">
        <f>(IF(K81="","",K81-J81))</f>
        <v/>
      </c>
      <c r="M81" s="158" t="str">
        <f>IF(L81="","",L81/J81)</f>
        <v/>
      </c>
      <c r="N81" s="157"/>
      <c r="O81" s="156" t="str">
        <f>IF(K81="","",(G81*K81)/1000000)</f>
        <v/>
      </c>
      <c r="P81" s="155" t="str">
        <f>(IF(O81="","",O81-N81))</f>
        <v/>
      </c>
      <c r="Q81" s="148" t="str">
        <f>IF(P81="","",P81/N81)</f>
        <v/>
      </c>
      <c r="R81" s="154"/>
      <c r="S81" s="153"/>
      <c r="T81" s="152" t="str">
        <f>(IF(S81="","",S81-R81))</f>
        <v/>
      </c>
      <c r="U81" s="148" t="str">
        <f>IF(T81="","",T81/R81)</f>
        <v/>
      </c>
      <c r="V81" s="151" t="str">
        <f>IF(R81="","",(F81*R81)/1000000)</f>
        <v/>
      </c>
      <c r="W81" s="150" t="str">
        <f>IF(S81="","",(G81*S81)/1000000)</f>
        <v/>
      </c>
      <c r="X81" s="149" t="str">
        <f>(IF(W81="","",W81-V81))</f>
        <v/>
      </c>
      <c r="Y81" s="148" t="str">
        <f>IF(X81="","",X81/V81)</f>
        <v/>
      </c>
    </row>
    <row r="82" spans="2:25" x14ac:dyDescent="0.35">
      <c r="B82" s="147"/>
      <c r="C82" s="146"/>
      <c r="D82" s="145"/>
      <c r="E82" s="144" t="s">
        <v>227</v>
      </c>
      <c r="F82" s="143"/>
      <c r="G82" s="142"/>
      <c r="H82" s="131" t="str">
        <f>(IF(G82="","",G82-F82))</f>
        <v/>
      </c>
      <c r="I82" s="141" t="str">
        <f>IF(H82="","",H82/F82)</f>
        <v/>
      </c>
      <c r="J82" s="136"/>
      <c r="K82" s="135"/>
      <c r="L82" s="134" t="str">
        <f>(IF(K82="","",K82-J82))</f>
        <v/>
      </c>
      <c r="M82" s="140" t="str">
        <f>IF(L82="","",L82/J82)</f>
        <v/>
      </c>
      <c r="N82" s="139"/>
      <c r="O82" s="138" t="str">
        <f>IF(K82="","",(G82*K82)/1000000)</f>
        <v/>
      </c>
      <c r="P82" s="137" t="str">
        <f>(IF(O82="","",O82-N82))</f>
        <v/>
      </c>
      <c r="Q82" s="130" t="str">
        <f>IF(P82="","",P82/N82)</f>
        <v/>
      </c>
      <c r="R82" s="136"/>
      <c r="S82" s="135"/>
      <c r="T82" s="134" t="str">
        <f>(IF(S82="","",S82-R82))</f>
        <v/>
      </c>
      <c r="U82" s="130" t="str">
        <f>IF(T82="","",T82/R82)</f>
        <v/>
      </c>
      <c r="V82" s="133" t="str">
        <f>IF(R82="","",(F82*R82)/1000000)</f>
        <v/>
      </c>
      <c r="W82" s="132" t="str">
        <f>IF(S82="","",(G82*S82)/1000000)</f>
        <v/>
      </c>
      <c r="X82" s="131" t="str">
        <f>(IF(W82="","",W82-V82))</f>
        <v/>
      </c>
      <c r="Y82" s="130" t="str">
        <f>IF(X82="","",X82/V82)</f>
        <v/>
      </c>
    </row>
    <row r="83" spans="2:25" x14ac:dyDescent="0.35">
      <c r="B83" s="183"/>
      <c r="C83" s="182"/>
      <c r="D83" s="181"/>
      <c r="E83" s="180" t="s">
        <v>229</v>
      </c>
      <c r="F83" s="179"/>
      <c r="G83" s="178"/>
      <c r="H83" s="167" t="str">
        <f>(IF(G83="","",G83-F83))</f>
        <v/>
      </c>
      <c r="I83" s="177" t="str">
        <f>IF(H83="","",H83/F83)</f>
        <v/>
      </c>
      <c r="J83" s="172"/>
      <c r="K83" s="171"/>
      <c r="L83" s="170" t="str">
        <f>(IF(K83="","",K83-J83))</f>
        <v/>
      </c>
      <c r="M83" s="176" t="str">
        <f>IF(L83="","",L83/J83)</f>
        <v/>
      </c>
      <c r="N83" s="175"/>
      <c r="O83" s="174" t="str">
        <f>IF(K83="","",(G83*K83)/1000000)</f>
        <v/>
      </c>
      <c r="P83" s="173" t="str">
        <f>(IF(O83="","",O83-N83))</f>
        <v/>
      </c>
      <c r="Q83" s="166" t="str">
        <f>IF(P83="","",P83/N83)</f>
        <v/>
      </c>
      <c r="R83" s="172"/>
      <c r="S83" s="171"/>
      <c r="T83" s="170" t="str">
        <f>(IF(S83="","",S83-R83))</f>
        <v/>
      </c>
      <c r="U83" s="166" t="str">
        <f>IF(T83="","",T83/R83)</f>
        <v/>
      </c>
      <c r="V83" s="169" t="str">
        <f>IF(R83="","",(F83*R83)/1000000)</f>
        <v/>
      </c>
      <c r="W83" s="168" t="str">
        <f>IF(S83="","",(G83*S83)/1000000)</f>
        <v/>
      </c>
      <c r="X83" s="167" t="str">
        <f>(IF(W83="","",W83-V83))</f>
        <v/>
      </c>
      <c r="Y83" s="166" t="str">
        <f>IF(X83="","",X83/V83)</f>
        <v/>
      </c>
    </row>
    <row r="84" spans="2:25" x14ac:dyDescent="0.35">
      <c r="B84" s="165"/>
      <c r="C84" s="164"/>
      <c r="D84" s="163"/>
      <c r="E84" s="162" t="s">
        <v>228</v>
      </c>
      <c r="F84" s="161"/>
      <c r="G84" s="160"/>
      <c r="H84" s="149" t="str">
        <f>(IF(G84="","",G84-F84))</f>
        <v/>
      </c>
      <c r="I84" s="159" t="str">
        <f>IF(H84="","",H84/F84)</f>
        <v/>
      </c>
      <c r="J84" s="154"/>
      <c r="K84" s="153"/>
      <c r="L84" s="152" t="str">
        <f>(IF(K84="","",K84-J84))</f>
        <v/>
      </c>
      <c r="M84" s="158" t="str">
        <f>IF(L84="","",L84/J84)</f>
        <v/>
      </c>
      <c r="N84" s="157"/>
      <c r="O84" s="156" t="str">
        <f>IF(K84="","",(G84*K84)/1000000)</f>
        <v/>
      </c>
      <c r="P84" s="155" t="str">
        <f>(IF(O84="","",O84-N84))</f>
        <v/>
      </c>
      <c r="Q84" s="148" t="str">
        <f>IF(P84="","",P84/N84)</f>
        <v/>
      </c>
      <c r="R84" s="154"/>
      <c r="S84" s="153"/>
      <c r="T84" s="152" t="str">
        <f>(IF(S84="","",S84-R84))</f>
        <v/>
      </c>
      <c r="U84" s="148" t="str">
        <f>IF(T84="","",T84/R84)</f>
        <v/>
      </c>
      <c r="V84" s="151" t="str">
        <f>IF(R84="","",(F84*R84)/1000000)</f>
        <v/>
      </c>
      <c r="W84" s="150" t="str">
        <f>IF(S84="","",(G84*S84)/1000000)</f>
        <v/>
      </c>
      <c r="X84" s="149" t="str">
        <f>(IF(W84="","",W84-V84))</f>
        <v/>
      </c>
      <c r="Y84" s="148" t="str">
        <f>IF(X84="","",X84/V84)</f>
        <v/>
      </c>
    </row>
    <row r="85" spans="2:25" x14ac:dyDescent="0.35">
      <c r="B85" s="147"/>
      <c r="C85" s="146"/>
      <c r="D85" s="145"/>
      <c r="E85" s="144" t="s">
        <v>227</v>
      </c>
      <c r="F85" s="143"/>
      <c r="G85" s="142"/>
      <c r="H85" s="131" t="str">
        <f>(IF(G85="","",G85-F85))</f>
        <v/>
      </c>
      <c r="I85" s="141" t="str">
        <f>IF(H85="","",H85/F85)</f>
        <v/>
      </c>
      <c r="J85" s="136"/>
      <c r="K85" s="135"/>
      <c r="L85" s="134" t="str">
        <f>(IF(K85="","",K85-J85))</f>
        <v/>
      </c>
      <c r="M85" s="140" t="str">
        <f>IF(L85="","",L85/J85)</f>
        <v/>
      </c>
      <c r="N85" s="139"/>
      <c r="O85" s="138" t="str">
        <f>IF(K85="","",(G85*K85)/1000000)</f>
        <v/>
      </c>
      <c r="P85" s="137" t="str">
        <f>(IF(O85="","",O85-N85))</f>
        <v/>
      </c>
      <c r="Q85" s="130" t="str">
        <f>IF(P85="","",P85/N85)</f>
        <v/>
      </c>
      <c r="R85" s="136"/>
      <c r="S85" s="135"/>
      <c r="T85" s="134" t="str">
        <f>(IF(S85="","",S85-R85))</f>
        <v/>
      </c>
      <c r="U85" s="130" t="str">
        <f>IF(T85="","",T85/R85)</f>
        <v/>
      </c>
      <c r="V85" s="133" t="str">
        <f>IF(R85="","",(F85*R85)/1000000)</f>
        <v/>
      </c>
      <c r="W85" s="132" t="str">
        <f>IF(S85="","",(G85*S85)/1000000)</f>
        <v/>
      </c>
      <c r="X85" s="131" t="str">
        <f>(IF(W85="","",W85-V85))</f>
        <v/>
      </c>
      <c r="Y85" s="130" t="str">
        <f>IF(X85="","",X85/V85)</f>
        <v/>
      </c>
    </row>
    <row r="86" spans="2:25" x14ac:dyDescent="0.35">
      <c r="B86" s="183"/>
      <c r="C86" s="182"/>
      <c r="D86" s="181"/>
      <c r="E86" s="180" t="s">
        <v>229</v>
      </c>
      <c r="F86" s="179"/>
      <c r="G86" s="178"/>
      <c r="H86" s="167" t="str">
        <f>(IF(G86="","",G86-F86))</f>
        <v/>
      </c>
      <c r="I86" s="177" t="str">
        <f>IF(H86="","",H86/F86)</f>
        <v/>
      </c>
      <c r="J86" s="172"/>
      <c r="K86" s="171"/>
      <c r="L86" s="170" t="str">
        <f>(IF(K86="","",K86-J86))</f>
        <v/>
      </c>
      <c r="M86" s="176" t="str">
        <f>IF(L86="","",L86/J86)</f>
        <v/>
      </c>
      <c r="N86" s="175"/>
      <c r="O86" s="174" t="str">
        <f>IF(K86="","",(G86*K86)/1000000)</f>
        <v/>
      </c>
      <c r="P86" s="173" t="str">
        <f>(IF(O86="","",O86-N86))</f>
        <v/>
      </c>
      <c r="Q86" s="166" t="str">
        <f>IF(P86="","",P86/N86)</f>
        <v/>
      </c>
      <c r="R86" s="172"/>
      <c r="S86" s="171"/>
      <c r="T86" s="170" t="str">
        <f>(IF(S86="","",S86-R86))</f>
        <v/>
      </c>
      <c r="U86" s="166" t="str">
        <f>IF(T86="","",T86/R86)</f>
        <v/>
      </c>
      <c r="V86" s="169" t="str">
        <f>IF(R86="","",(F86*R86)/1000000)</f>
        <v/>
      </c>
      <c r="W86" s="168" t="str">
        <f>IF(S86="","",(G86*S86)/1000000)</f>
        <v/>
      </c>
      <c r="X86" s="167" t="str">
        <f>(IF(W86="","",W86-V86))</f>
        <v/>
      </c>
      <c r="Y86" s="166" t="str">
        <f>IF(X86="","",X86/V86)</f>
        <v/>
      </c>
    </row>
    <row r="87" spans="2:25" x14ac:dyDescent="0.35">
      <c r="B87" s="165"/>
      <c r="C87" s="164"/>
      <c r="D87" s="163"/>
      <c r="E87" s="162" t="s">
        <v>228</v>
      </c>
      <c r="F87" s="161"/>
      <c r="G87" s="160"/>
      <c r="H87" s="149" t="str">
        <f>(IF(G87="","",G87-F87))</f>
        <v/>
      </c>
      <c r="I87" s="159" t="str">
        <f>IF(H87="","",H87/F87)</f>
        <v/>
      </c>
      <c r="J87" s="154"/>
      <c r="K87" s="153"/>
      <c r="L87" s="152" t="str">
        <f>(IF(K87="","",K87-J87))</f>
        <v/>
      </c>
      <c r="M87" s="158" t="str">
        <f>IF(L87="","",L87/J87)</f>
        <v/>
      </c>
      <c r="N87" s="157"/>
      <c r="O87" s="156" t="str">
        <f>IF(K87="","",(G87*K87)/1000000)</f>
        <v/>
      </c>
      <c r="P87" s="155" t="str">
        <f>(IF(O87="","",O87-N87))</f>
        <v/>
      </c>
      <c r="Q87" s="148" t="str">
        <f>IF(P87="","",P87/N87)</f>
        <v/>
      </c>
      <c r="R87" s="154"/>
      <c r="S87" s="153"/>
      <c r="T87" s="152" t="str">
        <f>(IF(S87="","",S87-R87))</f>
        <v/>
      </c>
      <c r="U87" s="148" t="str">
        <f>IF(T87="","",T87/R87)</f>
        <v/>
      </c>
      <c r="V87" s="151" t="str">
        <f>IF(R87="","",(F87*R87)/1000000)</f>
        <v/>
      </c>
      <c r="W87" s="150" t="str">
        <f>IF(S87="","",(G87*S87)/1000000)</f>
        <v/>
      </c>
      <c r="X87" s="149" t="str">
        <f>(IF(W87="","",W87-V87))</f>
        <v/>
      </c>
      <c r="Y87" s="148" t="str">
        <f>IF(X87="","",X87/V87)</f>
        <v/>
      </c>
    </row>
    <row r="88" spans="2:25" x14ac:dyDescent="0.35">
      <c r="B88" s="147"/>
      <c r="C88" s="146"/>
      <c r="D88" s="145"/>
      <c r="E88" s="144" t="s">
        <v>227</v>
      </c>
      <c r="F88" s="143"/>
      <c r="G88" s="142"/>
      <c r="H88" s="131" t="str">
        <f>(IF(G88="","",G88-F88))</f>
        <v/>
      </c>
      <c r="I88" s="141" t="str">
        <f>IF(H88="","",H88/F88)</f>
        <v/>
      </c>
      <c r="J88" s="136"/>
      <c r="K88" s="135"/>
      <c r="L88" s="134" t="str">
        <f>(IF(K88="","",K88-J88))</f>
        <v/>
      </c>
      <c r="M88" s="140" t="str">
        <f>IF(L88="","",L88/J88)</f>
        <v/>
      </c>
      <c r="N88" s="139"/>
      <c r="O88" s="138" t="str">
        <f>IF(K88="","",(G88*K88)/1000000)</f>
        <v/>
      </c>
      <c r="P88" s="137" t="str">
        <f>(IF(O88="","",O88-N88))</f>
        <v/>
      </c>
      <c r="Q88" s="130" t="str">
        <f>IF(P88="","",P88/N88)</f>
        <v/>
      </c>
      <c r="R88" s="136"/>
      <c r="S88" s="135"/>
      <c r="T88" s="134" t="str">
        <f>(IF(S88="","",S88-R88))</f>
        <v/>
      </c>
      <c r="U88" s="130" t="str">
        <f>IF(T88="","",T88/R88)</f>
        <v/>
      </c>
      <c r="V88" s="133" t="str">
        <f>IF(R88="","",(F88*R88)/1000000)</f>
        <v/>
      </c>
      <c r="W88" s="132" t="str">
        <f>IF(S88="","",(G88*S88)/1000000)</f>
        <v/>
      </c>
      <c r="X88" s="131" t="str">
        <f>(IF(W88="","",W88-V88))</f>
        <v/>
      </c>
      <c r="Y88" s="130" t="str">
        <f>IF(X88="","",X88/V88)</f>
        <v/>
      </c>
    </row>
    <row r="89" spans="2:25" x14ac:dyDescent="0.35">
      <c r="B89" s="183"/>
      <c r="C89" s="182"/>
      <c r="D89" s="181"/>
      <c r="E89" s="180" t="s">
        <v>229</v>
      </c>
      <c r="F89" s="179"/>
      <c r="G89" s="178"/>
      <c r="H89" s="167" t="str">
        <f>(IF(G89="","",G89-F89))</f>
        <v/>
      </c>
      <c r="I89" s="177" t="str">
        <f>IF(H89="","",H89/F89)</f>
        <v/>
      </c>
      <c r="J89" s="172"/>
      <c r="K89" s="171"/>
      <c r="L89" s="170" t="str">
        <f>(IF(K89="","",K89-J89))</f>
        <v/>
      </c>
      <c r="M89" s="176" t="str">
        <f>IF(L89="","",L89/J89)</f>
        <v/>
      </c>
      <c r="N89" s="175"/>
      <c r="O89" s="174" t="str">
        <f>IF(K89="","",(G89*K89)/1000000)</f>
        <v/>
      </c>
      <c r="P89" s="173" t="str">
        <f>(IF(O89="","",O89-N89))</f>
        <v/>
      </c>
      <c r="Q89" s="166" t="str">
        <f>IF(P89="","",P89/N89)</f>
        <v/>
      </c>
      <c r="R89" s="172"/>
      <c r="S89" s="171"/>
      <c r="T89" s="170" t="str">
        <f>(IF(S89="","",S89-R89))</f>
        <v/>
      </c>
      <c r="U89" s="166" t="str">
        <f>IF(T89="","",T89/R89)</f>
        <v/>
      </c>
      <c r="V89" s="169" t="str">
        <f>IF(R89="","",(F89*R89)/1000000)</f>
        <v/>
      </c>
      <c r="W89" s="168" t="str">
        <f>IF(S89="","",(G89*S89)/1000000)</f>
        <v/>
      </c>
      <c r="X89" s="167" t="str">
        <f>(IF(W89="","",W89-V89))</f>
        <v/>
      </c>
      <c r="Y89" s="166" t="str">
        <f>IF(X89="","",X89/V89)</f>
        <v/>
      </c>
    </row>
    <row r="90" spans="2:25" x14ac:dyDescent="0.35">
      <c r="B90" s="165"/>
      <c r="C90" s="164"/>
      <c r="D90" s="163"/>
      <c r="E90" s="162" t="s">
        <v>228</v>
      </c>
      <c r="F90" s="161"/>
      <c r="G90" s="160"/>
      <c r="H90" s="149" t="str">
        <f>(IF(G90="","",G90-F90))</f>
        <v/>
      </c>
      <c r="I90" s="159" t="str">
        <f>IF(H90="","",H90/F90)</f>
        <v/>
      </c>
      <c r="J90" s="154"/>
      <c r="K90" s="153"/>
      <c r="L90" s="152" t="str">
        <f>(IF(K90="","",K90-J90))</f>
        <v/>
      </c>
      <c r="M90" s="158" t="str">
        <f>IF(L90="","",L90/J90)</f>
        <v/>
      </c>
      <c r="N90" s="157"/>
      <c r="O90" s="156" t="str">
        <f>IF(K90="","",(G90*K90)/1000000)</f>
        <v/>
      </c>
      <c r="P90" s="155" t="str">
        <f>(IF(O90="","",O90-N90))</f>
        <v/>
      </c>
      <c r="Q90" s="148" t="str">
        <f>IF(P90="","",P90/N90)</f>
        <v/>
      </c>
      <c r="R90" s="154"/>
      <c r="S90" s="153"/>
      <c r="T90" s="152" t="str">
        <f>(IF(S90="","",S90-R90))</f>
        <v/>
      </c>
      <c r="U90" s="148" t="str">
        <f>IF(T90="","",T90/R90)</f>
        <v/>
      </c>
      <c r="V90" s="151" t="str">
        <f>IF(R90="","",(F90*R90)/1000000)</f>
        <v/>
      </c>
      <c r="W90" s="150" t="str">
        <f>IF(S90="","",(G90*S90)/1000000)</f>
        <v/>
      </c>
      <c r="X90" s="149" t="str">
        <f>(IF(W90="","",W90-V90))</f>
        <v/>
      </c>
      <c r="Y90" s="148" t="str">
        <f>IF(X90="","",X90/V90)</f>
        <v/>
      </c>
    </row>
    <row r="91" spans="2:25" x14ac:dyDescent="0.35">
      <c r="B91" s="147"/>
      <c r="C91" s="146"/>
      <c r="D91" s="145"/>
      <c r="E91" s="144" t="s">
        <v>227</v>
      </c>
      <c r="F91" s="143"/>
      <c r="G91" s="142"/>
      <c r="H91" s="131" t="str">
        <f>(IF(G91="","",G91-F91))</f>
        <v/>
      </c>
      <c r="I91" s="141" t="str">
        <f>IF(H91="","",H91/F91)</f>
        <v/>
      </c>
      <c r="J91" s="136"/>
      <c r="K91" s="135"/>
      <c r="L91" s="134" t="str">
        <f>(IF(K91="","",K91-J91))</f>
        <v/>
      </c>
      <c r="M91" s="140" t="str">
        <f>IF(L91="","",L91/J91)</f>
        <v/>
      </c>
      <c r="N91" s="139"/>
      <c r="O91" s="138" t="str">
        <f>IF(K91="","",(G91*K91)/1000000)</f>
        <v/>
      </c>
      <c r="P91" s="137" t="str">
        <f>(IF(O91="","",O91-N91))</f>
        <v/>
      </c>
      <c r="Q91" s="130" t="str">
        <f>IF(P91="","",P91/N91)</f>
        <v/>
      </c>
      <c r="R91" s="136"/>
      <c r="S91" s="135"/>
      <c r="T91" s="134" t="str">
        <f>(IF(S91="","",S91-R91))</f>
        <v/>
      </c>
      <c r="U91" s="130" t="str">
        <f>IF(T91="","",T91/R91)</f>
        <v/>
      </c>
      <c r="V91" s="133" t="str">
        <f>IF(R91="","",(F91*R91)/1000000)</f>
        <v/>
      </c>
      <c r="W91" s="132" t="str">
        <f>IF(S91="","",(G91*S91)/1000000)</f>
        <v/>
      </c>
      <c r="X91" s="131" t="str">
        <f>(IF(W91="","",W91-V91))</f>
        <v/>
      </c>
      <c r="Y91" s="130" t="str">
        <f>IF(X91="","",X91/V91)</f>
        <v/>
      </c>
    </row>
    <row r="92" spans="2:25" x14ac:dyDescent="0.35">
      <c r="B92" s="183"/>
      <c r="C92" s="182"/>
      <c r="D92" s="181"/>
      <c r="E92" s="180" t="s">
        <v>229</v>
      </c>
      <c r="F92" s="179"/>
      <c r="G92" s="178"/>
      <c r="H92" s="167" t="str">
        <f>(IF(G92="","",G92-F92))</f>
        <v/>
      </c>
      <c r="I92" s="177" t="str">
        <f>IF(H92="","",H92/F92)</f>
        <v/>
      </c>
      <c r="J92" s="172"/>
      <c r="K92" s="171"/>
      <c r="L92" s="170" t="str">
        <f>(IF(K92="","",K92-J92))</f>
        <v/>
      </c>
      <c r="M92" s="176" t="str">
        <f>IF(L92="","",L92/J92)</f>
        <v/>
      </c>
      <c r="N92" s="175"/>
      <c r="O92" s="174" t="str">
        <f>IF(K92="","",(G92*K92)/1000000)</f>
        <v/>
      </c>
      <c r="P92" s="173" t="str">
        <f>(IF(O92="","",O92-N92))</f>
        <v/>
      </c>
      <c r="Q92" s="166" t="str">
        <f>IF(P92="","",P92/N92)</f>
        <v/>
      </c>
      <c r="R92" s="172"/>
      <c r="S92" s="171"/>
      <c r="T92" s="170" t="str">
        <f>(IF(S92="","",S92-R92))</f>
        <v/>
      </c>
      <c r="U92" s="166" t="str">
        <f>IF(T92="","",T92/R92)</f>
        <v/>
      </c>
      <c r="V92" s="169" t="str">
        <f>IF(R92="","",(F92*R92)/1000000)</f>
        <v/>
      </c>
      <c r="W92" s="168" t="str">
        <f>IF(S92="","",(G92*S92)/1000000)</f>
        <v/>
      </c>
      <c r="X92" s="167" t="str">
        <f>(IF(W92="","",W92-V92))</f>
        <v/>
      </c>
      <c r="Y92" s="166" t="str">
        <f>IF(X92="","",X92/V92)</f>
        <v/>
      </c>
    </row>
    <row r="93" spans="2:25" x14ac:dyDescent="0.35">
      <c r="B93" s="165"/>
      <c r="C93" s="164"/>
      <c r="D93" s="163"/>
      <c r="E93" s="162" t="s">
        <v>228</v>
      </c>
      <c r="F93" s="161"/>
      <c r="G93" s="160"/>
      <c r="H93" s="149" t="str">
        <f>(IF(G93="","",G93-F93))</f>
        <v/>
      </c>
      <c r="I93" s="159" t="str">
        <f>IF(H93="","",H93/F93)</f>
        <v/>
      </c>
      <c r="J93" s="154"/>
      <c r="K93" s="153"/>
      <c r="L93" s="152" t="str">
        <f>(IF(K93="","",K93-J93))</f>
        <v/>
      </c>
      <c r="M93" s="158" t="str">
        <f>IF(L93="","",L93/J93)</f>
        <v/>
      </c>
      <c r="N93" s="157"/>
      <c r="O93" s="156" t="str">
        <f>IF(K93="","",(G93*K93)/1000000)</f>
        <v/>
      </c>
      <c r="P93" s="155" t="str">
        <f>(IF(O93="","",O93-N93))</f>
        <v/>
      </c>
      <c r="Q93" s="148" t="str">
        <f>IF(P93="","",P93/N93)</f>
        <v/>
      </c>
      <c r="R93" s="154"/>
      <c r="S93" s="153"/>
      <c r="T93" s="152" t="str">
        <f>(IF(S93="","",S93-R93))</f>
        <v/>
      </c>
      <c r="U93" s="148" t="str">
        <f>IF(T93="","",T93/R93)</f>
        <v/>
      </c>
      <c r="V93" s="151" t="str">
        <f>IF(R93="","",(F93*R93)/1000000)</f>
        <v/>
      </c>
      <c r="W93" s="150" t="str">
        <f>IF(S93="","",(G93*S93)/1000000)</f>
        <v/>
      </c>
      <c r="X93" s="149" t="str">
        <f>(IF(W93="","",W93-V93))</f>
        <v/>
      </c>
      <c r="Y93" s="148" t="str">
        <f>IF(X93="","",X93/V93)</f>
        <v/>
      </c>
    </row>
    <row r="94" spans="2:25" x14ac:dyDescent="0.35">
      <c r="B94" s="147"/>
      <c r="C94" s="146"/>
      <c r="D94" s="145"/>
      <c r="E94" s="144" t="s">
        <v>227</v>
      </c>
      <c r="F94" s="143"/>
      <c r="G94" s="142"/>
      <c r="H94" s="131" t="str">
        <f>(IF(G94="","",G94-F94))</f>
        <v/>
      </c>
      <c r="I94" s="141" t="str">
        <f>IF(H94="","",H94/F94)</f>
        <v/>
      </c>
      <c r="J94" s="136"/>
      <c r="K94" s="135"/>
      <c r="L94" s="134" t="str">
        <f>(IF(K94="","",K94-J94))</f>
        <v/>
      </c>
      <c r="M94" s="140" t="str">
        <f>IF(L94="","",L94/J94)</f>
        <v/>
      </c>
      <c r="N94" s="139"/>
      <c r="O94" s="138" t="str">
        <f>IF(K94="","",(G94*K94)/1000000)</f>
        <v/>
      </c>
      <c r="P94" s="137" t="str">
        <f>(IF(O94="","",O94-N94))</f>
        <v/>
      </c>
      <c r="Q94" s="130" t="str">
        <f>IF(P94="","",P94/N94)</f>
        <v/>
      </c>
      <c r="R94" s="136"/>
      <c r="S94" s="135"/>
      <c r="T94" s="134" t="str">
        <f>(IF(S94="","",S94-R94))</f>
        <v/>
      </c>
      <c r="U94" s="130" t="str">
        <f>IF(T94="","",T94/R94)</f>
        <v/>
      </c>
      <c r="V94" s="133" t="str">
        <f>IF(R94="","",(F94*R94)/1000000)</f>
        <v/>
      </c>
      <c r="W94" s="132" t="str">
        <f>IF(S94="","",(G94*S94)/1000000)</f>
        <v/>
      </c>
      <c r="X94" s="131" t="str">
        <f>(IF(W94="","",W94-V94))</f>
        <v/>
      </c>
      <c r="Y94" s="130" t="str">
        <f>IF(X94="","",X94/V94)</f>
        <v/>
      </c>
    </row>
    <row r="95" spans="2:25" x14ac:dyDescent="0.35">
      <c r="B95" s="183"/>
      <c r="C95" s="182"/>
      <c r="D95" s="181"/>
      <c r="E95" s="180" t="s">
        <v>229</v>
      </c>
      <c r="F95" s="179"/>
      <c r="G95" s="178"/>
      <c r="H95" s="167" t="str">
        <f>(IF(G95="","",G95-F95))</f>
        <v/>
      </c>
      <c r="I95" s="177" t="str">
        <f>IF(H95="","",H95/F95)</f>
        <v/>
      </c>
      <c r="J95" s="172"/>
      <c r="K95" s="171"/>
      <c r="L95" s="170" t="str">
        <f>(IF(K95="","",K95-J95))</f>
        <v/>
      </c>
      <c r="M95" s="176" t="str">
        <f>IF(L95="","",L95/J95)</f>
        <v/>
      </c>
      <c r="N95" s="175"/>
      <c r="O95" s="174" t="str">
        <f>IF(K95="","",(G95*K95)/1000000)</f>
        <v/>
      </c>
      <c r="P95" s="173" t="str">
        <f>(IF(O95="","",O95-N95))</f>
        <v/>
      </c>
      <c r="Q95" s="166" t="str">
        <f>IF(P95="","",P95/N95)</f>
        <v/>
      </c>
      <c r="R95" s="172"/>
      <c r="S95" s="171"/>
      <c r="T95" s="170" t="str">
        <f>(IF(S95="","",S95-R95))</f>
        <v/>
      </c>
      <c r="U95" s="166" t="str">
        <f>IF(T95="","",T95/R95)</f>
        <v/>
      </c>
      <c r="V95" s="169" t="str">
        <f>IF(R95="","",(F95*R95)/1000000)</f>
        <v/>
      </c>
      <c r="W95" s="168" t="str">
        <f>IF(S95="","",(G95*S95)/1000000)</f>
        <v/>
      </c>
      <c r="X95" s="167" t="str">
        <f>(IF(W95="","",W95-V95))</f>
        <v/>
      </c>
      <c r="Y95" s="166" t="str">
        <f>IF(X95="","",X95/V95)</f>
        <v/>
      </c>
    </row>
    <row r="96" spans="2:25" x14ac:dyDescent="0.35">
      <c r="B96" s="165"/>
      <c r="C96" s="164"/>
      <c r="D96" s="163"/>
      <c r="E96" s="162" t="s">
        <v>228</v>
      </c>
      <c r="F96" s="161"/>
      <c r="G96" s="160"/>
      <c r="H96" s="149" t="str">
        <f>(IF(G96="","",G96-F96))</f>
        <v/>
      </c>
      <c r="I96" s="159" t="str">
        <f>IF(H96="","",H96/F96)</f>
        <v/>
      </c>
      <c r="J96" s="154"/>
      <c r="K96" s="153"/>
      <c r="L96" s="152" t="str">
        <f>(IF(K96="","",K96-J96))</f>
        <v/>
      </c>
      <c r="M96" s="158" t="str">
        <f>IF(L96="","",L96/J96)</f>
        <v/>
      </c>
      <c r="N96" s="157"/>
      <c r="O96" s="156" t="str">
        <f>IF(K96="","",(G96*K96)/1000000)</f>
        <v/>
      </c>
      <c r="P96" s="155" t="str">
        <f>(IF(O96="","",O96-N96))</f>
        <v/>
      </c>
      <c r="Q96" s="148" t="str">
        <f>IF(P96="","",P96/N96)</f>
        <v/>
      </c>
      <c r="R96" s="154"/>
      <c r="S96" s="153"/>
      <c r="T96" s="152" t="str">
        <f>(IF(S96="","",S96-R96))</f>
        <v/>
      </c>
      <c r="U96" s="148" t="str">
        <f>IF(T96="","",T96/R96)</f>
        <v/>
      </c>
      <c r="V96" s="151" t="str">
        <f>IF(R96="","",(F96*R96)/1000000)</f>
        <v/>
      </c>
      <c r="W96" s="150" t="str">
        <f>IF(S96="","",(G96*S96)/1000000)</f>
        <v/>
      </c>
      <c r="X96" s="149" t="str">
        <f>(IF(W96="","",W96-V96))</f>
        <v/>
      </c>
      <c r="Y96" s="148" t="str">
        <f>IF(X96="","",X96/V96)</f>
        <v/>
      </c>
    </row>
    <row r="97" spans="2:25" x14ac:dyDescent="0.35">
      <c r="B97" s="147"/>
      <c r="C97" s="146"/>
      <c r="D97" s="145"/>
      <c r="E97" s="144" t="s">
        <v>227</v>
      </c>
      <c r="F97" s="143"/>
      <c r="G97" s="142"/>
      <c r="H97" s="131" t="str">
        <f>(IF(G97="","",G97-F97))</f>
        <v/>
      </c>
      <c r="I97" s="141" t="str">
        <f>IF(H97="","",H97/F97)</f>
        <v/>
      </c>
      <c r="J97" s="136"/>
      <c r="K97" s="135"/>
      <c r="L97" s="134" t="str">
        <f>(IF(K97="","",K97-J97))</f>
        <v/>
      </c>
      <c r="M97" s="140" t="str">
        <f>IF(L97="","",L97/J97)</f>
        <v/>
      </c>
      <c r="N97" s="139"/>
      <c r="O97" s="138" t="str">
        <f>IF(K97="","",(G97*K97)/1000000)</f>
        <v/>
      </c>
      <c r="P97" s="137" t="str">
        <f>(IF(O97="","",O97-N97))</f>
        <v/>
      </c>
      <c r="Q97" s="130" t="str">
        <f>IF(P97="","",P97/N97)</f>
        <v/>
      </c>
      <c r="R97" s="136"/>
      <c r="S97" s="135"/>
      <c r="T97" s="134" t="str">
        <f>(IF(S97="","",S97-R97))</f>
        <v/>
      </c>
      <c r="U97" s="130" t="str">
        <f>IF(T97="","",T97/R97)</f>
        <v/>
      </c>
      <c r="V97" s="133" t="str">
        <f>IF(R97="","",(F97*R97)/1000000)</f>
        <v/>
      </c>
      <c r="W97" s="132" t="str">
        <f>IF(S97="","",(G97*S97)/1000000)</f>
        <v/>
      </c>
      <c r="X97" s="131" t="str">
        <f>(IF(W97="","",W97-V97))</f>
        <v/>
      </c>
      <c r="Y97" s="130" t="str">
        <f>IF(X97="","",X97/V97)</f>
        <v/>
      </c>
    </row>
    <row r="98" spans="2:25" x14ac:dyDescent="0.35">
      <c r="B98" s="183"/>
      <c r="C98" s="182"/>
      <c r="D98" s="181"/>
      <c r="E98" s="180" t="s">
        <v>229</v>
      </c>
      <c r="F98" s="179"/>
      <c r="G98" s="178"/>
      <c r="H98" s="167" t="str">
        <f>(IF(G98="","",G98-F98))</f>
        <v/>
      </c>
      <c r="I98" s="177" t="str">
        <f>IF(H98="","",H98/F98)</f>
        <v/>
      </c>
      <c r="J98" s="172"/>
      <c r="K98" s="171"/>
      <c r="L98" s="170" t="str">
        <f>(IF(K98="","",K98-J98))</f>
        <v/>
      </c>
      <c r="M98" s="176" t="str">
        <f>IF(L98="","",L98/J98)</f>
        <v/>
      </c>
      <c r="N98" s="175"/>
      <c r="O98" s="174" t="str">
        <f>IF(K98="","",(G98*K98)/1000000)</f>
        <v/>
      </c>
      <c r="P98" s="173" t="str">
        <f>(IF(O98="","",O98-N98))</f>
        <v/>
      </c>
      <c r="Q98" s="166" t="str">
        <f>IF(P98="","",P98/N98)</f>
        <v/>
      </c>
      <c r="R98" s="172"/>
      <c r="S98" s="171"/>
      <c r="T98" s="170" t="str">
        <f>(IF(S98="","",S98-R98))</f>
        <v/>
      </c>
      <c r="U98" s="166" t="str">
        <f>IF(T98="","",T98/R98)</f>
        <v/>
      </c>
      <c r="V98" s="169" t="str">
        <f>IF(R98="","",(F98*R98)/1000000)</f>
        <v/>
      </c>
      <c r="W98" s="168" t="str">
        <f>IF(S98="","",(G98*S98)/1000000)</f>
        <v/>
      </c>
      <c r="X98" s="167" t="str">
        <f>(IF(W98="","",W98-V98))</f>
        <v/>
      </c>
      <c r="Y98" s="166" t="str">
        <f>IF(X98="","",X98/V98)</f>
        <v/>
      </c>
    </row>
    <row r="99" spans="2:25" x14ac:dyDescent="0.35">
      <c r="B99" s="165"/>
      <c r="C99" s="164"/>
      <c r="D99" s="163"/>
      <c r="E99" s="162" t="s">
        <v>228</v>
      </c>
      <c r="F99" s="161"/>
      <c r="G99" s="160"/>
      <c r="H99" s="149" t="str">
        <f>(IF(G99="","",G99-F99))</f>
        <v/>
      </c>
      <c r="I99" s="159" t="str">
        <f>IF(H99="","",H99/F99)</f>
        <v/>
      </c>
      <c r="J99" s="154"/>
      <c r="K99" s="153"/>
      <c r="L99" s="152" t="str">
        <f>(IF(K99="","",K99-J99))</f>
        <v/>
      </c>
      <c r="M99" s="158" t="str">
        <f>IF(L99="","",L99/J99)</f>
        <v/>
      </c>
      <c r="N99" s="157"/>
      <c r="O99" s="156" t="str">
        <f>IF(K99="","",(G99*K99)/1000000)</f>
        <v/>
      </c>
      <c r="P99" s="155" t="str">
        <f>(IF(O99="","",O99-N99))</f>
        <v/>
      </c>
      <c r="Q99" s="148" t="str">
        <f>IF(P99="","",P99/N99)</f>
        <v/>
      </c>
      <c r="R99" s="154"/>
      <c r="S99" s="153"/>
      <c r="T99" s="152" t="str">
        <f>(IF(S99="","",S99-R99))</f>
        <v/>
      </c>
      <c r="U99" s="148" t="str">
        <f>IF(T99="","",T99/R99)</f>
        <v/>
      </c>
      <c r="V99" s="151" t="str">
        <f>IF(R99="","",(F99*R99)/1000000)</f>
        <v/>
      </c>
      <c r="W99" s="150" t="str">
        <f>IF(S99="","",(G99*S99)/1000000)</f>
        <v/>
      </c>
      <c r="X99" s="149" t="str">
        <f>(IF(W99="","",W99-V99))</f>
        <v/>
      </c>
      <c r="Y99" s="148" t="str">
        <f>IF(X99="","",X99/V99)</f>
        <v/>
      </c>
    </row>
    <row r="100" spans="2:25" x14ac:dyDescent="0.35">
      <c r="B100" s="147"/>
      <c r="C100" s="146"/>
      <c r="D100" s="145"/>
      <c r="E100" s="144" t="s">
        <v>227</v>
      </c>
      <c r="F100" s="143"/>
      <c r="G100" s="142"/>
      <c r="H100" s="131" t="str">
        <f>(IF(G100="","",G100-F100))</f>
        <v/>
      </c>
      <c r="I100" s="141" t="str">
        <f>IF(H100="","",H100/F100)</f>
        <v/>
      </c>
      <c r="J100" s="136"/>
      <c r="K100" s="135"/>
      <c r="L100" s="134" t="str">
        <f>(IF(K100="","",K100-J100))</f>
        <v/>
      </c>
      <c r="M100" s="140" t="str">
        <f>IF(L100="","",L100/J100)</f>
        <v/>
      </c>
      <c r="N100" s="139"/>
      <c r="O100" s="138" t="str">
        <f>IF(K100="","",(G100*K100)/1000000)</f>
        <v/>
      </c>
      <c r="P100" s="137" t="str">
        <f>(IF(O100="","",O100-N100))</f>
        <v/>
      </c>
      <c r="Q100" s="130" t="str">
        <f>IF(P100="","",P100/N100)</f>
        <v/>
      </c>
      <c r="R100" s="136"/>
      <c r="S100" s="135"/>
      <c r="T100" s="134" t="str">
        <f>(IF(S100="","",S100-R100))</f>
        <v/>
      </c>
      <c r="U100" s="130" t="str">
        <f>IF(T100="","",T100/R100)</f>
        <v/>
      </c>
      <c r="V100" s="133" t="str">
        <f>IF(R100="","",(F100*R100)/1000000)</f>
        <v/>
      </c>
      <c r="W100" s="132" t="str">
        <f>IF(S100="","",(G100*S100)/1000000)</f>
        <v/>
      </c>
      <c r="X100" s="131" t="str">
        <f>(IF(W100="","",W100-V100))</f>
        <v/>
      </c>
      <c r="Y100" s="130" t="str">
        <f>IF(X100="","",X100/V100)</f>
        <v/>
      </c>
    </row>
    <row r="101" spans="2:25" x14ac:dyDescent="0.35">
      <c r="B101" s="183"/>
      <c r="C101" s="182"/>
      <c r="D101" s="181"/>
      <c r="E101" s="180" t="s">
        <v>229</v>
      </c>
      <c r="F101" s="179"/>
      <c r="G101" s="178"/>
      <c r="H101" s="167" t="str">
        <f>(IF(G101="","",G101-F101))</f>
        <v/>
      </c>
      <c r="I101" s="177" t="str">
        <f>IF(H101="","",H101/F101)</f>
        <v/>
      </c>
      <c r="J101" s="172"/>
      <c r="K101" s="171"/>
      <c r="L101" s="170" t="str">
        <f>(IF(K101="","",K101-J101))</f>
        <v/>
      </c>
      <c r="M101" s="176" t="str">
        <f>IF(L101="","",L101/J101)</f>
        <v/>
      </c>
      <c r="N101" s="175"/>
      <c r="O101" s="174" t="str">
        <f>IF(K101="","",(G101*K101)/1000000)</f>
        <v/>
      </c>
      <c r="P101" s="173" t="str">
        <f>(IF(O101="","",O101-N101))</f>
        <v/>
      </c>
      <c r="Q101" s="166" t="str">
        <f>IF(P101="","",P101/N101)</f>
        <v/>
      </c>
      <c r="R101" s="172"/>
      <c r="S101" s="171"/>
      <c r="T101" s="170" t="str">
        <f>(IF(S101="","",S101-R101))</f>
        <v/>
      </c>
      <c r="U101" s="166" t="str">
        <f>IF(T101="","",T101/R101)</f>
        <v/>
      </c>
      <c r="V101" s="169" t="str">
        <f>IF(R101="","",(F101*R101)/1000000)</f>
        <v/>
      </c>
      <c r="W101" s="168" t="str">
        <f>IF(S101="","",(G101*S101)/1000000)</f>
        <v/>
      </c>
      <c r="X101" s="167" t="str">
        <f>(IF(W101="","",W101-V101))</f>
        <v/>
      </c>
      <c r="Y101" s="166" t="str">
        <f>IF(X101="","",X101/V101)</f>
        <v/>
      </c>
    </row>
    <row r="102" spans="2:25" x14ac:dyDescent="0.35">
      <c r="B102" s="165"/>
      <c r="C102" s="164"/>
      <c r="D102" s="163"/>
      <c r="E102" s="162" t="s">
        <v>228</v>
      </c>
      <c r="F102" s="161"/>
      <c r="G102" s="160"/>
      <c r="H102" s="149" t="str">
        <f>(IF(G102="","",G102-F102))</f>
        <v/>
      </c>
      <c r="I102" s="159" t="str">
        <f>IF(H102="","",H102/F102)</f>
        <v/>
      </c>
      <c r="J102" s="154"/>
      <c r="K102" s="153"/>
      <c r="L102" s="152" t="str">
        <f>(IF(K102="","",K102-J102))</f>
        <v/>
      </c>
      <c r="M102" s="158" t="str">
        <f>IF(L102="","",L102/J102)</f>
        <v/>
      </c>
      <c r="N102" s="157"/>
      <c r="O102" s="156" t="str">
        <f>IF(K102="","",(G102*K102)/1000000)</f>
        <v/>
      </c>
      <c r="P102" s="155" t="str">
        <f>(IF(O102="","",O102-N102))</f>
        <v/>
      </c>
      <c r="Q102" s="148" t="str">
        <f>IF(P102="","",P102/N102)</f>
        <v/>
      </c>
      <c r="R102" s="154"/>
      <c r="S102" s="153"/>
      <c r="T102" s="152" t="str">
        <f>(IF(S102="","",S102-R102))</f>
        <v/>
      </c>
      <c r="U102" s="148" t="str">
        <f>IF(T102="","",T102/R102)</f>
        <v/>
      </c>
      <c r="V102" s="151" t="str">
        <f>IF(R102="","",(F102*R102)/1000000)</f>
        <v/>
      </c>
      <c r="W102" s="150" t="str">
        <f>IF(S102="","",(G102*S102)/1000000)</f>
        <v/>
      </c>
      <c r="X102" s="149" t="str">
        <f>(IF(W102="","",W102-V102))</f>
        <v/>
      </c>
      <c r="Y102" s="148" t="str">
        <f>IF(X102="","",X102/V102)</f>
        <v/>
      </c>
    </row>
    <row r="103" spans="2:25" x14ac:dyDescent="0.35">
      <c r="B103" s="147"/>
      <c r="C103" s="146"/>
      <c r="D103" s="145"/>
      <c r="E103" s="144" t="s">
        <v>227</v>
      </c>
      <c r="F103" s="143"/>
      <c r="G103" s="142"/>
      <c r="H103" s="131" t="str">
        <f>(IF(G103="","",G103-F103))</f>
        <v/>
      </c>
      <c r="I103" s="141" t="str">
        <f>IF(H103="","",H103/F103)</f>
        <v/>
      </c>
      <c r="J103" s="136"/>
      <c r="K103" s="135"/>
      <c r="L103" s="134" t="str">
        <f>(IF(K103="","",K103-J103))</f>
        <v/>
      </c>
      <c r="M103" s="140" t="str">
        <f>IF(L103="","",L103/J103)</f>
        <v/>
      </c>
      <c r="N103" s="139"/>
      <c r="O103" s="138" t="str">
        <f>IF(K103="","",(G103*K103)/1000000)</f>
        <v/>
      </c>
      <c r="P103" s="137" t="str">
        <f>(IF(O103="","",O103-N103))</f>
        <v/>
      </c>
      <c r="Q103" s="130" t="str">
        <f>IF(P103="","",P103/N103)</f>
        <v/>
      </c>
      <c r="R103" s="136"/>
      <c r="S103" s="135"/>
      <c r="T103" s="134" t="str">
        <f>(IF(S103="","",S103-R103))</f>
        <v/>
      </c>
      <c r="U103" s="130" t="str">
        <f>IF(T103="","",T103/R103)</f>
        <v/>
      </c>
      <c r="V103" s="133" t="str">
        <f>IF(R103="","",(F103*R103)/1000000)</f>
        <v/>
      </c>
      <c r="W103" s="132" t="str">
        <f>IF(S103="","",(G103*S103)/1000000)</f>
        <v/>
      </c>
      <c r="X103" s="131" t="str">
        <f>(IF(W103="","",W103-V103))</f>
        <v/>
      </c>
      <c r="Y103" s="130" t="str">
        <f>IF(X103="","",X103/V103)</f>
        <v/>
      </c>
    </row>
    <row r="104" spans="2:25" x14ac:dyDescent="0.35">
      <c r="B104" s="183"/>
      <c r="C104" s="182"/>
      <c r="D104" s="181"/>
      <c r="E104" s="180" t="s">
        <v>229</v>
      </c>
      <c r="F104" s="179"/>
      <c r="G104" s="178"/>
      <c r="H104" s="167" t="str">
        <f>(IF(G104="","",G104-F104))</f>
        <v/>
      </c>
      <c r="I104" s="177" t="str">
        <f>IF(H104="","",H104/F104)</f>
        <v/>
      </c>
      <c r="J104" s="172"/>
      <c r="K104" s="171"/>
      <c r="L104" s="170" t="str">
        <f>(IF(K104="","",K104-J104))</f>
        <v/>
      </c>
      <c r="M104" s="176" t="str">
        <f>IF(L104="","",L104/J104)</f>
        <v/>
      </c>
      <c r="N104" s="175"/>
      <c r="O104" s="174" t="str">
        <f>IF(K104="","",(G104*K104)/1000000)</f>
        <v/>
      </c>
      <c r="P104" s="173" t="str">
        <f>(IF(O104="","",O104-N104))</f>
        <v/>
      </c>
      <c r="Q104" s="166" t="str">
        <f>IF(P104="","",P104/N104)</f>
        <v/>
      </c>
      <c r="R104" s="172"/>
      <c r="S104" s="171"/>
      <c r="T104" s="170" t="str">
        <f>(IF(S104="","",S104-R104))</f>
        <v/>
      </c>
      <c r="U104" s="166" t="str">
        <f>IF(T104="","",T104/R104)</f>
        <v/>
      </c>
      <c r="V104" s="169" t="str">
        <f>IF(R104="","",(F104*R104)/1000000)</f>
        <v/>
      </c>
      <c r="W104" s="168" t="str">
        <f>IF(S104="","",(G104*S104)/1000000)</f>
        <v/>
      </c>
      <c r="X104" s="167" t="str">
        <f>(IF(W104="","",W104-V104))</f>
        <v/>
      </c>
      <c r="Y104" s="166" t="str">
        <f>IF(X104="","",X104/V104)</f>
        <v/>
      </c>
    </row>
    <row r="105" spans="2:25" x14ac:dyDescent="0.35">
      <c r="B105" s="165"/>
      <c r="C105" s="164"/>
      <c r="D105" s="163"/>
      <c r="E105" s="162" t="s">
        <v>228</v>
      </c>
      <c r="F105" s="161"/>
      <c r="G105" s="160"/>
      <c r="H105" s="149" t="str">
        <f>(IF(G105="","",G105-F105))</f>
        <v/>
      </c>
      <c r="I105" s="159" t="str">
        <f>IF(H105="","",H105/F105)</f>
        <v/>
      </c>
      <c r="J105" s="154"/>
      <c r="K105" s="153"/>
      <c r="L105" s="152" t="str">
        <f>(IF(K105="","",K105-J105))</f>
        <v/>
      </c>
      <c r="M105" s="158" t="str">
        <f>IF(L105="","",L105/J105)</f>
        <v/>
      </c>
      <c r="N105" s="157"/>
      <c r="O105" s="156" t="str">
        <f>IF(K105="","",(G105*K105)/1000000)</f>
        <v/>
      </c>
      <c r="P105" s="155" t="str">
        <f>(IF(O105="","",O105-N105))</f>
        <v/>
      </c>
      <c r="Q105" s="148" t="str">
        <f>IF(P105="","",P105/N105)</f>
        <v/>
      </c>
      <c r="R105" s="154"/>
      <c r="S105" s="153"/>
      <c r="T105" s="152" t="str">
        <f>(IF(S105="","",S105-R105))</f>
        <v/>
      </c>
      <c r="U105" s="148" t="str">
        <f>IF(T105="","",T105/R105)</f>
        <v/>
      </c>
      <c r="V105" s="151" t="str">
        <f>IF(R105="","",(F105*R105)/1000000)</f>
        <v/>
      </c>
      <c r="W105" s="150" t="str">
        <f>IF(S105="","",(G105*S105)/1000000)</f>
        <v/>
      </c>
      <c r="X105" s="149" t="str">
        <f>(IF(W105="","",W105-V105))</f>
        <v/>
      </c>
      <c r="Y105" s="148" t="str">
        <f>IF(X105="","",X105/V105)</f>
        <v/>
      </c>
    </row>
    <row r="106" spans="2:25" x14ac:dyDescent="0.35">
      <c r="B106" s="147"/>
      <c r="C106" s="146"/>
      <c r="D106" s="145"/>
      <c r="E106" s="144" t="s">
        <v>227</v>
      </c>
      <c r="F106" s="143"/>
      <c r="G106" s="142"/>
      <c r="H106" s="131" t="str">
        <f>(IF(G106="","",G106-F106))</f>
        <v/>
      </c>
      <c r="I106" s="141" t="str">
        <f>IF(H106="","",H106/F106)</f>
        <v/>
      </c>
      <c r="J106" s="136"/>
      <c r="K106" s="135"/>
      <c r="L106" s="134" t="str">
        <f>(IF(K106="","",K106-J106))</f>
        <v/>
      </c>
      <c r="M106" s="140" t="str">
        <f>IF(L106="","",L106/J106)</f>
        <v/>
      </c>
      <c r="N106" s="139"/>
      <c r="O106" s="138" t="str">
        <f>IF(K106="","",(G106*K106)/1000000)</f>
        <v/>
      </c>
      <c r="P106" s="137" t="str">
        <f>(IF(O106="","",O106-N106))</f>
        <v/>
      </c>
      <c r="Q106" s="130" t="str">
        <f>IF(P106="","",P106/N106)</f>
        <v/>
      </c>
      <c r="R106" s="136"/>
      <c r="S106" s="135"/>
      <c r="T106" s="134" t="str">
        <f>(IF(S106="","",S106-R106))</f>
        <v/>
      </c>
      <c r="U106" s="130" t="str">
        <f>IF(T106="","",T106/R106)</f>
        <v/>
      </c>
      <c r="V106" s="133" t="str">
        <f>IF(R106="","",(F106*R106)/1000000)</f>
        <v/>
      </c>
      <c r="W106" s="132" t="str">
        <f>IF(S106="","",(G106*S106)/1000000)</f>
        <v/>
      </c>
      <c r="X106" s="131" t="str">
        <f>(IF(W106="","",W106-V106))</f>
        <v/>
      </c>
      <c r="Y106" s="130" t="str">
        <f>IF(X106="","",X106/V106)</f>
        <v/>
      </c>
    </row>
    <row r="107" spans="2:25" x14ac:dyDescent="0.35">
      <c r="B107" s="183"/>
      <c r="C107" s="182"/>
      <c r="D107" s="181"/>
      <c r="E107" s="180" t="s">
        <v>229</v>
      </c>
      <c r="F107" s="179"/>
      <c r="G107" s="178"/>
      <c r="H107" s="167" t="str">
        <f>(IF(G107="","",G107-F107))</f>
        <v/>
      </c>
      <c r="I107" s="177" t="str">
        <f>IF(H107="","",H107/F107)</f>
        <v/>
      </c>
      <c r="J107" s="172"/>
      <c r="K107" s="171"/>
      <c r="L107" s="170" t="str">
        <f>(IF(K107="","",K107-J107))</f>
        <v/>
      </c>
      <c r="M107" s="176" t="str">
        <f>IF(L107="","",L107/J107)</f>
        <v/>
      </c>
      <c r="N107" s="175"/>
      <c r="O107" s="174" t="str">
        <f>IF(K107="","",(G107*K107)/1000000)</f>
        <v/>
      </c>
      <c r="P107" s="173" t="str">
        <f>(IF(O107="","",O107-N107))</f>
        <v/>
      </c>
      <c r="Q107" s="166" t="str">
        <f>IF(P107="","",P107/N107)</f>
        <v/>
      </c>
      <c r="R107" s="172"/>
      <c r="S107" s="171"/>
      <c r="T107" s="170" t="str">
        <f>(IF(S107="","",S107-R107))</f>
        <v/>
      </c>
      <c r="U107" s="166" t="str">
        <f>IF(T107="","",T107/R107)</f>
        <v/>
      </c>
      <c r="V107" s="169" t="str">
        <f>IF(R107="","",(F107*R107)/1000000)</f>
        <v/>
      </c>
      <c r="W107" s="168" t="str">
        <f>IF(S107="","",(G107*S107)/1000000)</f>
        <v/>
      </c>
      <c r="X107" s="167" t="str">
        <f>(IF(W107="","",W107-V107))</f>
        <v/>
      </c>
      <c r="Y107" s="166" t="str">
        <f>IF(X107="","",X107/V107)</f>
        <v/>
      </c>
    </row>
    <row r="108" spans="2:25" x14ac:dyDescent="0.35">
      <c r="B108" s="165"/>
      <c r="C108" s="164"/>
      <c r="D108" s="163"/>
      <c r="E108" s="162" t="s">
        <v>228</v>
      </c>
      <c r="F108" s="161"/>
      <c r="G108" s="160"/>
      <c r="H108" s="149" t="str">
        <f>(IF(G108="","",G108-F108))</f>
        <v/>
      </c>
      <c r="I108" s="159" t="str">
        <f>IF(H108="","",H108/F108)</f>
        <v/>
      </c>
      <c r="J108" s="154"/>
      <c r="K108" s="153"/>
      <c r="L108" s="152" t="str">
        <f>(IF(K108="","",K108-J108))</f>
        <v/>
      </c>
      <c r="M108" s="158" t="str">
        <f>IF(L108="","",L108/J108)</f>
        <v/>
      </c>
      <c r="N108" s="157"/>
      <c r="O108" s="156" t="str">
        <f>IF(K108="","",(G108*K108)/1000000)</f>
        <v/>
      </c>
      <c r="P108" s="155" t="str">
        <f>(IF(O108="","",O108-N108))</f>
        <v/>
      </c>
      <c r="Q108" s="148" t="str">
        <f>IF(P108="","",P108/N108)</f>
        <v/>
      </c>
      <c r="R108" s="154"/>
      <c r="S108" s="153"/>
      <c r="T108" s="152" t="str">
        <f>(IF(S108="","",S108-R108))</f>
        <v/>
      </c>
      <c r="U108" s="148" t="str">
        <f>IF(T108="","",T108/R108)</f>
        <v/>
      </c>
      <c r="V108" s="151" t="str">
        <f>IF(R108="","",(F108*R108)/1000000)</f>
        <v/>
      </c>
      <c r="W108" s="150" t="str">
        <f>IF(S108="","",(G108*S108)/1000000)</f>
        <v/>
      </c>
      <c r="X108" s="149" t="str">
        <f>(IF(W108="","",W108-V108))</f>
        <v/>
      </c>
      <c r="Y108" s="148" t="str">
        <f>IF(X108="","",X108/V108)</f>
        <v/>
      </c>
    </row>
    <row r="109" spans="2:25" x14ac:dyDescent="0.35">
      <c r="B109" s="147"/>
      <c r="C109" s="146"/>
      <c r="D109" s="145"/>
      <c r="E109" s="144" t="s">
        <v>227</v>
      </c>
      <c r="F109" s="143"/>
      <c r="G109" s="142"/>
      <c r="H109" s="131" t="str">
        <f>(IF(G109="","",G109-F109))</f>
        <v/>
      </c>
      <c r="I109" s="141" t="str">
        <f>IF(H109="","",H109/F109)</f>
        <v/>
      </c>
      <c r="J109" s="136"/>
      <c r="K109" s="135"/>
      <c r="L109" s="134" t="str">
        <f>(IF(K109="","",K109-J109))</f>
        <v/>
      </c>
      <c r="M109" s="140" t="str">
        <f>IF(L109="","",L109/J109)</f>
        <v/>
      </c>
      <c r="N109" s="139"/>
      <c r="O109" s="138" t="str">
        <f>IF(K109="","",(G109*K109)/1000000)</f>
        <v/>
      </c>
      <c r="P109" s="137" t="str">
        <f>(IF(O109="","",O109-N109))</f>
        <v/>
      </c>
      <c r="Q109" s="130" t="str">
        <f>IF(P109="","",P109/N109)</f>
        <v/>
      </c>
      <c r="R109" s="136"/>
      <c r="S109" s="135"/>
      <c r="T109" s="134" t="str">
        <f>(IF(S109="","",S109-R109))</f>
        <v/>
      </c>
      <c r="U109" s="130" t="str">
        <f>IF(T109="","",T109/R109)</f>
        <v/>
      </c>
      <c r="V109" s="133" t="str">
        <f>IF(R109="","",(F109*R109)/1000000)</f>
        <v/>
      </c>
      <c r="W109" s="132" t="str">
        <f>IF(S109="","",(G109*S109)/1000000)</f>
        <v/>
      </c>
      <c r="X109" s="131" t="str">
        <f>(IF(W109="","",W109-V109))</f>
        <v/>
      </c>
      <c r="Y109" s="130" t="str">
        <f>IF(X109="","",X109/V109)</f>
        <v/>
      </c>
    </row>
    <row r="110" spans="2:25" x14ac:dyDescent="0.35">
      <c r="B110" s="183"/>
      <c r="C110" s="182"/>
      <c r="D110" s="181"/>
      <c r="E110" s="180" t="s">
        <v>229</v>
      </c>
      <c r="F110" s="179"/>
      <c r="G110" s="178"/>
      <c r="H110" s="167" t="str">
        <f>(IF(G110="","",G110-F110))</f>
        <v/>
      </c>
      <c r="I110" s="177" t="str">
        <f>IF(H110="","",H110/F110)</f>
        <v/>
      </c>
      <c r="J110" s="172"/>
      <c r="K110" s="171"/>
      <c r="L110" s="170" t="str">
        <f>(IF(K110="","",K110-J110))</f>
        <v/>
      </c>
      <c r="M110" s="176" t="str">
        <f>IF(L110="","",L110/J110)</f>
        <v/>
      </c>
      <c r="N110" s="175"/>
      <c r="O110" s="174" t="str">
        <f>IF(K110="","",(G110*K110)/1000000)</f>
        <v/>
      </c>
      <c r="P110" s="173" t="str">
        <f>(IF(O110="","",O110-N110))</f>
        <v/>
      </c>
      <c r="Q110" s="166" t="str">
        <f>IF(P110="","",P110/N110)</f>
        <v/>
      </c>
      <c r="R110" s="172"/>
      <c r="S110" s="171"/>
      <c r="T110" s="170" t="str">
        <f>(IF(S110="","",S110-R110))</f>
        <v/>
      </c>
      <c r="U110" s="166" t="str">
        <f>IF(T110="","",T110/R110)</f>
        <v/>
      </c>
      <c r="V110" s="169" t="str">
        <f>IF(R110="","",(F110*R110)/1000000)</f>
        <v/>
      </c>
      <c r="W110" s="168" t="str">
        <f>IF(S110="","",(G110*S110)/1000000)</f>
        <v/>
      </c>
      <c r="X110" s="167" t="str">
        <f>(IF(W110="","",W110-V110))</f>
        <v/>
      </c>
      <c r="Y110" s="166" t="str">
        <f>IF(X110="","",X110/V110)</f>
        <v/>
      </c>
    </row>
    <row r="111" spans="2:25" x14ac:dyDescent="0.35">
      <c r="B111" s="165"/>
      <c r="C111" s="164"/>
      <c r="D111" s="163"/>
      <c r="E111" s="162" t="s">
        <v>228</v>
      </c>
      <c r="F111" s="161"/>
      <c r="G111" s="160"/>
      <c r="H111" s="149" t="str">
        <f>(IF(G111="","",G111-F111))</f>
        <v/>
      </c>
      <c r="I111" s="159" t="str">
        <f>IF(H111="","",H111/F111)</f>
        <v/>
      </c>
      <c r="J111" s="154"/>
      <c r="K111" s="153"/>
      <c r="L111" s="152" t="str">
        <f>(IF(K111="","",K111-J111))</f>
        <v/>
      </c>
      <c r="M111" s="158" t="str">
        <f>IF(L111="","",L111/J111)</f>
        <v/>
      </c>
      <c r="N111" s="157"/>
      <c r="O111" s="156" t="str">
        <f>IF(K111="","",(G111*K111)/1000000)</f>
        <v/>
      </c>
      <c r="P111" s="155" t="str">
        <f>(IF(O111="","",O111-N111))</f>
        <v/>
      </c>
      <c r="Q111" s="148" t="str">
        <f>IF(P111="","",P111/N111)</f>
        <v/>
      </c>
      <c r="R111" s="154"/>
      <c r="S111" s="153"/>
      <c r="T111" s="152" t="str">
        <f>(IF(S111="","",S111-R111))</f>
        <v/>
      </c>
      <c r="U111" s="148" t="str">
        <f>IF(T111="","",T111/R111)</f>
        <v/>
      </c>
      <c r="V111" s="151" t="str">
        <f>IF(R111="","",(F111*R111)/1000000)</f>
        <v/>
      </c>
      <c r="W111" s="150" t="str">
        <f>IF(S111="","",(G111*S111)/1000000)</f>
        <v/>
      </c>
      <c r="X111" s="149" t="str">
        <f>(IF(W111="","",W111-V111))</f>
        <v/>
      </c>
      <c r="Y111" s="148" t="str">
        <f>IF(X111="","",X111/V111)</f>
        <v/>
      </c>
    </row>
    <row r="112" spans="2:25" x14ac:dyDescent="0.35">
      <c r="B112" s="147"/>
      <c r="C112" s="146"/>
      <c r="D112" s="145"/>
      <c r="E112" s="144" t="s">
        <v>227</v>
      </c>
      <c r="F112" s="143"/>
      <c r="G112" s="142"/>
      <c r="H112" s="131" t="str">
        <f>(IF(G112="","",G112-F112))</f>
        <v/>
      </c>
      <c r="I112" s="141" t="str">
        <f>IF(H112="","",H112/F112)</f>
        <v/>
      </c>
      <c r="J112" s="136"/>
      <c r="K112" s="135"/>
      <c r="L112" s="134" t="str">
        <f>(IF(K112="","",K112-J112))</f>
        <v/>
      </c>
      <c r="M112" s="140" t="str">
        <f>IF(L112="","",L112/J112)</f>
        <v/>
      </c>
      <c r="N112" s="139"/>
      <c r="O112" s="138" t="str">
        <f>IF(K112="","",(G112*K112)/1000000)</f>
        <v/>
      </c>
      <c r="P112" s="137" t="str">
        <f>(IF(O112="","",O112-N112))</f>
        <v/>
      </c>
      <c r="Q112" s="130" t="str">
        <f>IF(P112="","",P112/N112)</f>
        <v/>
      </c>
      <c r="R112" s="136"/>
      <c r="S112" s="135"/>
      <c r="T112" s="134" t="str">
        <f>(IF(S112="","",S112-R112))</f>
        <v/>
      </c>
      <c r="U112" s="130" t="str">
        <f>IF(T112="","",T112/R112)</f>
        <v/>
      </c>
      <c r="V112" s="133" t="str">
        <f>IF(R112="","",(F112*R112)/1000000)</f>
        <v/>
      </c>
      <c r="W112" s="132" t="str">
        <f>IF(S112="","",(G112*S112)/1000000)</f>
        <v/>
      </c>
      <c r="X112" s="131" t="str">
        <f>(IF(W112="","",W112-V112))</f>
        <v/>
      </c>
      <c r="Y112" s="130" t="str">
        <f>IF(X112="","",X112/V112)</f>
        <v/>
      </c>
    </row>
    <row r="113" spans="2:25" x14ac:dyDescent="0.35">
      <c r="B113" s="183"/>
      <c r="C113" s="182"/>
      <c r="D113" s="181"/>
      <c r="E113" s="180" t="s">
        <v>229</v>
      </c>
      <c r="F113" s="179"/>
      <c r="G113" s="178"/>
      <c r="H113" s="167" t="str">
        <f>(IF(G113="","",G113-F113))</f>
        <v/>
      </c>
      <c r="I113" s="177" t="str">
        <f>IF(H113="","",H113/F113)</f>
        <v/>
      </c>
      <c r="J113" s="172"/>
      <c r="K113" s="171"/>
      <c r="L113" s="170" t="str">
        <f>(IF(K113="","",K113-J113))</f>
        <v/>
      </c>
      <c r="M113" s="176" t="str">
        <f>IF(L113="","",L113/J113)</f>
        <v/>
      </c>
      <c r="N113" s="175"/>
      <c r="O113" s="174" t="str">
        <f>IF(K113="","",(G113*K113)/1000000)</f>
        <v/>
      </c>
      <c r="P113" s="173" t="str">
        <f>(IF(O113="","",O113-N113))</f>
        <v/>
      </c>
      <c r="Q113" s="166" t="str">
        <f>IF(P113="","",P113/N113)</f>
        <v/>
      </c>
      <c r="R113" s="172"/>
      <c r="S113" s="171"/>
      <c r="T113" s="170" t="str">
        <f>(IF(S113="","",S113-R113))</f>
        <v/>
      </c>
      <c r="U113" s="166" t="str">
        <f>IF(T113="","",T113/R113)</f>
        <v/>
      </c>
      <c r="V113" s="169" t="str">
        <f>IF(R113="","",(F113*R113)/1000000)</f>
        <v/>
      </c>
      <c r="W113" s="168" t="str">
        <f>IF(S113="","",(G113*S113)/1000000)</f>
        <v/>
      </c>
      <c r="X113" s="167" t="str">
        <f>(IF(W113="","",W113-V113))</f>
        <v/>
      </c>
      <c r="Y113" s="166" t="str">
        <f>IF(X113="","",X113/V113)</f>
        <v/>
      </c>
    </row>
    <row r="114" spans="2:25" x14ac:dyDescent="0.35">
      <c r="B114" s="165"/>
      <c r="C114" s="164"/>
      <c r="D114" s="163"/>
      <c r="E114" s="162" t="s">
        <v>228</v>
      </c>
      <c r="F114" s="161"/>
      <c r="G114" s="160"/>
      <c r="H114" s="149" t="str">
        <f>(IF(G114="","",G114-F114))</f>
        <v/>
      </c>
      <c r="I114" s="159" t="str">
        <f>IF(H114="","",H114/F114)</f>
        <v/>
      </c>
      <c r="J114" s="154"/>
      <c r="K114" s="153"/>
      <c r="L114" s="152" t="str">
        <f>(IF(K114="","",K114-J114))</f>
        <v/>
      </c>
      <c r="M114" s="158" t="str">
        <f>IF(L114="","",L114/J114)</f>
        <v/>
      </c>
      <c r="N114" s="157"/>
      <c r="O114" s="156" t="str">
        <f>IF(K114="","",(G114*K114)/1000000)</f>
        <v/>
      </c>
      <c r="P114" s="155" t="str">
        <f>(IF(O114="","",O114-N114))</f>
        <v/>
      </c>
      <c r="Q114" s="148" t="str">
        <f>IF(P114="","",P114/N114)</f>
        <v/>
      </c>
      <c r="R114" s="154"/>
      <c r="S114" s="153"/>
      <c r="T114" s="152" t="str">
        <f>(IF(S114="","",S114-R114))</f>
        <v/>
      </c>
      <c r="U114" s="148" t="str">
        <f>IF(T114="","",T114/R114)</f>
        <v/>
      </c>
      <c r="V114" s="151" t="str">
        <f>IF(R114="","",(F114*R114)/1000000)</f>
        <v/>
      </c>
      <c r="W114" s="150" t="str">
        <f>IF(S114="","",(G114*S114)/1000000)</f>
        <v/>
      </c>
      <c r="X114" s="149" t="str">
        <f>(IF(W114="","",W114-V114))</f>
        <v/>
      </c>
      <c r="Y114" s="148" t="str">
        <f>IF(X114="","",X114/V114)</f>
        <v/>
      </c>
    </row>
    <row r="115" spans="2:25" x14ac:dyDescent="0.35">
      <c r="B115" s="147"/>
      <c r="C115" s="146"/>
      <c r="D115" s="145"/>
      <c r="E115" s="144" t="s">
        <v>227</v>
      </c>
      <c r="F115" s="143"/>
      <c r="G115" s="142"/>
      <c r="H115" s="131" t="str">
        <f>(IF(G115="","",G115-F115))</f>
        <v/>
      </c>
      <c r="I115" s="141" t="str">
        <f>IF(H115="","",H115/F115)</f>
        <v/>
      </c>
      <c r="J115" s="136"/>
      <c r="K115" s="135"/>
      <c r="L115" s="134" t="str">
        <f>(IF(K115="","",K115-J115))</f>
        <v/>
      </c>
      <c r="M115" s="140" t="str">
        <f>IF(L115="","",L115/J115)</f>
        <v/>
      </c>
      <c r="N115" s="139"/>
      <c r="O115" s="138" t="str">
        <f>IF(K115="","",(G115*K115)/1000000)</f>
        <v/>
      </c>
      <c r="P115" s="137" t="str">
        <f>(IF(O115="","",O115-N115))</f>
        <v/>
      </c>
      <c r="Q115" s="130" t="str">
        <f>IF(P115="","",P115/N115)</f>
        <v/>
      </c>
      <c r="R115" s="136"/>
      <c r="S115" s="135"/>
      <c r="T115" s="134" t="str">
        <f>(IF(S115="","",S115-R115))</f>
        <v/>
      </c>
      <c r="U115" s="130" t="str">
        <f>IF(T115="","",T115/R115)</f>
        <v/>
      </c>
      <c r="V115" s="133" t="str">
        <f>IF(R115="","",(F115*R115)/1000000)</f>
        <v/>
      </c>
      <c r="W115" s="132" t="str">
        <f>IF(S115="","",(G115*S115)/1000000)</f>
        <v/>
      </c>
      <c r="X115" s="131" t="str">
        <f>(IF(W115="","",W115-V115))</f>
        <v/>
      </c>
      <c r="Y115" s="130" t="str">
        <f>IF(X115="","",X115/V115)</f>
        <v/>
      </c>
    </row>
    <row r="116" spans="2:25" x14ac:dyDescent="0.35">
      <c r="B116" s="183"/>
      <c r="C116" s="182"/>
      <c r="D116" s="181"/>
      <c r="E116" s="180" t="s">
        <v>229</v>
      </c>
      <c r="F116" s="179"/>
      <c r="G116" s="178"/>
      <c r="H116" s="167" t="str">
        <f>(IF(G116="","",G116-F116))</f>
        <v/>
      </c>
      <c r="I116" s="177" t="str">
        <f>IF(H116="","",H116/F116)</f>
        <v/>
      </c>
      <c r="J116" s="172"/>
      <c r="K116" s="171"/>
      <c r="L116" s="170" t="str">
        <f>(IF(K116="","",K116-J116))</f>
        <v/>
      </c>
      <c r="M116" s="176" t="str">
        <f>IF(L116="","",L116/J116)</f>
        <v/>
      </c>
      <c r="N116" s="175"/>
      <c r="O116" s="174" t="str">
        <f>IF(K116="","",(G116*K116)/1000000)</f>
        <v/>
      </c>
      <c r="P116" s="173" t="str">
        <f>(IF(O116="","",O116-N116))</f>
        <v/>
      </c>
      <c r="Q116" s="166" t="str">
        <f>IF(P116="","",P116/N116)</f>
        <v/>
      </c>
      <c r="R116" s="172"/>
      <c r="S116" s="171"/>
      <c r="T116" s="170" t="str">
        <f>(IF(S116="","",S116-R116))</f>
        <v/>
      </c>
      <c r="U116" s="166" t="str">
        <f>IF(T116="","",T116/R116)</f>
        <v/>
      </c>
      <c r="V116" s="169" t="str">
        <f>IF(R116="","",(F116*R116)/1000000)</f>
        <v/>
      </c>
      <c r="W116" s="168" t="str">
        <f>IF(S116="","",(G116*S116)/1000000)</f>
        <v/>
      </c>
      <c r="X116" s="167" t="str">
        <f>(IF(W116="","",W116-V116))</f>
        <v/>
      </c>
      <c r="Y116" s="166" t="str">
        <f>IF(X116="","",X116/V116)</f>
        <v/>
      </c>
    </row>
    <row r="117" spans="2:25" x14ac:dyDescent="0.35">
      <c r="B117" s="165"/>
      <c r="C117" s="164"/>
      <c r="D117" s="163"/>
      <c r="E117" s="162" t="s">
        <v>228</v>
      </c>
      <c r="F117" s="161"/>
      <c r="G117" s="160"/>
      <c r="H117" s="149" t="str">
        <f>(IF(G117="","",G117-F117))</f>
        <v/>
      </c>
      <c r="I117" s="159" t="str">
        <f>IF(H117="","",H117/F117)</f>
        <v/>
      </c>
      <c r="J117" s="154"/>
      <c r="K117" s="153"/>
      <c r="L117" s="152" t="str">
        <f>(IF(K117="","",K117-J117))</f>
        <v/>
      </c>
      <c r="M117" s="158" t="str">
        <f>IF(L117="","",L117/J117)</f>
        <v/>
      </c>
      <c r="N117" s="157"/>
      <c r="O117" s="156" t="str">
        <f>IF(K117="","",(G117*K117)/1000000)</f>
        <v/>
      </c>
      <c r="P117" s="155" t="str">
        <f>(IF(O117="","",O117-N117))</f>
        <v/>
      </c>
      <c r="Q117" s="148" t="str">
        <f>IF(P117="","",P117/N117)</f>
        <v/>
      </c>
      <c r="R117" s="154"/>
      <c r="S117" s="153"/>
      <c r="T117" s="152" t="str">
        <f>(IF(S117="","",S117-R117))</f>
        <v/>
      </c>
      <c r="U117" s="148" t="str">
        <f>IF(T117="","",T117/R117)</f>
        <v/>
      </c>
      <c r="V117" s="151" t="str">
        <f>IF(R117="","",(F117*R117)/1000000)</f>
        <v/>
      </c>
      <c r="W117" s="150" t="str">
        <f>IF(S117="","",(G117*S117)/1000000)</f>
        <v/>
      </c>
      <c r="X117" s="149" t="str">
        <f>(IF(W117="","",W117-V117))</f>
        <v/>
      </c>
      <c r="Y117" s="148" t="str">
        <f>IF(X117="","",X117/V117)</f>
        <v/>
      </c>
    </row>
    <row r="118" spans="2:25" x14ac:dyDescent="0.35">
      <c r="B118" s="147"/>
      <c r="C118" s="146"/>
      <c r="D118" s="145"/>
      <c r="E118" s="144" t="s">
        <v>227</v>
      </c>
      <c r="F118" s="143"/>
      <c r="G118" s="142"/>
      <c r="H118" s="131" t="str">
        <f>(IF(G118="","",G118-F118))</f>
        <v/>
      </c>
      <c r="I118" s="141" t="str">
        <f>IF(H118="","",H118/F118)</f>
        <v/>
      </c>
      <c r="J118" s="136"/>
      <c r="K118" s="135"/>
      <c r="L118" s="134" t="str">
        <f>(IF(K118="","",K118-J118))</f>
        <v/>
      </c>
      <c r="M118" s="140" t="str">
        <f>IF(L118="","",L118/J118)</f>
        <v/>
      </c>
      <c r="N118" s="139"/>
      <c r="O118" s="138" t="str">
        <f>IF(K118="","",(G118*K118)/1000000)</f>
        <v/>
      </c>
      <c r="P118" s="137" t="str">
        <f>(IF(O118="","",O118-N118))</f>
        <v/>
      </c>
      <c r="Q118" s="130" t="str">
        <f>IF(P118="","",P118/N118)</f>
        <v/>
      </c>
      <c r="R118" s="136"/>
      <c r="S118" s="135"/>
      <c r="T118" s="134" t="str">
        <f>(IF(S118="","",S118-R118))</f>
        <v/>
      </c>
      <c r="U118" s="130" t="str">
        <f>IF(T118="","",T118/R118)</f>
        <v/>
      </c>
      <c r="V118" s="133" t="str">
        <f>IF(R118="","",(F118*R118)/1000000)</f>
        <v/>
      </c>
      <c r="W118" s="132" t="str">
        <f>IF(S118="","",(G118*S118)/1000000)</f>
        <v/>
      </c>
      <c r="X118" s="131" t="str">
        <f>(IF(W118="","",W118-V118))</f>
        <v/>
      </c>
      <c r="Y118" s="130" t="str">
        <f>IF(X118="","",X118/V118)</f>
        <v/>
      </c>
    </row>
    <row r="119" spans="2:25" x14ac:dyDescent="0.35">
      <c r="B119" s="183"/>
      <c r="C119" s="182"/>
      <c r="D119" s="181"/>
      <c r="E119" s="180" t="s">
        <v>229</v>
      </c>
      <c r="F119" s="179"/>
      <c r="G119" s="178"/>
      <c r="H119" s="167" t="str">
        <f>(IF(G119="","",G119-F119))</f>
        <v/>
      </c>
      <c r="I119" s="177" t="str">
        <f>IF(H119="","",H119/F119)</f>
        <v/>
      </c>
      <c r="J119" s="172"/>
      <c r="K119" s="171"/>
      <c r="L119" s="170" t="str">
        <f>(IF(K119="","",K119-J119))</f>
        <v/>
      </c>
      <c r="M119" s="176" t="str">
        <f>IF(L119="","",L119/J119)</f>
        <v/>
      </c>
      <c r="N119" s="175"/>
      <c r="O119" s="174" t="str">
        <f>IF(K119="","",(G119*K119)/1000000)</f>
        <v/>
      </c>
      <c r="P119" s="173" t="str">
        <f>(IF(O119="","",O119-N119))</f>
        <v/>
      </c>
      <c r="Q119" s="166" t="str">
        <f>IF(P119="","",P119/N119)</f>
        <v/>
      </c>
      <c r="R119" s="172"/>
      <c r="S119" s="171"/>
      <c r="T119" s="170" t="str">
        <f>(IF(S119="","",S119-R119))</f>
        <v/>
      </c>
      <c r="U119" s="166" t="str">
        <f>IF(T119="","",T119/R119)</f>
        <v/>
      </c>
      <c r="V119" s="169" t="str">
        <f>IF(R119="","",(F119*R119)/1000000)</f>
        <v/>
      </c>
      <c r="W119" s="168" t="str">
        <f>IF(S119="","",(G119*S119)/1000000)</f>
        <v/>
      </c>
      <c r="X119" s="167" t="str">
        <f>(IF(W119="","",W119-V119))</f>
        <v/>
      </c>
      <c r="Y119" s="166" t="str">
        <f>IF(X119="","",X119/V119)</f>
        <v/>
      </c>
    </row>
    <row r="120" spans="2:25" x14ac:dyDescent="0.35">
      <c r="B120" s="165"/>
      <c r="C120" s="164"/>
      <c r="D120" s="163"/>
      <c r="E120" s="162" t="s">
        <v>228</v>
      </c>
      <c r="F120" s="161"/>
      <c r="G120" s="160"/>
      <c r="H120" s="149" t="str">
        <f>(IF(G120="","",G120-F120))</f>
        <v/>
      </c>
      <c r="I120" s="159" t="str">
        <f>IF(H120="","",H120/F120)</f>
        <v/>
      </c>
      <c r="J120" s="154"/>
      <c r="K120" s="153"/>
      <c r="L120" s="152" t="str">
        <f>(IF(K120="","",K120-J120))</f>
        <v/>
      </c>
      <c r="M120" s="158" t="str">
        <f>IF(L120="","",L120/J120)</f>
        <v/>
      </c>
      <c r="N120" s="157"/>
      <c r="O120" s="156" t="str">
        <f>IF(K120="","",(G120*K120)/1000000)</f>
        <v/>
      </c>
      <c r="P120" s="155" t="str">
        <f>(IF(O120="","",O120-N120))</f>
        <v/>
      </c>
      <c r="Q120" s="148" t="str">
        <f>IF(P120="","",P120/N120)</f>
        <v/>
      </c>
      <c r="R120" s="154"/>
      <c r="S120" s="153"/>
      <c r="T120" s="152" t="str">
        <f>(IF(S120="","",S120-R120))</f>
        <v/>
      </c>
      <c r="U120" s="148" t="str">
        <f>IF(T120="","",T120/R120)</f>
        <v/>
      </c>
      <c r="V120" s="151" t="str">
        <f>IF(R120="","",(F120*R120)/1000000)</f>
        <v/>
      </c>
      <c r="W120" s="150" t="str">
        <f>IF(S120="","",(G120*S120)/1000000)</f>
        <v/>
      </c>
      <c r="X120" s="149" t="str">
        <f>(IF(W120="","",W120-V120))</f>
        <v/>
      </c>
      <c r="Y120" s="148" t="str">
        <f>IF(X120="","",X120/V120)</f>
        <v/>
      </c>
    </row>
    <row r="121" spans="2:25" x14ac:dyDescent="0.35">
      <c r="B121" s="147"/>
      <c r="C121" s="146"/>
      <c r="D121" s="145"/>
      <c r="E121" s="144" t="s">
        <v>227</v>
      </c>
      <c r="F121" s="143"/>
      <c r="G121" s="142"/>
      <c r="H121" s="131" t="str">
        <f>(IF(G121="","",G121-F121))</f>
        <v/>
      </c>
      <c r="I121" s="141" t="str">
        <f>IF(H121="","",H121/F121)</f>
        <v/>
      </c>
      <c r="J121" s="136"/>
      <c r="K121" s="135"/>
      <c r="L121" s="134" t="str">
        <f>(IF(K121="","",K121-J121))</f>
        <v/>
      </c>
      <c r="M121" s="140" t="str">
        <f>IF(L121="","",L121/J121)</f>
        <v/>
      </c>
      <c r="N121" s="139"/>
      <c r="O121" s="138" t="str">
        <f>IF(K121="","",(G121*K121)/1000000)</f>
        <v/>
      </c>
      <c r="P121" s="137" t="str">
        <f>(IF(O121="","",O121-N121))</f>
        <v/>
      </c>
      <c r="Q121" s="130" t="str">
        <f>IF(P121="","",P121/N121)</f>
        <v/>
      </c>
      <c r="R121" s="136"/>
      <c r="S121" s="135"/>
      <c r="T121" s="134" t="str">
        <f>(IF(S121="","",S121-R121))</f>
        <v/>
      </c>
      <c r="U121" s="130" t="str">
        <f>IF(T121="","",T121/R121)</f>
        <v/>
      </c>
      <c r="V121" s="133" t="str">
        <f>IF(R121="","",(F121*R121)/1000000)</f>
        <v/>
      </c>
      <c r="W121" s="132" t="str">
        <f>IF(S121="","",(G121*S121)/1000000)</f>
        <v/>
      </c>
      <c r="X121" s="131" t="str">
        <f>(IF(W121="","",W121-V121))</f>
        <v/>
      </c>
      <c r="Y121" s="130" t="str">
        <f>IF(X121="","",X121/V121)</f>
        <v/>
      </c>
    </row>
    <row r="122" spans="2:25" x14ac:dyDescent="0.35">
      <c r="B122" s="183"/>
      <c r="C122" s="182"/>
      <c r="D122" s="181"/>
      <c r="E122" s="180" t="s">
        <v>229</v>
      </c>
      <c r="F122" s="179"/>
      <c r="G122" s="178"/>
      <c r="H122" s="167" t="str">
        <f>(IF(G122="","",G122-F122))</f>
        <v/>
      </c>
      <c r="I122" s="177" t="str">
        <f>IF(H122="","",H122/F122)</f>
        <v/>
      </c>
      <c r="J122" s="172"/>
      <c r="K122" s="171"/>
      <c r="L122" s="170" t="str">
        <f>(IF(K122="","",K122-J122))</f>
        <v/>
      </c>
      <c r="M122" s="176" t="str">
        <f>IF(L122="","",L122/J122)</f>
        <v/>
      </c>
      <c r="N122" s="175"/>
      <c r="O122" s="174" t="str">
        <f>IF(K122="","",(G122*K122)/1000000)</f>
        <v/>
      </c>
      <c r="P122" s="173" t="str">
        <f>(IF(O122="","",O122-N122))</f>
        <v/>
      </c>
      <c r="Q122" s="166" t="str">
        <f>IF(P122="","",P122/N122)</f>
        <v/>
      </c>
      <c r="R122" s="172"/>
      <c r="S122" s="171"/>
      <c r="T122" s="170" t="str">
        <f>(IF(S122="","",S122-R122))</f>
        <v/>
      </c>
      <c r="U122" s="166" t="str">
        <f>IF(T122="","",T122/R122)</f>
        <v/>
      </c>
      <c r="V122" s="169" t="str">
        <f>IF(R122="","",(F122*R122)/1000000)</f>
        <v/>
      </c>
      <c r="W122" s="168" t="str">
        <f>IF(S122="","",(G122*S122)/1000000)</f>
        <v/>
      </c>
      <c r="X122" s="167" t="str">
        <f>(IF(W122="","",W122-V122))</f>
        <v/>
      </c>
      <c r="Y122" s="166" t="str">
        <f>IF(X122="","",X122/V122)</f>
        <v/>
      </c>
    </row>
    <row r="123" spans="2:25" x14ac:dyDescent="0.35">
      <c r="B123" s="165"/>
      <c r="C123" s="164"/>
      <c r="D123" s="163"/>
      <c r="E123" s="162" t="s">
        <v>228</v>
      </c>
      <c r="F123" s="161"/>
      <c r="G123" s="160"/>
      <c r="H123" s="149" t="str">
        <f>(IF(G123="","",G123-F123))</f>
        <v/>
      </c>
      <c r="I123" s="159" t="str">
        <f>IF(H123="","",H123/F123)</f>
        <v/>
      </c>
      <c r="J123" s="154"/>
      <c r="K123" s="153"/>
      <c r="L123" s="152" t="str">
        <f>(IF(K123="","",K123-J123))</f>
        <v/>
      </c>
      <c r="M123" s="158" t="str">
        <f>IF(L123="","",L123/J123)</f>
        <v/>
      </c>
      <c r="N123" s="157"/>
      <c r="O123" s="156" t="str">
        <f>IF(K123="","",(G123*K123)/1000000)</f>
        <v/>
      </c>
      <c r="P123" s="155" t="str">
        <f>(IF(O123="","",O123-N123))</f>
        <v/>
      </c>
      <c r="Q123" s="148" t="str">
        <f>IF(P123="","",P123/N123)</f>
        <v/>
      </c>
      <c r="R123" s="154"/>
      <c r="S123" s="153"/>
      <c r="T123" s="152" t="str">
        <f>(IF(S123="","",S123-R123))</f>
        <v/>
      </c>
      <c r="U123" s="148" t="str">
        <f>IF(T123="","",T123/R123)</f>
        <v/>
      </c>
      <c r="V123" s="151" t="str">
        <f>IF(R123="","",(F123*R123)/1000000)</f>
        <v/>
      </c>
      <c r="W123" s="150" t="str">
        <f>IF(S123="","",(G123*S123)/1000000)</f>
        <v/>
      </c>
      <c r="X123" s="149" t="str">
        <f>(IF(W123="","",W123-V123))</f>
        <v/>
      </c>
      <c r="Y123" s="148" t="str">
        <f>IF(X123="","",X123/V123)</f>
        <v/>
      </c>
    </row>
    <row r="124" spans="2:25" x14ac:dyDescent="0.35">
      <c r="B124" s="147"/>
      <c r="C124" s="146"/>
      <c r="D124" s="145"/>
      <c r="E124" s="144" t="s">
        <v>227</v>
      </c>
      <c r="F124" s="143"/>
      <c r="G124" s="142"/>
      <c r="H124" s="131" t="str">
        <f>(IF(G124="","",G124-F124))</f>
        <v/>
      </c>
      <c r="I124" s="141" t="str">
        <f>IF(H124="","",H124/F124)</f>
        <v/>
      </c>
      <c r="J124" s="136"/>
      <c r="K124" s="135"/>
      <c r="L124" s="134" t="str">
        <f>(IF(K124="","",K124-J124))</f>
        <v/>
      </c>
      <c r="M124" s="140" t="str">
        <f>IF(L124="","",L124/J124)</f>
        <v/>
      </c>
      <c r="N124" s="139"/>
      <c r="O124" s="138" t="str">
        <f>IF(K124="","",(G124*K124)/1000000)</f>
        <v/>
      </c>
      <c r="P124" s="137" t="str">
        <f>(IF(O124="","",O124-N124))</f>
        <v/>
      </c>
      <c r="Q124" s="130" t="str">
        <f>IF(P124="","",P124/N124)</f>
        <v/>
      </c>
      <c r="R124" s="136"/>
      <c r="S124" s="135"/>
      <c r="T124" s="134" t="str">
        <f>(IF(S124="","",S124-R124))</f>
        <v/>
      </c>
      <c r="U124" s="130" t="str">
        <f>IF(T124="","",T124/R124)</f>
        <v/>
      </c>
      <c r="V124" s="133" t="str">
        <f>IF(R124="","",(F124*R124)/1000000)</f>
        <v/>
      </c>
      <c r="W124" s="132" t="str">
        <f>IF(S124="","",(G124*S124)/1000000)</f>
        <v/>
      </c>
      <c r="X124" s="131" t="str">
        <f>(IF(W124="","",W124-V124))</f>
        <v/>
      </c>
      <c r="Y124" s="130" t="str">
        <f>IF(X124="","",X124/V124)</f>
        <v/>
      </c>
    </row>
    <row r="125" spans="2:25" x14ac:dyDescent="0.35">
      <c r="B125" s="183"/>
      <c r="C125" s="182"/>
      <c r="D125" s="181"/>
      <c r="E125" s="180" t="s">
        <v>229</v>
      </c>
      <c r="F125" s="179"/>
      <c r="G125" s="178"/>
      <c r="H125" s="167" t="str">
        <f>(IF(G125="","",G125-F125))</f>
        <v/>
      </c>
      <c r="I125" s="177" t="str">
        <f>IF(H125="","",H125/F125)</f>
        <v/>
      </c>
      <c r="J125" s="172"/>
      <c r="K125" s="171"/>
      <c r="L125" s="170" t="str">
        <f>(IF(K125="","",K125-J125))</f>
        <v/>
      </c>
      <c r="M125" s="176" t="str">
        <f>IF(L125="","",L125/J125)</f>
        <v/>
      </c>
      <c r="N125" s="175"/>
      <c r="O125" s="174" t="str">
        <f>IF(K125="","",(G125*K125)/1000000)</f>
        <v/>
      </c>
      <c r="P125" s="173" t="str">
        <f>(IF(O125="","",O125-N125))</f>
        <v/>
      </c>
      <c r="Q125" s="166" t="str">
        <f>IF(P125="","",P125/N125)</f>
        <v/>
      </c>
      <c r="R125" s="172"/>
      <c r="S125" s="171"/>
      <c r="T125" s="170" t="str">
        <f>(IF(S125="","",S125-R125))</f>
        <v/>
      </c>
      <c r="U125" s="166" t="str">
        <f>IF(T125="","",T125/R125)</f>
        <v/>
      </c>
      <c r="V125" s="169" t="str">
        <f>IF(R125="","",(F125*R125)/1000000)</f>
        <v/>
      </c>
      <c r="W125" s="168" t="str">
        <f>IF(S125="","",(G125*S125)/1000000)</f>
        <v/>
      </c>
      <c r="X125" s="167" t="str">
        <f>(IF(W125="","",W125-V125))</f>
        <v/>
      </c>
      <c r="Y125" s="166" t="str">
        <f>IF(X125="","",X125/V125)</f>
        <v/>
      </c>
    </row>
    <row r="126" spans="2:25" x14ac:dyDescent="0.35">
      <c r="B126" s="165"/>
      <c r="C126" s="164"/>
      <c r="D126" s="163"/>
      <c r="E126" s="162" t="s">
        <v>228</v>
      </c>
      <c r="F126" s="161"/>
      <c r="G126" s="160"/>
      <c r="H126" s="149" t="str">
        <f>(IF(G126="","",G126-F126))</f>
        <v/>
      </c>
      <c r="I126" s="159" t="str">
        <f>IF(H126="","",H126/F126)</f>
        <v/>
      </c>
      <c r="J126" s="154"/>
      <c r="K126" s="153"/>
      <c r="L126" s="152" t="str">
        <f>(IF(K126="","",K126-J126))</f>
        <v/>
      </c>
      <c r="M126" s="158" t="str">
        <f>IF(L126="","",L126/J126)</f>
        <v/>
      </c>
      <c r="N126" s="157"/>
      <c r="O126" s="156" t="str">
        <f>IF(K126="","",(G126*K126)/1000000)</f>
        <v/>
      </c>
      <c r="P126" s="155" t="str">
        <f>(IF(O126="","",O126-N126))</f>
        <v/>
      </c>
      <c r="Q126" s="148" t="str">
        <f>IF(P126="","",P126/N126)</f>
        <v/>
      </c>
      <c r="R126" s="154"/>
      <c r="S126" s="153"/>
      <c r="T126" s="152" t="str">
        <f>(IF(S126="","",S126-R126))</f>
        <v/>
      </c>
      <c r="U126" s="148" t="str">
        <f>IF(T126="","",T126/R126)</f>
        <v/>
      </c>
      <c r="V126" s="151" t="str">
        <f>IF(R126="","",(F126*R126)/1000000)</f>
        <v/>
      </c>
      <c r="W126" s="150" t="str">
        <f>IF(S126="","",(G126*S126)/1000000)</f>
        <v/>
      </c>
      <c r="X126" s="149" t="str">
        <f>(IF(W126="","",W126-V126))</f>
        <v/>
      </c>
      <c r="Y126" s="148" t="str">
        <f>IF(X126="","",X126/V126)</f>
        <v/>
      </c>
    </row>
    <row r="127" spans="2:25" x14ac:dyDescent="0.35">
      <c r="B127" s="147"/>
      <c r="C127" s="146"/>
      <c r="D127" s="145"/>
      <c r="E127" s="144" t="s">
        <v>227</v>
      </c>
      <c r="F127" s="143"/>
      <c r="G127" s="142"/>
      <c r="H127" s="131" t="str">
        <f>(IF(G127="","",G127-F127))</f>
        <v/>
      </c>
      <c r="I127" s="141" t="str">
        <f>IF(H127="","",H127/F127)</f>
        <v/>
      </c>
      <c r="J127" s="136"/>
      <c r="K127" s="135"/>
      <c r="L127" s="134" t="str">
        <f>(IF(K127="","",K127-J127))</f>
        <v/>
      </c>
      <c r="M127" s="140" t="str">
        <f>IF(L127="","",L127/J127)</f>
        <v/>
      </c>
      <c r="N127" s="139"/>
      <c r="O127" s="138" t="str">
        <f>IF(K127="","",(G127*K127)/1000000)</f>
        <v/>
      </c>
      <c r="P127" s="137" t="str">
        <f>(IF(O127="","",O127-N127))</f>
        <v/>
      </c>
      <c r="Q127" s="130" t="str">
        <f>IF(P127="","",P127/N127)</f>
        <v/>
      </c>
      <c r="R127" s="136"/>
      <c r="S127" s="135"/>
      <c r="T127" s="134" t="str">
        <f>(IF(S127="","",S127-R127))</f>
        <v/>
      </c>
      <c r="U127" s="130" t="str">
        <f>IF(T127="","",T127/R127)</f>
        <v/>
      </c>
      <c r="V127" s="133" t="str">
        <f>IF(R127="","",(F127*R127)/1000000)</f>
        <v/>
      </c>
      <c r="W127" s="132" t="str">
        <f>IF(S127="","",(G127*S127)/1000000)</f>
        <v/>
      </c>
      <c r="X127" s="131" t="str">
        <f>(IF(W127="","",W127-V127))</f>
        <v/>
      </c>
      <c r="Y127" s="130" t="str">
        <f>IF(X127="","",X127/V127)</f>
        <v/>
      </c>
    </row>
    <row r="128" spans="2:25" x14ac:dyDescent="0.35">
      <c r="B128" s="183"/>
      <c r="C128" s="182"/>
      <c r="D128" s="181"/>
      <c r="E128" s="180" t="s">
        <v>229</v>
      </c>
      <c r="F128" s="179"/>
      <c r="G128" s="178"/>
      <c r="H128" s="167" t="str">
        <f>(IF(G128="","",G128-F128))</f>
        <v/>
      </c>
      <c r="I128" s="177" t="str">
        <f>IF(H128="","",H128/F128)</f>
        <v/>
      </c>
      <c r="J128" s="172"/>
      <c r="K128" s="171"/>
      <c r="L128" s="170" t="str">
        <f>(IF(K128="","",K128-J128))</f>
        <v/>
      </c>
      <c r="M128" s="176" t="str">
        <f>IF(L128="","",L128/J128)</f>
        <v/>
      </c>
      <c r="N128" s="175"/>
      <c r="O128" s="174" t="str">
        <f>IF(K128="","",(G128*K128)/1000000)</f>
        <v/>
      </c>
      <c r="P128" s="173" t="str">
        <f>(IF(O128="","",O128-N128))</f>
        <v/>
      </c>
      <c r="Q128" s="166" t="str">
        <f>IF(P128="","",P128/N128)</f>
        <v/>
      </c>
      <c r="R128" s="172"/>
      <c r="S128" s="171"/>
      <c r="T128" s="170" t="str">
        <f>(IF(S128="","",S128-R128))</f>
        <v/>
      </c>
      <c r="U128" s="166" t="str">
        <f>IF(T128="","",T128/R128)</f>
        <v/>
      </c>
      <c r="V128" s="169" t="str">
        <f>IF(R128="","",(F128*R128)/1000000)</f>
        <v/>
      </c>
      <c r="W128" s="168" t="str">
        <f>IF(S128="","",(G128*S128)/1000000)</f>
        <v/>
      </c>
      <c r="X128" s="167" t="str">
        <f>(IF(W128="","",W128-V128))</f>
        <v/>
      </c>
      <c r="Y128" s="166" t="str">
        <f>IF(X128="","",X128/V128)</f>
        <v/>
      </c>
    </row>
    <row r="129" spans="2:25" x14ac:dyDescent="0.35">
      <c r="B129" s="165"/>
      <c r="C129" s="164"/>
      <c r="D129" s="163"/>
      <c r="E129" s="162" t="s">
        <v>228</v>
      </c>
      <c r="F129" s="161"/>
      <c r="G129" s="160"/>
      <c r="H129" s="149" t="str">
        <f>(IF(G129="","",G129-F129))</f>
        <v/>
      </c>
      <c r="I129" s="159" t="str">
        <f>IF(H129="","",H129/F129)</f>
        <v/>
      </c>
      <c r="J129" s="154"/>
      <c r="K129" s="153"/>
      <c r="L129" s="152" t="str">
        <f>(IF(K129="","",K129-J129))</f>
        <v/>
      </c>
      <c r="M129" s="158" t="str">
        <f>IF(L129="","",L129/J129)</f>
        <v/>
      </c>
      <c r="N129" s="157"/>
      <c r="O129" s="156" t="str">
        <f>IF(K129="","",(G129*K129)/1000000)</f>
        <v/>
      </c>
      <c r="P129" s="155" t="str">
        <f>(IF(O129="","",O129-N129))</f>
        <v/>
      </c>
      <c r="Q129" s="148" t="str">
        <f>IF(P129="","",P129/N129)</f>
        <v/>
      </c>
      <c r="R129" s="154"/>
      <c r="S129" s="153"/>
      <c r="T129" s="152" t="str">
        <f>(IF(S129="","",S129-R129))</f>
        <v/>
      </c>
      <c r="U129" s="148" t="str">
        <f>IF(T129="","",T129/R129)</f>
        <v/>
      </c>
      <c r="V129" s="151" t="str">
        <f>IF(R129="","",(F129*R129)/1000000)</f>
        <v/>
      </c>
      <c r="W129" s="150" t="str">
        <f>IF(S129="","",(G129*S129)/1000000)</f>
        <v/>
      </c>
      <c r="X129" s="149" t="str">
        <f>(IF(W129="","",W129-V129))</f>
        <v/>
      </c>
      <c r="Y129" s="148" t="str">
        <f>IF(X129="","",X129/V129)</f>
        <v/>
      </c>
    </row>
    <row r="130" spans="2:25" x14ac:dyDescent="0.35">
      <c r="B130" s="147"/>
      <c r="C130" s="146"/>
      <c r="D130" s="145"/>
      <c r="E130" s="144" t="s">
        <v>227</v>
      </c>
      <c r="F130" s="143"/>
      <c r="G130" s="142"/>
      <c r="H130" s="131" t="str">
        <f>(IF(G130="","",G130-F130))</f>
        <v/>
      </c>
      <c r="I130" s="141" t="str">
        <f>IF(H130="","",H130/F130)</f>
        <v/>
      </c>
      <c r="J130" s="136"/>
      <c r="K130" s="135"/>
      <c r="L130" s="134" t="str">
        <f>(IF(K130="","",K130-J130))</f>
        <v/>
      </c>
      <c r="M130" s="140" t="str">
        <f>IF(L130="","",L130/J130)</f>
        <v/>
      </c>
      <c r="N130" s="139"/>
      <c r="O130" s="138" t="str">
        <f>IF(K130="","",(G130*K130)/1000000)</f>
        <v/>
      </c>
      <c r="P130" s="137" t="str">
        <f>(IF(O130="","",O130-N130))</f>
        <v/>
      </c>
      <c r="Q130" s="130" t="str">
        <f>IF(P130="","",P130/N130)</f>
        <v/>
      </c>
      <c r="R130" s="136"/>
      <c r="S130" s="135"/>
      <c r="T130" s="134" t="str">
        <f>(IF(S130="","",S130-R130))</f>
        <v/>
      </c>
      <c r="U130" s="130" t="str">
        <f>IF(T130="","",T130/R130)</f>
        <v/>
      </c>
      <c r="V130" s="133" t="str">
        <f>IF(R130="","",(F130*R130)/1000000)</f>
        <v/>
      </c>
      <c r="W130" s="132" t="str">
        <f>IF(S130="","",(G130*S130)/1000000)</f>
        <v/>
      </c>
      <c r="X130" s="131" t="str">
        <f>(IF(W130="","",W130-V130))</f>
        <v/>
      </c>
      <c r="Y130" s="130" t="str">
        <f>IF(X130="","",X130/V130)</f>
        <v/>
      </c>
    </row>
    <row r="131" spans="2:25" x14ac:dyDescent="0.35">
      <c r="B131" s="183"/>
      <c r="C131" s="182"/>
      <c r="D131" s="181"/>
      <c r="E131" s="180" t="s">
        <v>229</v>
      </c>
      <c r="F131" s="179"/>
      <c r="G131" s="178"/>
      <c r="H131" s="167" t="str">
        <f>(IF(G131="","",G131-F131))</f>
        <v/>
      </c>
      <c r="I131" s="177" t="str">
        <f>IF(H131="","",H131/F131)</f>
        <v/>
      </c>
      <c r="J131" s="172"/>
      <c r="K131" s="171"/>
      <c r="L131" s="170" t="str">
        <f>(IF(K131="","",K131-J131))</f>
        <v/>
      </c>
      <c r="M131" s="176" t="str">
        <f>IF(L131="","",L131/J131)</f>
        <v/>
      </c>
      <c r="N131" s="175"/>
      <c r="O131" s="174" t="str">
        <f>IF(K131="","",(G131*K131)/1000000)</f>
        <v/>
      </c>
      <c r="P131" s="173" t="str">
        <f>(IF(O131="","",O131-N131))</f>
        <v/>
      </c>
      <c r="Q131" s="166" t="str">
        <f>IF(P131="","",P131/N131)</f>
        <v/>
      </c>
      <c r="R131" s="172"/>
      <c r="S131" s="171"/>
      <c r="T131" s="170" t="str">
        <f>(IF(S131="","",S131-R131))</f>
        <v/>
      </c>
      <c r="U131" s="166" t="str">
        <f>IF(T131="","",T131/R131)</f>
        <v/>
      </c>
      <c r="V131" s="169" t="str">
        <f>IF(R131="","",(F131*R131)/1000000)</f>
        <v/>
      </c>
      <c r="W131" s="168" t="str">
        <f>IF(S131="","",(G131*S131)/1000000)</f>
        <v/>
      </c>
      <c r="X131" s="167" t="str">
        <f>(IF(W131="","",W131-V131))</f>
        <v/>
      </c>
      <c r="Y131" s="166" t="str">
        <f>IF(X131="","",X131/V131)</f>
        <v/>
      </c>
    </row>
    <row r="132" spans="2:25" x14ac:dyDescent="0.35">
      <c r="B132" s="165"/>
      <c r="C132" s="164"/>
      <c r="D132" s="163"/>
      <c r="E132" s="162" t="s">
        <v>228</v>
      </c>
      <c r="F132" s="161"/>
      <c r="G132" s="160"/>
      <c r="H132" s="149" t="str">
        <f>(IF(G132="","",G132-F132))</f>
        <v/>
      </c>
      <c r="I132" s="159" t="str">
        <f>IF(H132="","",H132/F132)</f>
        <v/>
      </c>
      <c r="J132" s="154"/>
      <c r="K132" s="153"/>
      <c r="L132" s="152" t="str">
        <f>(IF(K132="","",K132-J132))</f>
        <v/>
      </c>
      <c r="M132" s="158" t="str">
        <f>IF(L132="","",L132/J132)</f>
        <v/>
      </c>
      <c r="N132" s="157"/>
      <c r="O132" s="156" t="str">
        <f>IF(K132="","",(G132*K132)/1000000)</f>
        <v/>
      </c>
      <c r="P132" s="155" t="str">
        <f>(IF(O132="","",O132-N132))</f>
        <v/>
      </c>
      <c r="Q132" s="148" t="str">
        <f>IF(P132="","",P132/N132)</f>
        <v/>
      </c>
      <c r="R132" s="154"/>
      <c r="S132" s="153"/>
      <c r="T132" s="152" t="str">
        <f>(IF(S132="","",S132-R132))</f>
        <v/>
      </c>
      <c r="U132" s="148" t="str">
        <f>IF(T132="","",T132/R132)</f>
        <v/>
      </c>
      <c r="V132" s="151" t="str">
        <f>IF(R132="","",(F132*R132)/1000000)</f>
        <v/>
      </c>
      <c r="W132" s="150" t="str">
        <f>IF(S132="","",(G132*S132)/1000000)</f>
        <v/>
      </c>
      <c r="X132" s="149" t="str">
        <f>(IF(W132="","",W132-V132))</f>
        <v/>
      </c>
      <c r="Y132" s="148" t="str">
        <f>IF(X132="","",X132/V132)</f>
        <v/>
      </c>
    </row>
    <row r="133" spans="2:25" x14ac:dyDescent="0.35">
      <c r="B133" s="147"/>
      <c r="C133" s="146"/>
      <c r="D133" s="145"/>
      <c r="E133" s="144" t="s">
        <v>227</v>
      </c>
      <c r="F133" s="143"/>
      <c r="G133" s="142"/>
      <c r="H133" s="131" t="str">
        <f>(IF(G133="","",G133-F133))</f>
        <v/>
      </c>
      <c r="I133" s="141" t="str">
        <f>IF(H133="","",H133/F133)</f>
        <v/>
      </c>
      <c r="J133" s="136"/>
      <c r="K133" s="135"/>
      <c r="L133" s="134" t="str">
        <f>(IF(K133="","",K133-J133))</f>
        <v/>
      </c>
      <c r="M133" s="140" t="str">
        <f>IF(L133="","",L133/J133)</f>
        <v/>
      </c>
      <c r="N133" s="139"/>
      <c r="O133" s="138" t="str">
        <f>IF(K133="","",(G133*K133)/1000000)</f>
        <v/>
      </c>
      <c r="P133" s="137" t="str">
        <f>(IF(O133="","",O133-N133))</f>
        <v/>
      </c>
      <c r="Q133" s="130" t="str">
        <f>IF(P133="","",P133/N133)</f>
        <v/>
      </c>
      <c r="R133" s="136"/>
      <c r="S133" s="135"/>
      <c r="T133" s="134" t="str">
        <f>(IF(S133="","",S133-R133))</f>
        <v/>
      </c>
      <c r="U133" s="130" t="str">
        <f>IF(T133="","",T133/R133)</f>
        <v/>
      </c>
      <c r="V133" s="133" t="str">
        <f>IF(R133="","",(F133*R133)/1000000)</f>
        <v/>
      </c>
      <c r="W133" s="132" t="str">
        <f>IF(S133="","",(G133*S133)/1000000)</f>
        <v/>
      </c>
      <c r="X133" s="131" t="str">
        <f>(IF(W133="","",W133-V133))</f>
        <v/>
      </c>
      <c r="Y133" s="130" t="str">
        <f>IF(X133="","",X133/V133)</f>
        <v/>
      </c>
    </row>
    <row r="134" spans="2:25" x14ac:dyDescent="0.35">
      <c r="B134" s="183"/>
      <c r="C134" s="182"/>
      <c r="D134" s="181"/>
      <c r="E134" s="180" t="s">
        <v>229</v>
      </c>
      <c r="F134" s="179"/>
      <c r="G134" s="178"/>
      <c r="H134" s="167" t="str">
        <f>(IF(G134="","",G134-F134))</f>
        <v/>
      </c>
      <c r="I134" s="177" t="str">
        <f>IF(H134="","",H134/F134)</f>
        <v/>
      </c>
      <c r="J134" s="172"/>
      <c r="K134" s="171"/>
      <c r="L134" s="170" t="str">
        <f>(IF(K134="","",K134-J134))</f>
        <v/>
      </c>
      <c r="M134" s="176" t="str">
        <f>IF(L134="","",L134/J134)</f>
        <v/>
      </c>
      <c r="N134" s="175"/>
      <c r="O134" s="174" t="str">
        <f>IF(K134="","",(G134*K134)/1000000)</f>
        <v/>
      </c>
      <c r="P134" s="173" t="str">
        <f>(IF(O134="","",O134-N134))</f>
        <v/>
      </c>
      <c r="Q134" s="166" t="str">
        <f>IF(P134="","",P134/N134)</f>
        <v/>
      </c>
      <c r="R134" s="172"/>
      <c r="S134" s="171"/>
      <c r="T134" s="170" t="str">
        <f>(IF(S134="","",S134-R134))</f>
        <v/>
      </c>
      <c r="U134" s="166" t="str">
        <f>IF(T134="","",T134/R134)</f>
        <v/>
      </c>
      <c r="V134" s="169" t="str">
        <f>IF(R134="","",(F134*R134)/1000000)</f>
        <v/>
      </c>
      <c r="W134" s="168" t="str">
        <f>IF(S134="","",(G134*S134)/1000000)</f>
        <v/>
      </c>
      <c r="X134" s="167" t="str">
        <f>(IF(W134="","",W134-V134))</f>
        <v/>
      </c>
      <c r="Y134" s="166" t="str">
        <f>IF(X134="","",X134/V134)</f>
        <v/>
      </c>
    </row>
    <row r="135" spans="2:25" x14ac:dyDescent="0.35">
      <c r="B135" s="165"/>
      <c r="C135" s="164"/>
      <c r="D135" s="163"/>
      <c r="E135" s="162" t="s">
        <v>228</v>
      </c>
      <c r="F135" s="161"/>
      <c r="G135" s="160"/>
      <c r="H135" s="149" t="str">
        <f>(IF(G135="","",G135-F135))</f>
        <v/>
      </c>
      <c r="I135" s="159" t="str">
        <f>IF(H135="","",H135/F135)</f>
        <v/>
      </c>
      <c r="J135" s="154"/>
      <c r="K135" s="153"/>
      <c r="L135" s="152" t="str">
        <f>(IF(K135="","",K135-J135))</f>
        <v/>
      </c>
      <c r="M135" s="158" t="str">
        <f>IF(L135="","",L135/J135)</f>
        <v/>
      </c>
      <c r="N135" s="157"/>
      <c r="O135" s="156" t="str">
        <f>IF(K135="","",(G135*K135)/1000000)</f>
        <v/>
      </c>
      <c r="P135" s="155" t="str">
        <f>(IF(O135="","",O135-N135))</f>
        <v/>
      </c>
      <c r="Q135" s="148" t="str">
        <f>IF(P135="","",P135/N135)</f>
        <v/>
      </c>
      <c r="R135" s="154"/>
      <c r="S135" s="153"/>
      <c r="T135" s="152" t="str">
        <f>(IF(S135="","",S135-R135))</f>
        <v/>
      </c>
      <c r="U135" s="148" t="str">
        <f>IF(T135="","",T135/R135)</f>
        <v/>
      </c>
      <c r="V135" s="151" t="str">
        <f>IF(R135="","",(F135*R135)/1000000)</f>
        <v/>
      </c>
      <c r="W135" s="150" t="str">
        <f>IF(S135="","",(G135*S135)/1000000)</f>
        <v/>
      </c>
      <c r="X135" s="149" t="str">
        <f>(IF(W135="","",W135-V135))</f>
        <v/>
      </c>
      <c r="Y135" s="148" t="str">
        <f>IF(X135="","",X135/V135)</f>
        <v/>
      </c>
    </row>
    <row r="136" spans="2:25" x14ac:dyDescent="0.35">
      <c r="B136" s="147"/>
      <c r="C136" s="146"/>
      <c r="D136" s="145"/>
      <c r="E136" s="144" t="s">
        <v>227</v>
      </c>
      <c r="F136" s="143"/>
      <c r="G136" s="142"/>
      <c r="H136" s="131" t="str">
        <f>(IF(G136="","",G136-F136))</f>
        <v/>
      </c>
      <c r="I136" s="141" t="str">
        <f>IF(H136="","",H136/F136)</f>
        <v/>
      </c>
      <c r="J136" s="136"/>
      <c r="K136" s="135"/>
      <c r="L136" s="134" t="str">
        <f>(IF(K136="","",K136-J136))</f>
        <v/>
      </c>
      <c r="M136" s="140" t="str">
        <f>IF(L136="","",L136/J136)</f>
        <v/>
      </c>
      <c r="N136" s="139"/>
      <c r="O136" s="138" t="str">
        <f>IF(K136="","",(G136*K136)/1000000)</f>
        <v/>
      </c>
      <c r="P136" s="137" t="str">
        <f>(IF(O136="","",O136-N136))</f>
        <v/>
      </c>
      <c r="Q136" s="130" t="str">
        <f>IF(P136="","",P136/N136)</f>
        <v/>
      </c>
      <c r="R136" s="136"/>
      <c r="S136" s="135"/>
      <c r="T136" s="134" t="str">
        <f>(IF(S136="","",S136-R136))</f>
        <v/>
      </c>
      <c r="U136" s="130" t="str">
        <f>IF(T136="","",T136/R136)</f>
        <v/>
      </c>
      <c r="V136" s="133" t="str">
        <f>IF(R136="","",(F136*R136)/1000000)</f>
        <v/>
      </c>
      <c r="W136" s="132" t="str">
        <f>IF(S136="","",(G136*S136)/1000000)</f>
        <v/>
      </c>
      <c r="X136" s="131" t="str">
        <f>(IF(W136="","",W136-V136))</f>
        <v/>
      </c>
      <c r="Y136" s="130" t="str">
        <f>IF(X136="","",X136/V136)</f>
        <v/>
      </c>
    </row>
    <row r="137" spans="2:25" x14ac:dyDescent="0.35">
      <c r="B137" s="183"/>
      <c r="C137" s="182"/>
      <c r="D137" s="181"/>
      <c r="E137" s="180" t="s">
        <v>229</v>
      </c>
      <c r="F137" s="179"/>
      <c r="G137" s="178"/>
      <c r="H137" s="167" t="str">
        <f>(IF(G137="","",G137-F137))</f>
        <v/>
      </c>
      <c r="I137" s="177" t="str">
        <f>IF(H137="","",H137/F137)</f>
        <v/>
      </c>
      <c r="J137" s="172"/>
      <c r="K137" s="171"/>
      <c r="L137" s="170" t="str">
        <f>(IF(K137="","",K137-J137))</f>
        <v/>
      </c>
      <c r="M137" s="176" t="str">
        <f>IF(L137="","",L137/J137)</f>
        <v/>
      </c>
      <c r="N137" s="175"/>
      <c r="O137" s="174" t="str">
        <f>IF(K137="","",(G137*K137)/1000000)</f>
        <v/>
      </c>
      <c r="P137" s="173" t="str">
        <f>(IF(O137="","",O137-N137))</f>
        <v/>
      </c>
      <c r="Q137" s="166" t="str">
        <f>IF(P137="","",P137/N137)</f>
        <v/>
      </c>
      <c r="R137" s="172"/>
      <c r="S137" s="171"/>
      <c r="T137" s="170" t="str">
        <f>(IF(S137="","",S137-R137))</f>
        <v/>
      </c>
      <c r="U137" s="166" t="str">
        <f>IF(T137="","",T137/R137)</f>
        <v/>
      </c>
      <c r="V137" s="169" t="str">
        <f>IF(R137="","",(F137*R137)/1000000)</f>
        <v/>
      </c>
      <c r="W137" s="168" t="str">
        <f>IF(S137="","",(G137*S137)/1000000)</f>
        <v/>
      </c>
      <c r="X137" s="167" t="str">
        <f>(IF(W137="","",W137-V137))</f>
        <v/>
      </c>
      <c r="Y137" s="166" t="str">
        <f>IF(X137="","",X137/V137)</f>
        <v/>
      </c>
    </row>
    <row r="138" spans="2:25" x14ac:dyDescent="0.35">
      <c r="B138" s="165"/>
      <c r="C138" s="164"/>
      <c r="D138" s="163"/>
      <c r="E138" s="162" t="s">
        <v>228</v>
      </c>
      <c r="F138" s="161"/>
      <c r="G138" s="160"/>
      <c r="H138" s="149" t="str">
        <f>(IF(G138="","",G138-F138))</f>
        <v/>
      </c>
      <c r="I138" s="159" t="str">
        <f>IF(H138="","",H138/F138)</f>
        <v/>
      </c>
      <c r="J138" s="154"/>
      <c r="K138" s="153"/>
      <c r="L138" s="152" t="str">
        <f>(IF(K138="","",K138-J138))</f>
        <v/>
      </c>
      <c r="M138" s="158" t="str">
        <f>IF(L138="","",L138/J138)</f>
        <v/>
      </c>
      <c r="N138" s="157"/>
      <c r="O138" s="156" t="str">
        <f>IF(K138="","",(G138*K138)/1000000)</f>
        <v/>
      </c>
      <c r="P138" s="155" t="str">
        <f>(IF(O138="","",O138-N138))</f>
        <v/>
      </c>
      <c r="Q138" s="148" t="str">
        <f>IF(P138="","",P138/N138)</f>
        <v/>
      </c>
      <c r="R138" s="154"/>
      <c r="S138" s="153"/>
      <c r="T138" s="152" t="str">
        <f>(IF(S138="","",S138-R138))</f>
        <v/>
      </c>
      <c r="U138" s="148" t="str">
        <f>IF(T138="","",T138/R138)</f>
        <v/>
      </c>
      <c r="V138" s="151" t="str">
        <f>IF(R138="","",(F138*R138)/1000000)</f>
        <v/>
      </c>
      <c r="W138" s="150" t="str">
        <f>IF(S138="","",(G138*S138)/1000000)</f>
        <v/>
      </c>
      <c r="X138" s="149" t="str">
        <f>(IF(W138="","",W138-V138))</f>
        <v/>
      </c>
      <c r="Y138" s="148" t="str">
        <f>IF(X138="","",X138/V138)</f>
        <v/>
      </c>
    </row>
    <row r="139" spans="2:25" x14ac:dyDescent="0.35">
      <c r="B139" s="147"/>
      <c r="C139" s="146"/>
      <c r="D139" s="145"/>
      <c r="E139" s="144" t="s">
        <v>227</v>
      </c>
      <c r="F139" s="143"/>
      <c r="G139" s="142"/>
      <c r="H139" s="131" t="str">
        <f>(IF(G139="","",G139-F139))</f>
        <v/>
      </c>
      <c r="I139" s="141" t="str">
        <f>IF(H139="","",H139/F139)</f>
        <v/>
      </c>
      <c r="J139" s="136"/>
      <c r="K139" s="135"/>
      <c r="L139" s="134" t="str">
        <f>(IF(K139="","",K139-J139))</f>
        <v/>
      </c>
      <c r="M139" s="140" t="str">
        <f>IF(L139="","",L139/J139)</f>
        <v/>
      </c>
      <c r="N139" s="139"/>
      <c r="O139" s="138" t="str">
        <f>IF(K139="","",(G139*K139)/1000000)</f>
        <v/>
      </c>
      <c r="P139" s="137" t="str">
        <f>(IF(O139="","",O139-N139))</f>
        <v/>
      </c>
      <c r="Q139" s="130" t="str">
        <f>IF(P139="","",P139/N139)</f>
        <v/>
      </c>
      <c r="R139" s="136"/>
      <c r="S139" s="135"/>
      <c r="T139" s="134" t="str">
        <f>(IF(S139="","",S139-R139))</f>
        <v/>
      </c>
      <c r="U139" s="130" t="str">
        <f>IF(T139="","",T139/R139)</f>
        <v/>
      </c>
      <c r="V139" s="133" t="str">
        <f>IF(R139="","",(F139*R139)/1000000)</f>
        <v/>
      </c>
      <c r="W139" s="132" t="str">
        <f>IF(S139="","",(G139*S139)/1000000)</f>
        <v/>
      </c>
      <c r="X139" s="131" t="str">
        <f>(IF(W139="","",W139-V139))</f>
        <v/>
      </c>
      <c r="Y139" s="130" t="str">
        <f>IF(X139="","",X139/V139)</f>
        <v/>
      </c>
    </row>
    <row r="140" spans="2:25" x14ac:dyDescent="0.35">
      <c r="B140" s="183"/>
      <c r="C140" s="182"/>
      <c r="D140" s="181"/>
      <c r="E140" s="180" t="s">
        <v>229</v>
      </c>
      <c r="F140" s="179"/>
      <c r="G140" s="178"/>
      <c r="H140" s="167" t="str">
        <f>(IF(G140="","",G140-F140))</f>
        <v/>
      </c>
      <c r="I140" s="177" t="str">
        <f>IF(H140="","",H140/F140)</f>
        <v/>
      </c>
      <c r="J140" s="172"/>
      <c r="K140" s="171"/>
      <c r="L140" s="170" t="str">
        <f>(IF(K140="","",K140-J140))</f>
        <v/>
      </c>
      <c r="M140" s="176" t="str">
        <f>IF(L140="","",L140/J140)</f>
        <v/>
      </c>
      <c r="N140" s="175"/>
      <c r="O140" s="174" t="str">
        <f>IF(K140="","",(G140*K140)/1000000)</f>
        <v/>
      </c>
      <c r="P140" s="173" t="str">
        <f>(IF(O140="","",O140-N140))</f>
        <v/>
      </c>
      <c r="Q140" s="166" t="str">
        <f>IF(P140="","",P140/N140)</f>
        <v/>
      </c>
      <c r="R140" s="172"/>
      <c r="S140" s="171"/>
      <c r="T140" s="170" t="str">
        <f>(IF(S140="","",S140-R140))</f>
        <v/>
      </c>
      <c r="U140" s="166" t="str">
        <f>IF(T140="","",T140/R140)</f>
        <v/>
      </c>
      <c r="V140" s="169" t="str">
        <f>IF(R140="","",(F140*R140)/1000000)</f>
        <v/>
      </c>
      <c r="W140" s="168" t="str">
        <f>IF(S140="","",(G140*S140)/1000000)</f>
        <v/>
      </c>
      <c r="X140" s="167" t="str">
        <f>(IF(W140="","",W140-V140))</f>
        <v/>
      </c>
      <c r="Y140" s="166" t="str">
        <f>IF(X140="","",X140/V140)</f>
        <v/>
      </c>
    </row>
    <row r="141" spans="2:25" x14ac:dyDescent="0.35">
      <c r="B141" s="165"/>
      <c r="C141" s="164"/>
      <c r="D141" s="163"/>
      <c r="E141" s="162" t="s">
        <v>228</v>
      </c>
      <c r="F141" s="161"/>
      <c r="G141" s="160"/>
      <c r="H141" s="149" t="str">
        <f>(IF(G141="","",G141-F141))</f>
        <v/>
      </c>
      <c r="I141" s="159" t="str">
        <f>IF(H141="","",H141/F141)</f>
        <v/>
      </c>
      <c r="J141" s="154"/>
      <c r="K141" s="153"/>
      <c r="L141" s="152" t="str">
        <f>(IF(K141="","",K141-J141))</f>
        <v/>
      </c>
      <c r="M141" s="158" t="str">
        <f>IF(L141="","",L141/J141)</f>
        <v/>
      </c>
      <c r="N141" s="157"/>
      <c r="O141" s="156" t="str">
        <f>IF(K141="","",(G141*K141)/1000000)</f>
        <v/>
      </c>
      <c r="P141" s="155" t="str">
        <f>(IF(O141="","",O141-N141))</f>
        <v/>
      </c>
      <c r="Q141" s="148" t="str">
        <f>IF(P141="","",P141/N141)</f>
        <v/>
      </c>
      <c r="R141" s="154"/>
      <c r="S141" s="153"/>
      <c r="T141" s="152" t="str">
        <f>(IF(S141="","",S141-R141))</f>
        <v/>
      </c>
      <c r="U141" s="148" t="str">
        <f>IF(T141="","",T141/R141)</f>
        <v/>
      </c>
      <c r="V141" s="151" t="str">
        <f>IF(R141="","",(F141*R141)/1000000)</f>
        <v/>
      </c>
      <c r="W141" s="150" t="str">
        <f>IF(S141="","",(G141*S141)/1000000)</f>
        <v/>
      </c>
      <c r="X141" s="149" t="str">
        <f>(IF(W141="","",W141-V141))</f>
        <v/>
      </c>
      <c r="Y141" s="148" t="str">
        <f>IF(X141="","",X141/V141)</f>
        <v/>
      </c>
    </row>
    <row r="142" spans="2:25" x14ac:dyDescent="0.35">
      <c r="B142" s="147"/>
      <c r="C142" s="146"/>
      <c r="D142" s="145"/>
      <c r="E142" s="144" t="s">
        <v>227</v>
      </c>
      <c r="F142" s="143"/>
      <c r="G142" s="142"/>
      <c r="H142" s="131" t="str">
        <f>(IF(G142="","",G142-F142))</f>
        <v/>
      </c>
      <c r="I142" s="141" t="str">
        <f>IF(H142="","",H142/F142)</f>
        <v/>
      </c>
      <c r="J142" s="136"/>
      <c r="K142" s="135"/>
      <c r="L142" s="134" t="str">
        <f>(IF(K142="","",K142-J142))</f>
        <v/>
      </c>
      <c r="M142" s="140" t="str">
        <f>IF(L142="","",L142/J142)</f>
        <v/>
      </c>
      <c r="N142" s="139"/>
      <c r="O142" s="138" t="str">
        <f>IF(K142="","",(G142*K142)/1000000)</f>
        <v/>
      </c>
      <c r="P142" s="137" t="str">
        <f>(IF(O142="","",O142-N142))</f>
        <v/>
      </c>
      <c r="Q142" s="130" t="str">
        <f>IF(P142="","",P142/N142)</f>
        <v/>
      </c>
      <c r="R142" s="136"/>
      <c r="S142" s="135"/>
      <c r="T142" s="134" t="str">
        <f>(IF(S142="","",S142-R142))</f>
        <v/>
      </c>
      <c r="U142" s="130" t="str">
        <f>IF(T142="","",T142/R142)</f>
        <v/>
      </c>
      <c r="V142" s="133" t="str">
        <f>IF(R142="","",(F142*R142)/1000000)</f>
        <v/>
      </c>
      <c r="W142" s="132" t="str">
        <f>IF(S142="","",(G142*S142)/1000000)</f>
        <v/>
      </c>
      <c r="X142" s="131" t="str">
        <f>(IF(W142="","",W142-V142))</f>
        <v/>
      </c>
      <c r="Y142" s="130" t="str">
        <f>IF(X142="","",X142/V142)</f>
        <v/>
      </c>
    </row>
    <row r="143" spans="2:25" x14ac:dyDescent="0.35">
      <c r="B143" s="183"/>
      <c r="C143" s="182"/>
      <c r="D143" s="181"/>
      <c r="E143" s="180" t="s">
        <v>229</v>
      </c>
      <c r="F143" s="179"/>
      <c r="G143" s="178"/>
      <c r="H143" s="167" t="str">
        <f>(IF(G143="","",G143-F143))</f>
        <v/>
      </c>
      <c r="I143" s="177" t="str">
        <f>IF(H143="","",H143/F143)</f>
        <v/>
      </c>
      <c r="J143" s="172"/>
      <c r="K143" s="171"/>
      <c r="L143" s="170" t="str">
        <f>(IF(K143="","",K143-J143))</f>
        <v/>
      </c>
      <c r="M143" s="176" t="str">
        <f>IF(L143="","",L143/J143)</f>
        <v/>
      </c>
      <c r="N143" s="175"/>
      <c r="O143" s="174" t="str">
        <f>IF(K143="","",(G143*K143)/1000000)</f>
        <v/>
      </c>
      <c r="P143" s="173" t="str">
        <f>(IF(O143="","",O143-N143))</f>
        <v/>
      </c>
      <c r="Q143" s="166" t="str">
        <f>IF(P143="","",P143/N143)</f>
        <v/>
      </c>
      <c r="R143" s="172"/>
      <c r="S143" s="171"/>
      <c r="T143" s="170" t="str">
        <f>(IF(S143="","",S143-R143))</f>
        <v/>
      </c>
      <c r="U143" s="166" t="str">
        <f>IF(T143="","",T143/R143)</f>
        <v/>
      </c>
      <c r="V143" s="169" t="str">
        <f>IF(R143="","",(F143*R143)/1000000)</f>
        <v/>
      </c>
      <c r="W143" s="168" t="str">
        <f>IF(S143="","",(G143*S143)/1000000)</f>
        <v/>
      </c>
      <c r="X143" s="167" t="str">
        <f>(IF(W143="","",W143-V143))</f>
        <v/>
      </c>
      <c r="Y143" s="166" t="str">
        <f>IF(X143="","",X143/V143)</f>
        <v/>
      </c>
    </row>
    <row r="144" spans="2:25" x14ac:dyDescent="0.35">
      <c r="B144" s="165"/>
      <c r="C144" s="164"/>
      <c r="D144" s="163"/>
      <c r="E144" s="162" t="s">
        <v>228</v>
      </c>
      <c r="F144" s="161"/>
      <c r="G144" s="160"/>
      <c r="H144" s="149" t="str">
        <f>(IF(G144="","",G144-F144))</f>
        <v/>
      </c>
      <c r="I144" s="159" t="str">
        <f>IF(H144="","",H144/F144)</f>
        <v/>
      </c>
      <c r="J144" s="154"/>
      <c r="K144" s="153"/>
      <c r="L144" s="152" t="str">
        <f>(IF(K144="","",K144-J144))</f>
        <v/>
      </c>
      <c r="M144" s="158" t="str">
        <f>IF(L144="","",L144/J144)</f>
        <v/>
      </c>
      <c r="N144" s="157"/>
      <c r="O144" s="156" t="str">
        <f>IF(K144="","",(G144*K144)/1000000)</f>
        <v/>
      </c>
      <c r="P144" s="155" t="str">
        <f>(IF(O144="","",O144-N144))</f>
        <v/>
      </c>
      <c r="Q144" s="148" t="str">
        <f>IF(P144="","",P144/N144)</f>
        <v/>
      </c>
      <c r="R144" s="154"/>
      <c r="S144" s="153"/>
      <c r="T144" s="152" t="str">
        <f>(IF(S144="","",S144-R144))</f>
        <v/>
      </c>
      <c r="U144" s="148" t="str">
        <f>IF(T144="","",T144/R144)</f>
        <v/>
      </c>
      <c r="V144" s="151" t="str">
        <f>IF(R144="","",(F144*R144)/1000000)</f>
        <v/>
      </c>
      <c r="W144" s="150" t="str">
        <f>IF(S144="","",(G144*S144)/1000000)</f>
        <v/>
      </c>
      <c r="X144" s="149" t="str">
        <f>(IF(W144="","",W144-V144))</f>
        <v/>
      </c>
      <c r="Y144" s="148" t="str">
        <f>IF(X144="","",X144/V144)</f>
        <v/>
      </c>
    </row>
    <row r="145" spans="2:25" x14ac:dyDescent="0.35">
      <c r="B145" s="147"/>
      <c r="C145" s="146"/>
      <c r="D145" s="145"/>
      <c r="E145" s="144" t="s">
        <v>227</v>
      </c>
      <c r="F145" s="143"/>
      <c r="G145" s="142"/>
      <c r="H145" s="131" t="str">
        <f>(IF(G145="","",G145-F145))</f>
        <v/>
      </c>
      <c r="I145" s="141" t="str">
        <f>IF(H145="","",H145/F145)</f>
        <v/>
      </c>
      <c r="J145" s="136"/>
      <c r="K145" s="135"/>
      <c r="L145" s="134" t="str">
        <f>(IF(K145="","",K145-J145))</f>
        <v/>
      </c>
      <c r="M145" s="140" t="str">
        <f>IF(L145="","",L145/J145)</f>
        <v/>
      </c>
      <c r="N145" s="139"/>
      <c r="O145" s="138" t="str">
        <f>IF(K145="","",(G145*K145)/1000000)</f>
        <v/>
      </c>
      <c r="P145" s="137" t="str">
        <f>(IF(O145="","",O145-N145))</f>
        <v/>
      </c>
      <c r="Q145" s="130" t="str">
        <f>IF(P145="","",P145/N145)</f>
        <v/>
      </c>
      <c r="R145" s="136"/>
      <c r="S145" s="135"/>
      <c r="T145" s="134" t="str">
        <f>(IF(S145="","",S145-R145))</f>
        <v/>
      </c>
      <c r="U145" s="130" t="str">
        <f>IF(T145="","",T145/R145)</f>
        <v/>
      </c>
      <c r="V145" s="133" t="str">
        <f>IF(R145="","",(F145*R145)/1000000)</f>
        <v/>
      </c>
      <c r="W145" s="132" t="str">
        <f>IF(S145="","",(G145*S145)/1000000)</f>
        <v/>
      </c>
      <c r="X145" s="131" t="str">
        <f>(IF(W145="","",W145-V145))</f>
        <v/>
      </c>
      <c r="Y145" s="130" t="str">
        <f>IF(X145="","",X145/V145)</f>
        <v/>
      </c>
    </row>
    <row r="146" spans="2:25" x14ac:dyDescent="0.35">
      <c r="B146" s="183"/>
      <c r="C146" s="182"/>
      <c r="D146" s="181"/>
      <c r="E146" s="180" t="s">
        <v>229</v>
      </c>
      <c r="F146" s="179"/>
      <c r="G146" s="178"/>
      <c r="H146" s="167" t="str">
        <f>(IF(G146="","",G146-F146))</f>
        <v/>
      </c>
      <c r="I146" s="177" t="str">
        <f>IF(H146="","",H146/F146)</f>
        <v/>
      </c>
      <c r="J146" s="172"/>
      <c r="K146" s="171"/>
      <c r="L146" s="170" t="str">
        <f>(IF(K146="","",K146-J146))</f>
        <v/>
      </c>
      <c r="M146" s="176" t="str">
        <f>IF(L146="","",L146/J146)</f>
        <v/>
      </c>
      <c r="N146" s="175"/>
      <c r="O146" s="174" t="str">
        <f>IF(K146="","",(G146*K146)/1000000)</f>
        <v/>
      </c>
      <c r="P146" s="173" t="str">
        <f>(IF(O146="","",O146-N146))</f>
        <v/>
      </c>
      <c r="Q146" s="166" t="str">
        <f>IF(P146="","",P146/N146)</f>
        <v/>
      </c>
      <c r="R146" s="172"/>
      <c r="S146" s="171"/>
      <c r="T146" s="170" t="str">
        <f>(IF(S146="","",S146-R146))</f>
        <v/>
      </c>
      <c r="U146" s="166" t="str">
        <f>IF(T146="","",T146/R146)</f>
        <v/>
      </c>
      <c r="V146" s="169" t="str">
        <f>IF(R146="","",(F146*R146)/1000000)</f>
        <v/>
      </c>
      <c r="W146" s="168" t="str">
        <f>IF(S146="","",(G146*S146)/1000000)</f>
        <v/>
      </c>
      <c r="X146" s="167" t="str">
        <f>(IF(W146="","",W146-V146))</f>
        <v/>
      </c>
      <c r="Y146" s="166" t="str">
        <f>IF(X146="","",X146/V146)</f>
        <v/>
      </c>
    </row>
    <row r="147" spans="2:25" x14ac:dyDescent="0.35">
      <c r="B147" s="165"/>
      <c r="C147" s="164"/>
      <c r="D147" s="163"/>
      <c r="E147" s="162" t="s">
        <v>228</v>
      </c>
      <c r="F147" s="161"/>
      <c r="G147" s="160"/>
      <c r="H147" s="149" t="str">
        <f>(IF(G147="","",G147-F147))</f>
        <v/>
      </c>
      <c r="I147" s="159" t="str">
        <f>IF(H147="","",H147/F147)</f>
        <v/>
      </c>
      <c r="J147" s="154"/>
      <c r="K147" s="153"/>
      <c r="L147" s="152" t="str">
        <f>(IF(K147="","",K147-J147))</f>
        <v/>
      </c>
      <c r="M147" s="158" t="str">
        <f>IF(L147="","",L147/J147)</f>
        <v/>
      </c>
      <c r="N147" s="157"/>
      <c r="O147" s="156" t="str">
        <f>IF(K147="","",(G147*K147)/1000000)</f>
        <v/>
      </c>
      <c r="P147" s="155" t="str">
        <f>(IF(O147="","",O147-N147))</f>
        <v/>
      </c>
      <c r="Q147" s="148" t="str">
        <f>IF(P147="","",P147/N147)</f>
        <v/>
      </c>
      <c r="R147" s="154"/>
      <c r="S147" s="153"/>
      <c r="T147" s="152" t="str">
        <f>(IF(S147="","",S147-R147))</f>
        <v/>
      </c>
      <c r="U147" s="148" t="str">
        <f>IF(T147="","",T147/R147)</f>
        <v/>
      </c>
      <c r="V147" s="151" t="str">
        <f>IF(R147="","",(F147*R147)/1000000)</f>
        <v/>
      </c>
      <c r="W147" s="150" t="str">
        <f>IF(S147="","",(G147*S147)/1000000)</f>
        <v/>
      </c>
      <c r="X147" s="149" t="str">
        <f>(IF(W147="","",W147-V147))</f>
        <v/>
      </c>
      <c r="Y147" s="148" t="str">
        <f>IF(X147="","",X147/V147)</f>
        <v/>
      </c>
    </row>
    <row r="148" spans="2:25" x14ac:dyDescent="0.35">
      <c r="B148" s="147"/>
      <c r="C148" s="146"/>
      <c r="D148" s="145"/>
      <c r="E148" s="144" t="s">
        <v>227</v>
      </c>
      <c r="F148" s="143"/>
      <c r="G148" s="142"/>
      <c r="H148" s="131" t="str">
        <f>(IF(G148="","",G148-F148))</f>
        <v/>
      </c>
      <c r="I148" s="141" t="str">
        <f>IF(H148="","",H148/F148)</f>
        <v/>
      </c>
      <c r="J148" s="136"/>
      <c r="K148" s="135"/>
      <c r="L148" s="134" t="str">
        <f>(IF(K148="","",K148-J148))</f>
        <v/>
      </c>
      <c r="M148" s="140" t="str">
        <f>IF(L148="","",L148/J148)</f>
        <v/>
      </c>
      <c r="N148" s="139"/>
      <c r="O148" s="138" t="str">
        <f>IF(K148="","",(G148*K148)/1000000)</f>
        <v/>
      </c>
      <c r="P148" s="137" t="str">
        <f>(IF(O148="","",O148-N148))</f>
        <v/>
      </c>
      <c r="Q148" s="130" t="str">
        <f>IF(P148="","",P148/N148)</f>
        <v/>
      </c>
      <c r="R148" s="136"/>
      <c r="S148" s="135"/>
      <c r="T148" s="134" t="str">
        <f>(IF(S148="","",S148-R148))</f>
        <v/>
      </c>
      <c r="U148" s="130" t="str">
        <f>IF(T148="","",T148/R148)</f>
        <v/>
      </c>
      <c r="V148" s="133" t="str">
        <f>IF(R148="","",(F148*R148)/1000000)</f>
        <v/>
      </c>
      <c r="W148" s="132" t="str">
        <f>IF(S148="","",(G148*S148)/1000000)</f>
        <v/>
      </c>
      <c r="X148" s="131" t="str">
        <f>(IF(W148="","",W148-V148))</f>
        <v/>
      </c>
      <c r="Y148" s="130" t="str">
        <f>IF(X148="","",X148/V148)</f>
        <v/>
      </c>
    </row>
    <row r="149" spans="2:25" x14ac:dyDescent="0.35">
      <c r="B149" s="183"/>
      <c r="C149" s="182"/>
      <c r="D149" s="181"/>
      <c r="E149" s="180" t="s">
        <v>229</v>
      </c>
      <c r="F149" s="179"/>
      <c r="G149" s="178"/>
      <c r="H149" s="167" t="str">
        <f>(IF(G149="","",G149-F149))</f>
        <v/>
      </c>
      <c r="I149" s="177" t="str">
        <f>IF(H149="","",H149/F149)</f>
        <v/>
      </c>
      <c r="J149" s="172"/>
      <c r="K149" s="171"/>
      <c r="L149" s="170" t="str">
        <f>(IF(K149="","",K149-J149))</f>
        <v/>
      </c>
      <c r="M149" s="176" t="str">
        <f>IF(L149="","",L149/J149)</f>
        <v/>
      </c>
      <c r="N149" s="175"/>
      <c r="O149" s="174" t="str">
        <f>IF(K149="","",(G149*K149)/1000000)</f>
        <v/>
      </c>
      <c r="P149" s="173" t="str">
        <f>(IF(O149="","",O149-N149))</f>
        <v/>
      </c>
      <c r="Q149" s="166" t="str">
        <f>IF(P149="","",P149/N149)</f>
        <v/>
      </c>
      <c r="R149" s="172"/>
      <c r="S149" s="171"/>
      <c r="T149" s="170" t="str">
        <f>(IF(S149="","",S149-R149))</f>
        <v/>
      </c>
      <c r="U149" s="166" t="str">
        <f>IF(T149="","",T149/R149)</f>
        <v/>
      </c>
      <c r="V149" s="169" t="str">
        <f>IF(R149="","",(F149*R149)/1000000)</f>
        <v/>
      </c>
      <c r="W149" s="168" t="str">
        <f>IF(S149="","",(G149*S149)/1000000)</f>
        <v/>
      </c>
      <c r="X149" s="167" t="str">
        <f>(IF(W149="","",W149-V149))</f>
        <v/>
      </c>
      <c r="Y149" s="166" t="str">
        <f>IF(X149="","",X149/V149)</f>
        <v/>
      </c>
    </row>
    <row r="150" spans="2:25" x14ac:dyDescent="0.35">
      <c r="B150" s="165"/>
      <c r="C150" s="164"/>
      <c r="D150" s="163"/>
      <c r="E150" s="162" t="s">
        <v>228</v>
      </c>
      <c r="F150" s="161"/>
      <c r="G150" s="160"/>
      <c r="H150" s="149" t="str">
        <f>(IF(G150="","",G150-F150))</f>
        <v/>
      </c>
      <c r="I150" s="159" t="str">
        <f>IF(H150="","",H150/F150)</f>
        <v/>
      </c>
      <c r="J150" s="154"/>
      <c r="K150" s="153"/>
      <c r="L150" s="152" t="str">
        <f>(IF(K150="","",K150-J150))</f>
        <v/>
      </c>
      <c r="M150" s="158" t="str">
        <f>IF(L150="","",L150/J150)</f>
        <v/>
      </c>
      <c r="N150" s="157"/>
      <c r="O150" s="156" t="str">
        <f>IF(K150="","",(G150*K150)/1000000)</f>
        <v/>
      </c>
      <c r="P150" s="155" t="str">
        <f>(IF(O150="","",O150-N150))</f>
        <v/>
      </c>
      <c r="Q150" s="148" t="str">
        <f>IF(P150="","",P150/N150)</f>
        <v/>
      </c>
      <c r="R150" s="154"/>
      <c r="S150" s="153"/>
      <c r="T150" s="152" t="str">
        <f>(IF(S150="","",S150-R150))</f>
        <v/>
      </c>
      <c r="U150" s="148" t="str">
        <f>IF(T150="","",T150/R150)</f>
        <v/>
      </c>
      <c r="V150" s="151" t="str">
        <f>IF(R150="","",(F150*R150)/1000000)</f>
        <v/>
      </c>
      <c r="W150" s="150" t="str">
        <f>IF(S150="","",(G150*S150)/1000000)</f>
        <v/>
      </c>
      <c r="X150" s="149" t="str">
        <f>(IF(W150="","",W150-V150))</f>
        <v/>
      </c>
      <c r="Y150" s="148" t="str">
        <f>IF(X150="","",X150/V150)</f>
        <v/>
      </c>
    </row>
    <row r="151" spans="2:25" x14ac:dyDescent="0.35">
      <c r="B151" s="147"/>
      <c r="C151" s="146"/>
      <c r="D151" s="145"/>
      <c r="E151" s="144" t="s">
        <v>227</v>
      </c>
      <c r="F151" s="143"/>
      <c r="G151" s="142"/>
      <c r="H151" s="131" t="str">
        <f>(IF(G151="","",G151-F151))</f>
        <v/>
      </c>
      <c r="I151" s="141" t="str">
        <f>IF(H151="","",H151/F151)</f>
        <v/>
      </c>
      <c r="J151" s="136"/>
      <c r="K151" s="135"/>
      <c r="L151" s="134" t="str">
        <f>(IF(K151="","",K151-J151))</f>
        <v/>
      </c>
      <c r="M151" s="140" t="str">
        <f>IF(L151="","",L151/J151)</f>
        <v/>
      </c>
      <c r="N151" s="139"/>
      <c r="O151" s="138" t="str">
        <f>IF(K151="","",(G151*K151)/1000000)</f>
        <v/>
      </c>
      <c r="P151" s="137" t="str">
        <f>(IF(O151="","",O151-N151))</f>
        <v/>
      </c>
      <c r="Q151" s="130" t="str">
        <f>IF(P151="","",P151/N151)</f>
        <v/>
      </c>
      <c r="R151" s="136"/>
      <c r="S151" s="135"/>
      <c r="T151" s="134" t="str">
        <f>(IF(S151="","",S151-R151))</f>
        <v/>
      </c>
      <c r="U151" s="130" t="str">
        <f>IF(T151="","",T151/R151)</f>
        <v/>
      </c>
      <c r="V151" s="133" t="str">
        <f>IF(R151="","",(F151*R151)/1000000)</f>
        <v/>
      </c>
      <c r="W151" s="132" t="str">
        <f>IF(S151="","",(G151*S151)/1000000)</f>
        <v/>
      </c>
      <c r="X151" s="131" t="str">
        <f>(IF(W151="","",W151-V151))</f>
        <v/>
      </c>
      <c r="Y151" s="130" t="str">
        <f>IF(X151="","",X151/V151)</f>
        <v/>
      </c>
    </row>
    <row r="152" spans="2:25" x14ac:dyDescent="0.35">
      <c r="B152" s="183"/>
      <c r="C152" s="182"/>
      <c r="D152" s="181"/>
      <c r="E152" s="180" t="s">
        <v>229</v>
      </c>
      <c r="F152" s="179"/>
      <c r="G152" s="178"/>
      <c r="H152" s="167" t="str">
        <f>(IF(G152="","",G152-F152))</f>
        <v/>
      </c>
      <c r="I152" s="177" t="str">
        <f>IF(H152="","",H152/F152)</f>
        <v/>
      </c>
      <c r="J152" s="172"/>
      <c r="K152" s="171"/>
      <c r="L152" s="170" t="str">
        <f>(IF(K152="","",K152-J152))</f>
        <v/>
      </c>
      <c r="M152" s="176" t="str">
        <f>IF(L152="","",L152/J152)</f>
        <v/>
      </c>
      <c r="N152" s="175"/>
      <c r="O152" s="174" t="str">
        <f>IF(K152="","",(G152*K152)/1000000)</f>
        <v/>
      </c>
      <c r="P152" s="173" t="str">
        <f>(IF(O152="","",O152-N152))</f>
        <v/>
      </c>
      <c r="Q152" s="166" t="str">
        <f>IF(P152="","",P152/N152)</f>
        <v/>
      </c>
      <c r="R152" s="172"/>
      <c r="S152" s="171"/>
      <c r="T152" s="170" t="str">
        <f>(IF(S152="","",S152-R152))</f>
        <v/>
      </c>
      <c r="U152" s="166" t="str">
        <f>IF(T152="","",T152/R152)</f>
        <v/>
      </c>
      <c r="V152" s="169" t="str">
        <f>IF(R152="","",(F152*R152)/1000000)</f>
        <v/>
      </c>
      <c r="W152" s="168" t="str">
        <f>IF(S152="","",(G152*S152)/1000000)</f>
        <v/>
      </c>
      <c r="X152" s="167" t="str">
        <f>(IF(W152="","",W152-V152))</f>
        <v/>
      </c>
      <c r="Y152" s="166" t="str">
        <f>IF(X152="","",X152/V152)</f>
        <v/>
      </c>
    </row>
    <row r="153" spans="2:25" x14ac:dyDescent="0.35">
      <c r="B153" s="165"/>
      <c r="C153" s="164"/>
      <c r="D153" s="163"/>
      <c r="E153" s="162" t="s">
        <v>228</v>
      </c>
      <c r="F153" s="161"/>
      <c r="G153" s="160"/>
      <c r="H153" s="149" t="str">
        <f>(IF(G153="","",G153-F153))</f>
        <v/>
      </c>
      <c r="I153" s="159" t="str">
        <f>IF(H153="","",H153/F153)</f>
        <v/>
      </c>
      <c r="J153" s="154"/>
      <c r="K153" s="153"/>
      <c r="L153" s="152" t="str">
        <f>(IF(K153="","",K153-J153))</f>
        <v/>
      </c>
      <c r="M153" s="158" t="str">
        <f>IF(L153="","",L153/J153)</f>
        <v/>
      </c>
      <c r="N153" s="157"/>
      <c r="O153" s="156" t="str">
        <f>IF(K153="","",(G153*K153)/1000000)</f>
        <v/>
      </c>
      <c r="P153" s="155" t="str">
        <f>(IF(O153="","",O153-N153))</f>
        <v/>
      </c>
      <c r="Q153" s="148" t="str">
        <f>IF(P153="","",P153/N153)</f>
        <v/>
      </c>
      <c r="R153" s="154"/>
      <c r="S153" s="153"/>
      <c r="T153" s="152" t="str">
        <f>(IF(S153="","",S153-R153))</f>
        <v/>
      </c>
      <c r="U153" s="148" t="str">
        <f>IF(T153="","",T153/R153)</f>
        <v/>
      </c>
      <c r="V153" s="151" t="str">
        <f>IF(R153="","",(F153*R153)/1000000)</f>
        <v/>
      </c>
      <c r="W153" s="150" t="str">
        <f>IF(S153="","",(G153*S153)/1000000)</f>
        <v/>
      </c>
      <c r="X153" s="149" t="str">
        <f>(IF(W153="","",W153-V153))</f>
        <v/>
      </c>
      <c r="Y153" s="148" t="str">
        <f>IF(X153="","",X153/V153)</f>
        <v/>
      </c>
    </row>
    <row r="154" spans="2:25" x14ac:dyDescent="0.35">
      <c r="B154" s="147"/>
      <c r="C154" s="146"/>
      <c r="D154" s="145"/>
      <c r="E154" s="144" t="s">
        <v>227</v>
      </c>
      <c r="F154" s="143"/>
      <c r="G154" s="142"/>
      <c r="H154" s="131" t="str">
        <f>(IF(G154="","",G154-F154))</f>
        <v/>
      </c>
      <c r="I154" s="141" t="str">
        <f>IF(H154="","",H154/F154)</f>
        <v/>
      </c>
      <c r="J154" s="136"/>
      <c r="K154" s="135"/>
      <c r="L154" s="134" t="str">
        <f>(IF(K154="","",K154-J154))</f>
        <v/>
      </c>
      <c r="M154" s="140" t="str">
        <f>IF(L154="","",L154/J154)</f>
        <v/>
      </c>
      <c r="N154" s="139"/>
      <c r="O154" s="138" t="str">
        <f>IF(K154="","",(G154*K154)/1000000)</f>
        <v/>
      </c>
      <c r="P154" s="137" t="str">
        <f>(IF(O154="","",O154-N154))</f>
        <v/>
      </c>
      <c r="Q154" s="130" t="str">
        <f>IF(P154="","",P154/N154)</f>
        <v/>
      </c>
      <c r="R154" s="136"/>
      <c r="S154" s="135"/>
      <c r="T154" s="134" t="str">
        <f>(IF(S154="","",S154-R154))</f>
        <v/>
      </c>
      <c r="U154" s="130" t="str">
        <f>IF(T154="","",T154/R154)</f>
        <v/>
      </c>
      <c r="V154" s="133" t="str">
        <f>IF(R154="","",(F154*R154)/1000000)</f>
        <v/>
      </c>
      <c r="W154" s="132" t="str">
        <f>IF(S154="","",(G154*S154)/1000000)</f>
        <v/>
      </c>
      <c r="X154" s="131" t="str">
        <f>(IF(W154="","",W154-V154))</f>
        <v/>
      </c>
      <c r="Y154" s="130" t="str">
        <f>IF(X154="","",X154/V154)</f>
        <v/>
      </c>
    </row>
    <row r="155" spans="2:25" x14ac:dyDescent="0.35">
      <c r="B155" s="183"/>
      <c r="C155" s="182"/>
      <c r="D155" s="181"/>
      <c r="E155" s="180" t="s">
        <v>229</v>
      </c>
      <c r="F155" s="179"/>
      <c r="G155" s="178"/>
      <c r="H155" s="167" t="str">
        <f>(IF(G155="","",G155-F155))</f>
        <v/>
      </c>
      <c r="I155" s="177" t="str">
        <f>IF(H155="","",H155/F155)</f>
        <v/>
      </c>
      <c r="J155" s="172"/>
      <c r="K155" s="171"/>
      <c r="L155" s="170" t="str">
        <f>(IF(K155="","",K155-J155))</f>
        <v/>
      </c>
      <c r="M155" s="176" t="str">
        <f>IF(L155="","",L155/J155)</f>
        <v/>
      </c>
      <c r="N155" s="175"/>
      <c r="O155" s="174" t="str">
        <f>IF(K155="","",(G155*K155)/1000000)</f>
        <v/>
      </c>
      <c r="P155" s="173" t="str">
        <f>(IF(O155="","",O155-N155))</f>
        <v/>
      </c>
      <c r="Q155" s="166" t="str">
        <f>IF(P155="","",P155/N155)</f>
        <v/>
      </c>
      <c r="R155" s="172"/>
      <c r="S155" s="171"/>
      <c r="T155" s="170" t="str">
        <f>(IF(S155="","",S155-R155))</f>
        <v/>
      </c>
      <c r="U155" s="166" t="str">
        <f>IF(T155="","",T155/R155)</f>
        <v/>
      </c>
      <c r="V155" s="169" t="str">
        <f>IF(R155="","",(F155*R155)/1000000)</f>
        <v/>
      </c>
      <c r="W155" s="168" t="str">
        <f>IF(S155="","",(G155*S155)/1000000)</f>
        <v/>
      </c>
      <c r="X155" s="167" t="str">
        <f>(IF(W155="","",W155-V155))</f>
        <v/>
      </c>
      <c r="Y155" s="166" t="str">
        <f>IF(X155="","",X155/V155)</f>
        <v/>
      </c>
    </row>
    <row r="156" spans="2:25" x14ac:dyDescent="0.35">
      <c r="B156" s="165"/>
      <c r="C156" s="164"/>
      <c r="D156" s="163"/>
      <c r="E156" s="162" t="s">
        <v>228</v>
      </c>
      <c r="F156" s="161"/>
      <c r="G156" s="160"/>
      <c r="H156" s="149" t="str">
        <f>(IF(G156="","",G156-F156))</f>
        <v/>
      </c>
      <c r="I156" s="159" t="str">
        <f>IF(H156="","",H156/F156)</f>
        <v/>
      </c>
      <c r="J156" s="154"/>
      <c r="K156" s="153"/>
      <c r="L156" s="152" t="str">
        <f>(IF(K156="","",K156-J156))</f>
        <v/>
      </c>
      <c r="M156" s="158" t="str">
        <f>IF(L156="","",L156/J156)</f>
        <v/>
      </c>
      <c r="N156" s="157"/>
      <c r="O156" s="156" t="str">
        <f>IF(K156="","",(G156*K156)/1000000)</f>
        <v/>
      </c>
      <c r="P156" s="155" t="str">
        <f>(IF(O156="","",O156-N156))</f>
        <v/>
      </c>
      <c r="Q156" s="148" t="str">
        <f>IF(P156="","",P156/N156)</f>
        <v/>
      </c>
      <c r="R156" s="154"/>
      <c r="S156" s="153"/>
      <c r="T156" s="152" t="str">
        <f>(IF(S156="","",S156-R156))</f>
        <v/>
      </c>
      <c r="U156" s="148" t="str">
        <f>IF(T156="","",T156/R156)</f>
        <v/>
      </c>
      <c r="V156" s="151" t="str">
        <f>IF(R156="","",(F156*R156)/1000000)</f>
        <v/>
      </c>
      <c r="W156" s="150" t="str">
        <f>IF(S156="","",(G156*S156)/1000000)</f>
        <v/>
      </c>
      <c r="X156" s="149" t="str">
        <f>(IF(W156="","",W156-V156))</f>
        <v/>
      </c>
      <c r="Y156" s="148" t="str">
        <f>IF(X156="","",X156/V156)</f>
        <v/>
      </c>
    </row>
    <row r="157" spans="2:25" x14ac:dyDescent="0.35">
      <c r="B157" s="147"/>
      <c r="C157" s="146"/>
      <c r="D157" s="145"/>
      <c r="E157" s="144" t="s">
        <v>227</v>
      </c>
      <c r="F157" s="143"/>
      <c r="G157" s="142"/>
      <c r="H157" s="131" t="str">
        <f>(IF(G157="","",G157-F157))</f>
        <v/>
      </c>
      <c r="I157" s="141" t="str">
        <f>IF(H157="","",H157/F157)</f>
        <v/>
      </c>
      <c r="J157" s="136"/>
      <c r="K157" s="135"/>
      <c r="L157" s="134" t="str">
        <f>(IF(K157="","",K157-J157))</f>
        <v/>
      </c>
      <c r="M157" s="140" t="str">
        <f>IF(L157="","",L157/J157)</f>
        <v/>
      </c>
      <c r="N157" s="139"/>
      <c r="O157" s="138" t="str">
        <f>IF(K157="","",(G157*K157)/1000000)</f>
        <v/>
      </c>
      <c r="P157" s="137" t="str">
        <f>(IF(O157="","",O157-N157))</f>
        <v/>
      </c>
      <c r="Q157" s="130" t="str">
        <f>IF(P157="","",P157/N157)</f>
        <v/>
      </c>
      <c r="R157" s="136"/>
      <c r="S157" s="135"/>
      <c r="T157" s="134" t="str">
        <f>(IF(S157="","",S157-R157))</f>
        <v/>
      </c>
      <c r="U157" s="130" t="str">
        <f>IF(T157="","",T157/R157)</f>
        <v/>
      </c>
      <c r="V157" s="133" t="str">
        <f>IF(R157="","",(F157*R157)/1000000)</f>
        <v/>
      </c>
      <c r="W157" s="132" t="str">
        <f>IF(S157="","",(G157*S157)/1000000)</f>
        <v/>
      </c>
      <c r="X157" s="131" t="str">
        <f>(IF(W157="","",W157-V157))</f>
        <v/>
      </c>
      <c r="Y157" s="130" t="str">
        <f>IF(X157="","",X157/V157)</f>
        <v/>
      </c>
    </row>
    <row r="158" spans="2:25" x14ac:dyDescent="0.35">
      <c r="B158" s="183"/>
      <c r="C158" s="182"/>
      <c r="D158" s="181"/>
      <c r="E158" s="180" t="s">
        <v>229</v>
      </c>
      <c r="F158" s="179"/>
      <c r="G158" s="178"/>
      <c r="H158" s="167" t="str">
        <f>(IF(G158="","",G158-F158))</f>
        <v/>
      </c>
      <c r="I158" s="177" t="str">
        <f>IF(H158="","",H158/F158)</f>
        <v/>
      </c>
      <c r="J158" s="172"/>
      <c r="K158" s="171"/>
      <c r="L158" s="170" t="str">
        <f>(IF(K158="","",K158-J158))</f>
        <v/>
      </c>
      <c r="M158" s="176" t="str">
        <f>IF(L158="","",L158/J158)</f>
        <v/>
      </c>
      <c r="N158" s="175"/>
      <c r="O158" s="174" t="str">
        <f>IF(K158="","",(G158*K158)/1000000)</f>
        <v/>
      </c>
      <c r="P158" s="173" t="str">
        <f>(IF(O158="","",O158-N158))</f>
        <v/>
      </c>
      <c r="Q158" s="166" t="str">
        <f>IF(P158="","",P158/N158)</f>
        <v/>
      </c>
      <c r="R158" s="172"/>
      <c r="S158" s="171"/>
      <c r="T158" s="170" t="str">
        <f>(IF(S158="","",S158-R158))</f>
        <v/>
      </c>
      <c r="U158" s="166" t="str">
        <f>IF(T158="","",T158/R158)</f>
        <v/>
      </c>
      <c r="V158" s="169" t="str">
        <f>IF(R158="","",(F158*R158)/1000000)</f>
        <v/>
      </c>
      <c r="W158" s="168" t="str">
        <f>IF(S158="","",(G158*S158)/1000000)</f>
        <v/>
      </c>
      <c r="X158" s="167" t="str">
        <f>(IF(W158="","",W158-V158))</f>
        <v/>
      </c>
      <c r="Y158" s="166" t="str">
        <f>IF(X158="","",X158/V158)</f>
        <v/>
      </c>
    </row>
    <row r="159" spans="2:25" x14ac:dyDescent="0.35">
      <c r="B159" s="165"/>
      <c r="C159" s="164"/>
      <c r="D159" s="163"/>
      <c r="E159" s="162" t="s">
        <v>228</v>
      </c>
      <c r="F159" s="161"/>
      <c r="G159" s="160"/>
      <c r="H159" s="149" t="str">
        <f>(IF(G159="","",G159-F159))</f>
        <v/>
      </c>
      <c r="I159" s="159" t="str">
        <f>IF(H159="","",H159/F159)</f>
        <v/>
      </c>
      <c r="J159" s="154"/>
      <c r="K159" s="153"/>
      <c r="L159" s="152" t="str">
        <f>(IF(K159="","",K159-J159))</f>
        <v/>
      </c>
      <c r="M159" s="158" t="str">
        <f>IF(L159="","",L159/J159)</f>
        <v/>
      </c>
      <c r="N159" s="157"/>
      <c r="O159" s="156" t="str">
        <f>IF(K159="","",(G159*K159)/1000000)</f>
        <v/>
      </c>
      <c r="P159" s="155" t="str">
        <f>(IF(O159="","",O159-N159))</f>
        <v/>
      </c>
      <c r="Q159" s="148" t="str">
        <f>IF(P159="","",P159/N159)</f>
        <v/>
      </c>
      <c r="R159" s="154"/>
      <c r="S159" s="153"/>
      <c r="T159" s="152" t="str">
        <f>(IF(S159="","",S159-R159))</f>
        <v/>
      </c>
      <c r="U159" s="148" t="str">
        <f>IF(T159="","",T159/R159)</f>
        <v/>
      </c>
      <c r="V159" s="151" t="str">
        <f>IF(R159="","",(F159*R159)/1000000)</f>
        <v/>
      </c>
      <c r="W159" s="150" t="str">
        <f>IF(S159="","",(G159*S159)/1000000)</f>
        <v/>
      </c>
      <c r="X159" s="149" t="str">
        <f>(IF(W159="","",W159-V159))</f>
        <v/>
      </c>
      <c r="Y159" s="148" t="str">
        <f>IF(X159="","",X159/V159)</f>
        <v/>
      </c>
    </row>
    <row r="160" spans="2:25" x14ac:dyDescent="0.35">
      <c r="B160" s="147"/>
      <c r="C160" s="146"/>
      <c r="D160" s="145"/>
      <c r="E160" s="144" t="s">
        <v>227</v>
      </c>
      <c r="F160" s="143"/>
      <c r="G160" s="142"/>
      <c r="H160" s="131" t="str">
        <f>(IF(G160="","",G160-F160))</f>
        <v/>
      </c>
      <c r="I160" s="141" t="str">
        <f>IF(H160="","",H160/F160)</f>
        <v/>
      </c>
      <c r="J160" s="136"/>
      <c r="K160" s="135"/>
      <c r="L160" s="134" t="str">
        <f>(IF(K160="","",K160-J160))</f>
        <v/>
      </c>
      <c r="M160" s="140" t="str">
        <f>IF(L160="","",L160/J160)</f>
        <v/>
      </c>
      <c r="N160" s="139"/>
      <c r="O160" s="138" t="str">
        <f>IF(K160="","",(G160*K160)/1000000)</f>
        <v/>
      </c>
      <c r="P160" s="137" t="str">
        <f>(IF(O160="","",O160-N160))</f>
        <v/>
      </c>
      <c r="Q160" s="130" t="str">
        <f>IF(P160="","",P160/N160)</f>
        <v/>
      </c>
      <c r="R160" s="136"/>
      <c r="S160" s="135"/>
      <c r="T160" s="134" t="str">
        <f>(IF(S160="","",S160-R160))</f>
        <v/>
      </c>
      <c r="U160" s="130" t="str">
        <f>IF(T160="","",T160/R160)</f>
        <v/>
      </c>
      <c r="V160" s="133" t="str">
        <f>IF(R160="","",(F160*R160)/1000000)</f>
        <v/>
      </c>
      <c r="W160" s="132" t="str">
        <f>IF(S160="","",(G160*S160)/1000000)</f>
        <v/>
      </c>
      <c r="X160" s="131" t="str">
        <f>(IF(W160="","",W160-V160))</f>
        <v/>
      </c>
      <c r="Y160" s="130" t="str">
        <f>IF(X160="","",X160/V160)</f>
        <v/>
      </c>
    </row>
    <row r="161" spans="2:25" x14ac:dyDescent="0.35">
      <c r="B161" s="183"/>
      <c r="C161" s="182"/>
      <c r="D161" s="181"/>
      <c r="E161" s="180" t="s">
        <v>229</v>
      </c>
      <c r="F161" s="179"/>
      <c r="G161" s="178"/>
      <c r="H161" s="167" t="str">
        <f>(IF(G161="","",G161-F161))</f>
        <v/>
      </c>
      <c r="I161" s="177" t="str">
        <f>IF(H161="","",H161/F161)</f>
        <v/>
      </c>
      <c r="J161" s="172"/>
      <c r="K161" s="171"/>
      <c r="L161" s="170" t="str">
        <f>(IF(K161="","",K161-J161))</f>
        <v/>
      </c>
      <c r="M161" s="176" t="str">
        <f>IF(L161="","",L161/J161)</f>
        <v/>
      </c>
      <c r="N161" s="175"/>
      <c r="O161" s="174" t="str">
        <f>IF(K161="","",(G161*K161)/1000000)</f>
        <v/>
      </c>
      <c r="P161" s="173" t="str">
        <f>(IF(O161="","",O161-N161))</f>
        <v/>
      </c>
      <c r="Q161" s="166" t="str">
        <f>IF(P161="","",P161/N161)</f>
        <v/>
      </c>
      <c r="R161" s="172"/>
      <c r="S161" s="171"/>
      <c r="T161" s="170" t="str">
        <f>(IF(S161="","",S161-R161))</f>
        <v/>
      </c>
      <c r="U161" s="166" t="str">
        <f>IF(T161="","",T161/R161)</f>
        <v/>
      </c>
      <c r="V161" s="169" t="str">
        <f>IF(R161="","",(F161*R161)/1000000)</f>
        <v/>
      </c>
      <c r="W161" s="168" t="str">
        <f>IF(S161="","",(G161*S161)/1000000)</f>
        <v/>
      </c>
      <c r="X161" s="167" t="str">
        <f>(IF(W161="","",W161-V161))</f>
        <v/>
      </c>
      <c r="Y161" s="166" t="str">
        <f>IF(X161="","",X161/V161)</f>
        <v/>
      </c>
    </row>
    <row r="162" spans="2:25" x14ac:dyDescent="0.35">
      <c r="B162" s="165"/>
      <c r="C162" s="164"/>
      <c r="D162" s="163"/>
      <c r="E162" s="162" t="s">
        <v>228</v>
      </c>
      <c r="F162" s="161"/>
      <c r="G162" s="160"/>
      <c r="H162" s="149" t="str">
        <f>(IF(G162="","",G162-F162))</f>
        <v/>
      </c>
      <c r="I162" s="159" t="str">
        <f>IF(H162="","",H162/F162)</f>
        <v/>
      </c>
      <c r="J162" s="154"/>
      <c r="K162" s="153"/>
      <c r="L162" s="152" t="str">
        <f>(IF(K162="","",K162-J162))</f>
        <v/>
      </c>
      <c r="M162" s="158" t="str">
        <f>IF(L162="","",L162/J162)</f>
        <v/>
      </c>
      <c r="N162" s="157"/>
      <c r="O162" s="156" t="str">
        <f>IF(K162="","",(G162*K162)/1000000)</f>
        <v/>
      </c>
      <c r="P162" s="155" t="str">
        <f>(IF(O162="","",O162-N162))</f>
        <v/>
      </c>
      <c r="Q162" s="148" t="str">
        <f>IF(P162="","",P162/N162)</f>
        <v/>
      </c>
      <c r="R162" s="154"/>
      <c r="S162" s="153"/>
      <c r="T162" s="152" t="str">
        <f>(IF(S162="","",S162-R162))</f>
        <v/>
      </c>
      <c r="U162" s="148" t="str">
        <f>IF(T162="","",T162/R162)</f>
        <v/>
      </c>
      <c r="V162" s="151" t="str">
        <f>IF(R162="","",(F162*R162)/1000000)</f>
        <v/>
      </c>
      <c r="W162" s="150" t="str">
        <f>IF(S162="","",(G162*S162)/1000000)</f>
        <v/>
      </c>
      <c r="X162" s="149" t="str">
        <f>(IF(W162="","",W162-V162))</f>
        <v/>
      </c>
      <c r="Y162" s="148" t="str">
        <f>IF(X162="","",X162/V162)</f>
        <v/>
      </c>
    </row>
    <row r="163" spans="2:25" x14ac:dyDescent="0.35">
      <c r="B163" s="147"/>
      <c r="C163" s="146"/>
      <c r="D163" s="145"/>
      <c r="E163" s="144" t="s">
        <v>227</v>
      </c>
      <c r="F163" s="143"/>
      <c r="G163" s="142"/>
      <c r="H163" s="131" t="str">
        <f>(IF(G163="","",G163-F163))</f>
        <v/>
      </c>
      <c r="I163" s="141" t="str">
        <f>IF(H163="","",H163/F163)</f>
        <v/>
      </c>
      <c r="J163" s="136"/>
      <c r="K163" s="135"/>
      <c r="L163" s="134" t="str">
        <f>(IF(K163="","",K163-J163))</f>
        <v/>
      </c>
      <c r="M163" s="140" t="str">
        <f>IF(L163="","",L163/J163)</f>
        <v/>
      </c>
      <c r="N163" s="139"/>
      <c r="O163" s="138" t="str">
        <f>IF(K163="","",(G163*K163)/1000000)</f>
        <v/>
      </c>
      <c r="P163" s="137" t="str">
        <f>(IF(O163="","",O163-N163))</f>
        <v/>
      </c>
      <c r="Q163" s="130" t="str">
        <f>IF(P163="","",P163/N163)</f>
        <v/>
      </c>
      <c r="R163" s="136"/>
      <c r="S163" s="135"/>
      <c r="T163" s="134" t="str">
        <f>(IF(S163="","",S163-R163))</f>
        <v/>
      </c>
      <c r="U163" s="130" t="str">
        <f>IF(T163="","",T163/R163)</f>
        <v/>
      </c>
      <c r="V163" s="133" t="str">
        <f>IF(R163="","",(F163*R163)/1000000)</f>
        <v/>
      </c>
      <c r="W163" s="132" t="str">
        <f>IF(S163="","",(G163*S163)/1000000)</f>
        <v/>
      </c>
      <c r="X163" s="131" t="str">
        <f>(IF(W163="","",W163-V163))</f>
        <v/>
      </c>
      <c r="Y163" s="130" t="str">
        <f>IF(X163="","",X163/V163)</f>
        <v/>
      </c>
    </row>
    <row r="164" spans="2:25" x14ac:dyDescent="0.35">
      <c r="B164" s="183"/>
      <c r="C164" s="182"/>
      <c r="D164" s="181"/>
      <c r="E164" s="180" t="s">
        <v>229</v>
      </c>
      <c r="F164" s="179"/>
      <c r="G164" s="178"/>
      <c r="H164" s="167" t="str">
        <f>(IF(G164="","",G164-F164))</f>
        <v/>
      </c>
      <c r="I164" s="177" t="str">
        <f>IF(H164="","",H164/F164)</f>
        <v/>
      </c>
      <c r="J164" s="172"/>
      <c r="K164" s="171"/>
      <c r="L164" s="170" t="str">
        <f>(IF(K164="","",K164-J164))</f>
        <v/>
      </c>
      <c r="M164" s="176" t="str">
        <f>IF(L164="","",L164/J164)</f>
        <v/>
      </c>
      <c r="N164" s="175"/>
      <c r="O164" s="174" t="str">
        <f>IF(K164="","",(G164*K164)/1000000)</f>
        <v/>
      </c>
      <c r="P164" s="173" t="str">
        <f>(IF(O164="","",O164-N164))</f>
        <v/>
      </c>
      <c r="Q164" s="166" t="str">
        <f>IF(P164="","",P164/N164)</f>
        <v/>
      </c>
      <c r="R164" s="172"/>
      <c r="S164" s="171"/>
      <c r="T164" s="170" t="str">
        <f>(IF(S164="","",S164-R164))</f>
        <v/>
      </c>
      <c r="U164" s="166" t="str">
        <f>IF(T164="","",T164/R164)</f>
        <v/>
      </c>
      <c r="V164" s="169" t="str">
        <f>IF(R164="","",(F164*R164)/1000000)</f>
        <v/>
      </c>
      <c r="W164" s="168" t="str">
        <f>IF(S164="","",(G164*S164)/1000000)</f>
        <v/>
      </c>
      <c r="X164" s="167" t="str">
        <f>(IF(W164="","",W164-V164))</f>
        <v/>
      </c>
      <c r="Y164" s="166" t="str">
        <f>IF(X164="","",X164/V164)</f>
        <v/>
      </c>
    </row>
    <row r="165" spans="2:25" x14ac:dyDescent="0.35">
      <c r="B165" s="165"/>
      <c r="C165" s="164"/>
      <c r="D165" s="163"/>
      <c r="E165" s="162" t="s">
        <v>228</v>
      </c>
      <c r="F165" s="161"/>
      <c r="G165" s="160"/>
      <c r="H165" s="149" t="str">
        <f>(IF(G165="","",G165-F165))</f>
        <v/>
      </c>
      <c r="I165" s="159" t="str">
        <f>IF(H165="","",H165/F165)</f>
        <v/>
      </c>
      <c r="J165" s="154">
        <f>J164</f>
        <v>0</v>
      </c>
      <c r="K165" s="153"/>
      <c r="L165" s="152" t="str">
        <f>(IF(K165="","",K165-J165))</f>
        <v/>
      </c>
      <c r="M165" s="158" t="str">
        <f>IF(L165="","",L165/J165)</f>
        <v/>
      </c>
      <c r="N165" s="157"/>
      <c r="O165" s="156" t="str">
        <f>IF(K165="","",(G165*K165)/1000000)</f>
        <v/>
      </c>
      <c r="P165" s="155" t="str">
        <f>(IF(O165="","",O165-N165))</f>
        <v/>
      </c>
      <c r="Q165" s="148" t="str">
        <f>IF(P165="","",P165/N165)</f>
        <v/>
      </c>
      <c r="R165" s="154"/>
      <c r="S165" s="153"/>
      <c r="T165" s="152" t="str">
        <f>(IF(S165="","",S165-R165))</f>
        <v/>
      </c>
      <c r="U165" s="148" t="str">
        <f>IF(T165="","",T165/R165)</f>
        <v/>
      </c>
      <c r="V165" s="151" t="str">
        <f>IF(R165="","",(F165*R165)/1000000)</f>
        <v/>
      </c>
      <c r="W165" s="150" t="str">
        <f>IF(S165="","",(G165*S165)/1000000)</f>
        <v/>
      </c>
      <c r="X165" s="149" t="str">
        <f>(IF(W165="","",W165-V165))</f>
        <v/>
      </c>
      <c r="Y165" s="148" t="str">
        <f>IF(X165="","",X165/V165)</f>
        <v/>
      </c>
    </row>
    <row r="166" spans="2:25" x14ac:dyDescent="0.35">
      <c r="B166" s="147"/>
      <c r="C166" s="146"/>
      <c r="D166" s="145"/>
      <c r="E166" s="144" t="s">
        <v>227</v>
      </c>
      <c r="F166" s="143"/>
      <c r="G166" s="142"/>
      <c r="H166" s="131" t="str">
        <f>(IF(G166="","",G166-F166))</f>
        <v/>
      </c>
      <c r="I166" s="141" t="str">
        <f>IF(H166="","",H166/F166)</f>
        <v/>
      </c>
      <c r="J166" s="136">
        <f>J164</f>
        <v>0</v>
      </c>
      <c r="K166" s="135"/>
      <c r="L166" s="134" t="str">
        <f>(IF(K166="","",K166-J166))</f>
        <v/>
      </c>
      <c r="M166" s="140" t="str">
        <f>IF(L166="","",L166/J166)</f>
        <v/>
      </c>
      <c r="N166" s="139"/>
      <c r="O166" s="138" t="str">
        <f>IF(K166="","",(G166*K166)/1000000)</f>
        <v/>
      </c>
      <c r="P166" s="137" t="str">
        <f>(IF(O166="","",O166-N166))</f>
        <v/>
      </c>
      <c r="Q166" s="130" t="str">
        <f>IF(P166="","",P166/N166)</f>
        <v/>
      </c>
      <c r="R166" s="136"/>
      <c r="S166" s="135"/>
      <c r="T166" s="134" t="str">
        <f>(IF(S166="","",S166-R166))</f>
        <v/>
      </c>
      <c r="U166" s="130" t="str">
        <f>IF(T166="","",T166/R166)</f>
        <v/>
      </c>
      <c r="V166" s="133" t="str">
        <f>IF(R166="","",(F166*R166)/1000000)</f>
        <v/>
      </c>
      <c r="W166" s="132" t="str">
        <f>IF(S166="","",(G166*S166)/1000000)</f>
        <v/>
      </c>
      <c r="X166" s="131" t="str">
        <f>(IF(W166="","",W166-V166))</f>
        <v/>
      </c>
      <c r="Y166" s="130" t="str">
        <f>IF(X166="","",X166/V166)</f>
        <v/>
      </c>
    </row>
    <row r="167" spans="2:25" x14ac:dyDescent="0.35">
      <c r="B167" s="183"/>
      <c r="C167" s="182"/>
      <c r="D167" s="181"/>
      <c r="E167" s="180" t="s">
        <v>229</v>
      </c>
      <c r="F167" s="179"/>
      <c r="G167" s="178"/>
      <c r="H167" s="167" t="str">
        <f>(IF(G167="","",G167-F167))</f>
        <v/>
      </c>
      <c r="I167" s="177" t="str">
        <f>IF(H167="","",H167/F167)</f>
        <v/>
      </c>
      <c r="J167" s="172"/>
      <c r="K167" s="171"/>
      <c r="L167" s="170" t="str">
        <f>(IF(K167="","",K167-J167))</f>
        <v/>
      </c>
      <c r="M167" s="176" t="str">
        <f>IF(L167="","",L167/J167)</f>
        <v/>
      </c>
      <c r="N167" s="175"/>
      <c r="O167" s="174" t="str">
        <f>IF(K167="","",(G167*K167)/1000000)</f>
        <v/>
      </c>
      <c r="P167" s="173" t="str">
        <f>(IF(O167="","",O167-N167))</f>
        <v/>
      </c>
      <c r="Q167" s="166" t="str">
        <f>IF(P167="","",P167/N167)</f>
        <v/>
      </c>
      <c r="R167" s="172"/>
      <c r="S167" s="171"/>
      <c r="T167" s="170" t="str">
        <f>(IF(S167="","",S167-R167))</f>
        <v/>
      </c>
      <c r="U167" s="166" t="str">
        <f>IF(T167="","",T167/R167)</f>
        <v/>
      </c>
      <c r="V167" s="169" t="str">
        <f>IF(R167="","",(F167*R167)/1000000)</f>
        <v/>
      </c>
      <c r="W167" s="168" t="str">
        <f>IF(S167="","",(G167*S167)/1000000)</f>
        <v/>
      </c>
      <c r="X167" s="167" t="str">
        <f>(IF(W167="","",W167-V167))</f>
        <v/>
      </c>
      <c r="Y167" s="166" t="str">
        <f>IF(X167="","",X167/V167)</f>
        <v/>
      </c>
    </row>
    <row r="168" spans="2:25" x14ac:dyDescent="0.35">
      <c r="B168" s="165"/>
      <c r="C168" s="164"/>
      <c r="D168" s="163"/>
      <c r="E168" s="162" t="s">
        <v>228</v>
      </c>
      <c r="F168" s="161"/>
      <c r="G168" s="160"/>
      <c r="H168" s="149" t="str">
        <f>(IF(G168="","",G168-F168))</f>
        <v/>
      </c>
      <c r="I168" s="159" t="str">
        <f>IF(H168="","",H168/F168)</f>
        <v/>
      </c>
      <c r="J168" s="154">
        <f>J167</f>
        <v>0</v>
      </c>
      <c r="K168" s="153"/>
      <c r="L168" s="152" t="str">
        <f>(IF(K168="","",K168-J168))</f>
        <v/>
      </c>
      <c r="M168" s="158" t="str">
        <f>IF(L168="","",L168/J168)</f>
        <v/>
      </c>
      <c r="N168" s="157"/>
      <c r="O168" s="156" t="str">
        <f>IF(K168="","",(G168*K168)/1000000)</f>
        <v/>
      </c>
      <c r="P168" s="155" t="str">
        <f>(IF(O168="","",O168-N168))</f>
        <v/>
      </c>
      <c r="Q168" s="148" t="str">
        <f>IF(P168="","",P168/N168)</f>
        <v/>
      </c>
      <c r="R168" s="154"/>
      <c r="S168" s="153"/>
      <c r="T168" s="152" t="str">
        <f>(IF(S168="","",S168-R168))</f>
        <v/>
      </c>
      <c r="U168" s="148" t="str">
        <f>IF(T168="","",T168/R168)</f>
        <v/>
      </c>
      <c r="V168" s="151" t="str">
        <f>IF(R168="","",(F168*R168)/1000000)</f>
        <v/>
      </c>
      <c r="W168" s="150" t="str">
        <f>IF(S168="","",(G168*S168)/1000000)</f>
        <v/>
      </c>
      <c r="X168" s="149" t="str">
        <f>(IF(W168="","",W168-V168))</f>
        <v/>
      </c>
      <c r="Y168" s="148" t="str">
        <f>IF(X168="","",X168/V168)</f>
        <v/>
      </c>
    </row>
    <row r="169" spans="2:25" x14ac:dyDescent="0.35">
      <c r="B169" s="147"/>
      <c r="C169" s="146"/>
      <c r="D169" s="145"/>
      <c r="E169" s="144" t="s">
        <v>227</v>
      </c>
      <c r="F169" s="143"/>
      <c r="G169" s="142"/>
      <c r="H169" s="131" t="str">
        <f>(IF(G169="","",G169-F169))</f>
        <v/>
      </c>
      <c r="I169" s="141" t="str">
        <f>IF(H169="","",H169/F169)</f>
        <v/>
      </c>
      <c r="J169" s="136">
        <f>J167</f>
        <v>0</v>
      </c>
      <c r="K169" s="135"/>
      <c r="L169" s="134" t="str">
        <f>(IF(K169="","",K169-J169))</f>
        <v/>
      </c>
      <c r="M169" s="140" t="str">
        <f>IF(L169="","",L169/J169)</f>
        <v/>
      </c>
      <c r="N169" s="139"/>
      <c r="O169" s="138" t="str">
        <f>IF(K169="","",(G169*K169)/1000000)</f>
        <v/>
      </c>
      <c r="P169" s="137" t="str">
        <f>(IF(O169="","",O169-N169))</f>
        <v/>
      </c>
      <c r="Q169" s="130" t="str">
        <f>IF(P169="","",P169/N169)</f>
        <v/>
      </c>
      <c r="R169" s="136"/>
      <c r="S169" s="135"/>
      <c r="T169" s="134" t="str">
        <f>(IF(S169="","",S169-R169))</f>
        <v/>
      </c>
      <c r="U169" s="130" t="str">
        <f>IF(T169="","",T169/R169)</f>
        <v/>
      </c>
      <c r="V169" s="133" t="str">
        <f>IF(R169="","",(F169*R169)/1000000)</f>
        <v/>
      </c>
      <c r="W169" s="132" t="str">
        <f>IF(S169="","",(G169*S169)/1000000)</f>
        <v/>
      </c>
      <c r="X169" s="131" t="str">
        <f>(IF(W169="","",W169-V169))</f>
        <v/>
      </c>
      <c r="Y169" s="130" t="str">
        <f>IF(X169="","",X169/V169)</f>
        <v/>
      </c>
    </row>
    <row r="170" spans="2:25" x14ac:dyDescent="0.35">
      <c r="B170" s="183"/>
      <c r="C170" s="182"/>
      <c r="D170" s="181"/>
      <c r="E170" s="180" t="s">
        <v>229</v>
      </c>
      <c r="F170" s="179"/>
      <c r="G170" s="178"/>
      <c r="H170" s="167" t="str">
        <f>(IF(G170="","",G170-F170))</f>
        <v/>
      </c>
      <c r="I170" s="177" t="str">
        <f>IF(H170="","",H170/F170)</f>
        <v/>
      </c>
      <c r="J170" s="172"/>
      <c r="K170" s="171"/>
      <c r="L170" s="170" t="str">
        <f>(IF(K170="","",K170-J170))</f>
        <v/>
      </c>
      <c r="M170" s="176" t="str">
        <f>IF(L170="","",L170/J170)</f>
        <v/>
      </c>
      <c r="N170" s="175"/>
      <c r="O170" s="174" t="str">
        <f>IF(K170="","",(G170*K170)/1000000)</f>
        <v/>
      </c>
      <c r="P170" s="173" t="str">
        <f>(IF(O170="","",O170-N170))</f>
        <v/>
      </c>
      <c r="Q170" s="166" t="str">
        <f>IF(P170="","",P170/N170)</f>
        <v/>
      </c>
      <c r="R170" s="172"/>
      <c r="S170" s="171"/>
      <c r="T170" s="170" t="str">
        <f>(IF(S170="","",S170-R170))</f>
        <v/>
      </c>
      <c r="U170" s="166" t="str">
        <f>IF(T170="","",T170/R170)</f>
        <v/>
      </c>
      <c r="V170" s="169" t="str">
        <f>IF(R170="","",(F170*R170)/1000000)</f>
        <v/>
      </c>
      <c r="W170" s="168" t="str">
        <f>IF(S170="","",(G170*S170)/1000000)</f>
        <v/>
      </c>
      <c r="X170" s="167" t="str">
        <f>(IF(W170="","",W170-V170))</f>
        <v/>
      </c>
      <c r="Y170" s="166" t="str">
        <f>IF(X170="","",X170/V170)</f>
        <v/>
      </c>
    </row>
    <row r="171" spans="2:25" x14ac:dyDescent="0.35">
      <c r="B171" s="165"/>
      <c r="C171" s="164"/>
      <c r="D171" s="163"/>
      <c r="E171" s="162" t="s">
        <v>228</v>
      </c>
      <c r="F171" s="161"/>
      <c r="G171" s="160"/>
      <c r="H171" s="149" t="str">
        <f>(IF(G171="","",G171-F171))</f>
        <v/>
      </c>
      <c r="I171" s="159" t="str">
        <f>IF(H171="","",H171/F171)</f>
        <v/>
      </c>
      <c r="J171" s="154">
        <f>J170</f>
        <v>0</v>
      </c>
      <c r="K171" s="153"/>
      <c r="L171" s="152" t="str">
        <f>(IF(K171="","",K171-J171))</f>
        <v/>
      </c>
      <c r="M171" s="158" t="str">
        <f>IF(L171="","",L171/J171)</f>
        <v/>
      </c>
      <c r="N171" s="157"/>
      <c r="O171" s="156" t="str">
        <f>IF(K171="","",(G171*K171)/1000000)</f>
        <v/>
      </c>
      <c r="P171" s="155" t="str">
        <f>(IF(O171="","",O171-N171))</f>
        <v/>
      </c>
      <c r="Q171" s="148" t="str">
        <f>IF(P171="","",P171/N171)</f>
        <v/>
      </c>
      <c r="R171" s="154"/>
      <c r="S171" s="153"/>
      <c r="T171" s="152" t="str">
        <f>(IF(S171="","",S171-R171))</f>
        <v/>
      </c>
      <c r="U171" s="148" t="str">
        <f>IF(T171="","",T171/R171)</f>
        <v/>
      </c>
      <c r="V171" s="151" t="str">
        <f>IF(R171="","",(F171*R171)/1000000)</f>
        <v/>
      </c>
      <c r="W171" s="150" t="str">
        <f>IF(S171="","",(G171*S171)/1000000)</f>
        <v/>
      </c>
      <c r="X171" s="149" t="str">
        <f>(IF(W171="","",W171-V171))</f>
        <v/>
      </c>
      <c r="Y171" s="148" t="str">
        <f>IF(X171="","",X171/V171)</f>
        <v/>
      </c>
    </row>
    <row r="172" spans="2:25" x14ac:dyDescent="0.35">
      <c r="B172" s="147"/>
      <c r="C172" s="146"/>
      <c r="D172" s="145"/>
      <c r="E172" s="144" t="s">
        <v>227</v>
      </c>
      <c r="F172" s="143"/>
      <c r="G172" s="142"/>
      <c r="H172" s="131" t="str">
        <f>(IF(G172="","",G172-F172))</f>
        <v/>
      </c>
      <c r="I172" s="141" t="str">
        <f>IF(H172="","",H172/F172)</f>
        <v/>
      </c>
      <c r="J172" s="136">
        <f>J170</f>
        <v>0</v>
      </c>
      <c r="K172" s="135"/>
      <c r="L172" s="134" t="str">
        <f>(IF(K172="","",K172-J172))</f>
        <v/>
      </c>
      <c r="M172" s="140" t="str">
        <f>IF(L172="","",L172/J172)</f>
        <v/>
      </c>
      <c r="N172" s="139"/>
      <c r="O172" s="138" t="str">
        <f>IF(K172="","",(G172*K172)/1000000)</f>
        <v/>
      </c>
      <c r="P172" s="137" t="str">
        <f>(IF(O172="","",O172-N172))</f>
        <v/>
      </c>
      <c r="Q172" s="130" t="str">
        <f>IF(P172="","",P172/N172)</f>
        <v/>
      </c>
      <c r="R172" s="136"/>
      <c r="S172" s="135"/>
      <c r="T172" s="134" t="str">
        <f>(IF(S172="","",S172-R172))</f>
        <v/>
      </c>
      <c r="U172" s="130" t="str">
        <f>IF(T172="","",T172/R172)</f>
        <v/>
      </c>
      <c r="V172" s="133" t="str">
        <f>IF(R172="","",(F172*R172)/1000000)</f>
        <v/>
      </c>
      <c r="W172" s="132" t="str">
        <f>IF(S172="","",(G172*S172)/1000000)</f>
        <v/>
      </c>
      <c r="X172" s="131" t="str">
        <f>(IF(W172="","",W172-V172))</f>
        <v/>
      </c>
      <c r="Y172" s="130" t="str">
        <f>IF(X172="","",X172/V172)</f>
        <v/>
      </c>
    </row>
    <row r="173" spans="2:25" x14ac:dyDescent="0.35">
      <c r="B173" s="183"/>
      <c r="C173" s="182"/>
      <c r="D173" s="181"/>
      <c r="E173" s="180" t="s">
        <v>229</v>
      </c>
      <c r="F173" s="179"/>
      <c r="G173" s="178"/>
      <c r="H173" s="167" t="str">
        <f>(IF(G173="","",G173-F173))</f>
        <v/>
      </c>
      <c r="I173" s="177" t="str">
        <f>IF(H173="","",H173/F173)</f>
        <v/>
      </c>
      <c r="J173" s="172"/>
      <c r="K173" s="171"/>
      <c r="L173" s="170" t="str">
        <f>(IF(K173="","",K173-J173))</f>
        <v/>
      </c>
      <c r="M173" s="176" t="str">
        <f>IF(L173="","",L173/J173)</f>
        <v/>
      </c>
      <c r="N173" s="175"/>
      <c r="O173" s="174" t="str">
        <f>IF(K173="","",(G173*K173)/1000000)</f>
        <v/>
      </c>
      <c r="P173" s="173" t="str">
        <f>(IF(O173="","",O173-N173))</f>
        <v/>
      </c>
      <c r="Q173" s="166" t="str">
        <f>IF(P173="","",P173/N173)</f>
        <v/>
      </c>
      <c r="R173" s="172"/>
      <c r="S173" s="171"/>
      <c r="T173" s="170" t="str">
        <f>(IF(S173="","",S173-R173))</f>
        <v/>
      </c>
      <c r="U173" s="166" t="str">
        <f>IF(T173="","",T173/R173)</f>
        <v/>
      </c>
      <c r="V173" s="169" t="str">
        <f>IF(R173="","",(F173*R173)/1000000)</f>
        <v/>
      </c>
      <c r="W173" s="168" t="str">
        <f>IF(S173="","",(G173*S173)/1000000)</f>
        <v/>
      </c>
      <c r="X173" s="167" t="str">
        <f>(IF(W173="","",W173-V173))</f>
        <v/>
      </c>
      <c r="Y173" s="166" t="str">
        <f>IF(X173="","",X173/V173)</f>
        <v/>
      </c>
    </row>
    <row r="174" spans="2:25" x14ac:dyDescent="0.35">
      <c r="B174" s="165"/>
      <c r="C174" s="164"/>
      <c r="D174" s="163"/>
      <c r="E174" s="162" t="s">
        <v>228</v>
      </c>
      <c r="F174" s="161"/>
      <c r="G174" s="160"/>
      <c r="H174" s="149" t="str">
        <f>(IF(G174="","",G174-F174))</f>
        <v/>
      </c>
      <c r="I174" s="159" t="str">
        <f>IF(H174="","",H174/F174)</f>
        <v/>
      </c>
      <c r="J174" s="154">
        <f>J173</f>
        <v>0</v>
      </c>
      <c r="K174" s="153"/>
      <c r="L174" s="152" t="str">
        <f>(IF(K174="","",K174-J174))</f>
        <v/>
      </c>
      <c r="M174" s="158" t="str">
        <f>IF(L174="","",L174/J174)</f>
        <v/>
      </c>
      <c r="N174" s="157"/>
      <c r="O174" s="156" t="str">
        <f>IF(K174="","",(G174*K174)/1000000)</f>
        <v/>
      </c>
      <c r="P174" s="155" t="str">
        <f>(IF(O174="","",O174-N174))</f>
        <v/>
      </c>
      <c r="Q174" s="148" t="str">
        <f>IF(P174="","",P174/N174)</f>
        <v/>
      </c>
      <c r="R174" s="154"/>
      <c r="S174" s="153"/>
      <c r="T174" s="152" t="str">
        <f>(IF(S174="","",S174-R174))</f>
        <v/>
      </c>
      <c r="U174" s="148" t="str">
        <f>IF(T174="","",T174/R174)</f>
        <v/>
      </c>
      <c r="V174" s="151" t="str">
        <f>IF(R174="","",(F174*R174)/1000000)</f>
        <v/>
      </c>
      <c r="W174" s="150" t="str">
        <f>IF(S174="","",(G174*S174)/1000000)</f>
        <v/>
      </c>
      <c r="X174" s="149" t="str">
        <f>(IF(W174="","",W174-V174))</f>
        <v/>
      </c>
      <c r="Y174" s="148" t="str">
        <f>IF(X174="","",X174/V174)</f>
        <v/>
      </c>
    </row>
    <row r="175" spans="2:25" x14ac:dyDescent="0.35">
      <c r="B175" s="147"/>
      <c r="C175" s="146"/>
      <c r="D175" s="145"/>
      <c r="E175" s="144" t="s">
        <v>227</v>
      </c>
      <c r="F175" s="143"/>
      <c r="G175" s="142"/>
      <c r="H175" s="131" t="str">
        <f>(IF(G175="","",G175-F175))</f>
        <v/>
      </c>
      <c r="I175" s="141" t="str">
        <f>IF(H175="","",H175/F175)</f>
        <v/>
      </c>
      <c r="J175" s="136">
        <f>J173</f>
        <v>0</v>
      </c>
      <c r="K175" s="135"/>
      <c r="L175" s="134" t="str">
        <f>(IF(K175="","",K175-J175))</f>
        <v/>
      </c>
      <c r="M175" s="140" t="str">
        <f>IF(L175="","",L175/J175)</f>
        <v/>
      </c>
      <c r="N175" s="139"/>
      <c r="O175" s="138" t="str">
        <f>IF(K175="","",(G175*K175)/1000000)</f>
        <v/>
      </c>
      <c r="P175" s="137" t="str">
        <f>(IF(O175="","",O175-N175))</f>
        <v/>
      </c>
      <c r="Q175" s="130" t="str">
        <f>IF(P175="","",P175/N175)</f>
        <v/>
      </c>
      <c r="R175" s="136"/>
      <c r="S175" s="135"/>
      <c r="T175" s="134" t="str">
        <f>(IF(S175="","",S175-R175))</f>
        <v/>
      </c>
      <c r="U175" s="130" t="str">
        <f>IF(T175="","",T175/R175)</f>
        <v/>
      </c>
      <c r="V175" s="133" t="str">
        <f>IF(R175="","",(F175*R175)/1000000)</f>
        <v/>
      </c>
      <c r="W175" s="132" t="str">
        <f>IF(S175="","",(G175*S175)/1000000)</f>
        <v/>
      </c>
      <c r="X175" s="131" t="str">
        <f>(IF(W175="","",W175-V175))</f>
        <v/>
      </c>
      <c r="Y175" s="130" t="str">
        <f>IF(X175="","",X175/V175)</f>
        <v/>
      </c>
    </row>
    <row r="176" spans="2:25" x14ac:dyDescent="0.35">
      <c r="B176" s="183"/>
      <c r="C176" s="182"/>
      <c r="D176" s="181"/>
      <c r="E176" s="180" t="s">
        <v>229</v>
      </c>
      <c r="F176" s="179"/>
      <c r="G176" s="178"/>
      <c r="H176" s="167" t="str">
        <f>(IF(G176="","",G176-F176))</f>
        <v/>
      </c>
      <c r="I176" s="177" t="str">
        <f>IF(H176="","",H176/F176)</f>
        <v/>
      </c>
      <c r="J176" s="172"/>
      <c r="K176" s="171"/>
      <c r="L176" s="170" t="str">
        <f>(IF(K176="","",K176-J176))</f>
        <v/>
      </c>
      <c r="M176" s="176" t="str">
        <f>IF(L176="","",L176/J176)</f>
        <v/>
      </c>
      <c r="N176" s="175"/>
      <c r="O176" s="174" t="str">
        <f>IF(K176="","",(G176*K176)/1000000)</f>
        <v/>
      </c>
      <c r="P176" s="173" t="str">
        <f>(IF(O176="","",O176-N176))</f>
        <v/>
      </c>
      <c r="Q176" s="166" t="str">
        <f>IF(P176="","",P176/N176)</f>
        <v/>
      </c>
      <c r="R176" s="172"/>
      <c r="S176" s="171"/>
      <c r="T176" s="170" t="str">
        <f>(IF(S176="","",S176-R176))</f>
        <v/>
      </c>
      <c r="U176" s="166" t="str">
        <f>IF(T176="","",T176/R176)</f>
        <v/>
      </c>
      <c r="V176" s="169" t="str">
        <f>IF(R176="","",(F176*R176)/1000000)</f>
        <v/>
      </c>
      <c r="W176" s="168" t="str">
        <f>IF(S176="","",(G176*S176)/1000000)</f>
        <v/>
      </c>
      <c r="X176" s="167" t="str">
        <f>(IF(W176="","",W176-V176))</f>
        <v/>
      </c>
      <c r="Y176" s="166" t="str">
        <f>IF(X176="","",X176/V176)</f>
        <v/>
      </c>
    </row>
    <row r="177" spans="2:25" x14ac:dyDescent="0.35">
      <c r="B177" s="165"/>
      <c r="C177" s="164"/>
      <c r="D177" s="163"/>
      <c r="E177" s="162" t="s">
        <v>228</v>
      </c>
      <c r="F177" s="161"/>
      <c r="G177" s="160"/>
      <c r="H177" s="149" t="str">
        <f>(IF(G177="","",G177-F177))</f>
        <v/>
      </c>
      <c r="I177" s="159" t="str">
        <f>IF(H177="","",H177/F177)</f>
        <v/>
      </c>
      <c r="J177" s="154">
        <f>J176</f>
        <v>0</v>
      </c>
      <c r="K177" s="153"/>
      <c r="L177" s="152" t="str">
        <f>(IF(K177="","",K177-J177))</f>
        <v/>
      </c>
      <c r="M177" s="158" t="str">
        <f>IF(L177="","",L177/J177)</f>
        <v/>
      </c>
      <c r="N177" s="157"/>
      <c r="O177" s="156" t="str">
        <f>IF(K177="","",(G177*K177)/1000000)</f>
        <v/>
      </c>
      <c r="P177" s="155" t="str">
        <f>(IF(O177="","",O177-N177))</f>
        <v/>
      </c>
      <c r="Q177" s="148" t="str">
        <f>IF(P177="","",P177/N177)</f>
        <v/>
      </c>
      <c r="R177" s="154"/>
      <c r="S177" s="153"/>
      <c r="T177" s="152" t="str">
        <f>(IF(S177="","",S177-R177))</f>
        <v/>
      </c>
      <c r="U177" s="148" t="str">
        <f>IF(T177="","",T177/R177)</f>
        <v/>
      </c>
      <c r="V177" s="151" t="str">
        <f>IF(R177="","",(F177*R177)/1000000)</f>
        <v/>
      </c>
      <c r="W177" s="150" t="str">
        <f>IF(S177="","",(G177*S177)/1000000)</f>
        <v/>
      </c>
      <c r="X177" s="149" t="str">
        <f>(IF(W177="","",W177-V177))</f>
        <v/>
      </c>
      <c r="Y177" s="148" t="str">
        <f>IF(X177="","",X177/V177)</f>
        <v/>
      </c>
    </row>
    <row r="178" spans="2:25" x14ac:dyDescent="0.35">
      <c r="B178" s="147"/>
      <c r="C178" s="146"/>
      <c r="D178" s="145"/>
      <c r="E178" s="144" t="s">
        <v>227</v>
      </c>
      <c r="F178" s="143"/>
      <c r="G178" s="142"/>
      <c r="H178" s="131" t="str">
        <f>(IF(G178="","",G178-F178))</f>
        <v/>
      </c>
      <c r="I178" s="141" t="str">
        <f>IF(H178="","",H178/F178)</f>
        <v/>
      </c>
      <c r="J178" s="136">
        <f>J176</f>
        <v>0</v>
      </c>
      <c r="K178" s="135"/>
      <c r="L178" s="134" t="str">
        <f>(IF(K178="","",K178-J178))</f>
        <v/>
      </c>
      <c r="M178" s="140" t="str">
        <f>IF(L178="","",L178/J178)</f>
        <v/>
      </c>
      <c r="N178" s="139"/>
      <c r="O178" s="138" t="str">
        <f>IF(K178="","",(G178*K178)/1000000)</f>
        <v/>
      </c>
      <c r="P178" s="137" t="str">
        <f>(IF(O178="","",O178-N178))</f>
        <v/>
      </c>
      <c r="Q178" s="130" t="str">
        <f>IF(P178="","",P178/N178)</f>
        <v/>
      </c>
      <c r="R178" s="136"/>
      <c r="S178" s="135"/>
      <c r="T178" s="134" t="str">
        <f>(IF(S178="","",S178-R178))</f>
        <v/>
      </c>
      <c r="U178" s="130" t="str">
        <f>IF(T178="","",T178/R178)</f>
        <v/>
      </c>
      <c r="V178" s="133" t="str">
        <f>IF(R178="","",(F178*R178)/1000000)</f>
        <v/>
      </c>
      <c r="W178" s="132" t="str">
        <f>IF(S178="","",(G178*S178)/1000000)</f>
        <v/>
      </c>
      <c r="X178" s="131" t="str">
        <f>(IF(W178="","",W178-V178))</f>
        <v/>
      </c>
      <c r="Y178" s="130" t="str">
        <f>IF(X178="","",X178/V178)</f>
        <v/>
      </c>
    </row>
    <row r="179" spans="2:25" x14ac:dyDescent="0.35">
      <c r="B179" s="183"/>
      <c r="C179" s="182"/>
      <c r="D179" s="181"/>
      <c r="E179" s="180" t="s">
        <v>229</v>
      </c>
      <c r="F179" s="179"/>
      <c r="G179" s="178"/>
      <c r="H179" s="167" t="str">
        <f>(IF(G179="","",G179-F179))</f>
        <v/>
      </c>
      <c r="I179" s="177" t="str">
        <f>IF(H179="","",H179/F179)</f>
        <v/>
      </c>
      <c r="J179" s="172"/>
      <c r="K179" s="171"/>
      <c r="L179" s="170" t="str">
        <f>(IF(K179="","",K179-J179))</f>
        <v/>
      </c>
      <c r="M179" s="176" t="str">
        <f>IF(L179="","",L179/J179)</f>
        <v/>
      </c>
      <c r="N179" s="175"/>
      <c r="O179" s="174" t="str">
        <f>IF(K179="","",(G179*K179)/1000000)</f>
        <v/>
      </c>
      <c r="P179" s="173" t="str">
        <f>(IF(O179="","",O179-N179))</f>
        <v/>
      </c>
      <c r="Q179" s="166" t="str">
        <f>IF(P179="","",P179/N179)</f>
        <v/>
      </c>
      <c r="R179" s="172"/>
      <c r="S179" s="171"/>
      <c r="T179" s="170" t="str">
        <f>(IF(S179="","",S179-R179))</f>
        <v/>
      </c>
      <c r="U179" s="166" t="str">
        <f>IF(T179="","",T179/R179)</f>
        <v/>
      </c>
      <c r="V179" s="169" t="str">
        <f>IF(R179="","",(F179*R179)/1000000)</f>
        <v/>
      </c>
      <c r="W179" s="168" t="str">
        <f>IF(S179="","",(G179*S179)/1000000)</f>
        <v/>
      </c>
      <c r="X179" s="167" t="str">
        <f>(IF(W179="","",W179-V179))</f>
        <v/>
      </c>
      <c r="Y179" s="166" t="str">
        <f>IF(X179="","",X179/V179)</f>
        <v/>
      </c>
    </row>
    <row r="180" spans="2:25" x14ac:dyDescent="0.35">
      <c r="B180" s="165"/>
      <c r="C180" s="164"/>
      <c r="D180" s="163"/>
      <c r="E180" s="162" t="s">
        <v>228</v>
      </c>
      <c r="F180" s="161"/>
      <c r="G180" s="160"/>
      <c r="H180" s="149" t="str">
        <f>(IF(G180="","",G180-F180))</f>
        <v/>
      </c>
      <c r="I180" s="159" t="str">
        <f>IF(H180="","",H180/F180)</f>
        <v/>
      </c>
      <c r="J180" s="154">
        <f>J179</f>
        <v>0</v>
      </c>
      <c r="K180" s="153"/>
      <c r="L180" s="152" t="str">
        <f>(IF(K180="","",K180-J180))</f>
        <v/>
      </c>
      <c r="M180" s="158" t="str">
        <f>IF(L180="","",L180/J180)</f>
        <v/>
      </c>
      <c r="N180" s="157"/>
      <c r="O180" s="156" t="str">
        <f>IF(K180="","",(G180*K180)/1000000)</f>
        <v/>
      </c>
      <c r="P180" s="155" t="str">
        <f>(IF(O180="","",O180-N180))</f>
        <v/>
      </c>
      <c r="Q180" s="148" t="str">
        <f>IF(P180="","",P180/N180)</f>
        <v/>
      </c>
      <c r="R180" s="154"/>
      <c r="S180" s="153"/>
      <c r="T180" s="152" t="str">
        <f>(IF(S180="","",S180-R180))</f>
        <v/>
      </c>
      <c r="U180" s="148" t="str">
        <f>IF(T180="","",T180/R180)</f>
        <v/>
      </c>
      <c r="V180" s="151" t="str">
        <f>IF(R180="","",(F180*R180)/1000000)</f>
        <v/>
      </c>
      <c r="W180" s="150" t="str">
        <f>IF(S180="","",(G180*S180)/1000000)</f>
        <v/>
      </c>
      <c r="X180" s="149" t="str">
        <f>(IF(W180="","",W180-V180))</f>
        <v/>
      </c>
      <c r="Y180" s="148" t="str">
        <f>IF(X180="","",X180/V180)</f>
        <v/>
      </c>
    </row>
    <row r="181" spans="2:25" x14ac:dyDescent="0.35">
      <c r="B181" s="147"/>
      <c r="C181" s="146"/>
      <c r="D181" s="145"/>
      <c r="E181" s="144" t="s">
        <v>227</v>
      </c>
      <c r="F181" s="143"/>
      <c r="G181" s="142"/>
      <c r="H181" s="131" t="str">
        <f>(IF(G181="","",G181-F181))</f>
        <v/>
      </c>
      <c r="I181" s="141" t="str">
        <f>IF(H181="","",H181/F181)</f>
        <v/>
      </c>
      <c r="J181" s="136">
        <f>J179</f>
        <v>0</v>
      </c>
      <c r="K181" s="135"/>
      <c r="L181" s="134" t="str">
        <f>(IF(K181="","",K181-J181))</f>
        <v/>
      </c>
      <c r="M181" s="140" t="str">
        <f>IF(L181="","",L181/J181)</f>
        <v/>
      </c>
      <c r="N181" s="139"/>
      <c r="O181" s="138" t="str">
        <f>IF(K181="","",(G181*K181)/1000000)</f>
        <v/>
      </c>
      <c r="P181" s="137" t="str">
        <f>(IF(O181="","",O181-N181))</f>
        <v/>
      </c>
      <c r="Q181" s="130" t="str">
        <f>IF(P181="","",P181/N181)</f>
        <v/>
      </c>
      <c r="R181" s="136"/>
      <c r="S181" s="135"/>
      <c r="T181" s="134" t="str">
        <f>(IF(S181="","",S181-R181))</f>
        <v/>
      </c>
      <c r="U181" s="130" t="str">
        <f>IF(T181="","",T181/R181)</f>
        <v/>
      </c>
      <c r="V181" s="133" t="str">
        <f>IF(R181="","",(F181*R181)/1000000)</f>
        <v/>
      </c>
      <c r="W181" s="132" t="str">
        <f>IF(S181="","",(G181*S181)/1000000)</f>
        <v/>
      </c>
      <c r="X181" s="131" t="str">
        <f>(IF(W181="","",W181-V181))</f>
        <v/>
      </c>
      <c r="Y181" s="130" t="str">
        <f>IF(X181="","",X181/V181)</f>
        <v/>
      </c>
    </row>
    <row r="182" spans="2:25" x14ac:dyDescent="0.35">
      <c r="B182" s="183"/>
      <c r="C182" s="182"/>
      <c r="D182" s="181"/>
      <c r="E182" s="180" t="s">
        <v>229</v>
      </c>
      <c r="F182" s="179"/>
      <c r="G182" s="178"/>
      <c r="H182" s="167" t="str">
        <f>(IF(G182="","",G182-F182))</f>
        <v/>
      </c>
      <c r="I182" s="177" t="str">
        <f>IF(H182="","",H182/F182)</f>
        <v/>
      </c>
      <c r="J182" s="172"/>
      <c r="K182" s="171"/>
      <c r="L182" s="170" t="str">
        <f>(IF(K182="","",K182-J182))</f>
        <v/>
      </c>
      <c r="M182" s="176" t="str">
        <f>IF(L182="","",L182/J182)</f>
        <v/>
      </c>
      <c r="N182" s="175"/>
      <c r="O182" s="174" t="str">
        <f>IF(K182="","",(G182*K182)/1000000)</f>
        <v/>
      </c>
      <c r="P182" s="173" t="str">
        <f>(IF(O182="","",O182-N182))</f>
        <v/>
      </c>
      <c r="Q182" s="166" t="str">
        <f>IF(P182="","",P182/N182)</f>
        <v/>
      </c>
      <c r="R182" s="172"/>
      <c r="S182" s="171"/>
      <c r="T182" s="170" t="str">
        <f>(IF(S182="","",S182-R182))</f>
        <v/>
      </c>
      <c r="U182" s="166" t="str">
        <f>IF(T182="","",T182/R182)</f>
        <v/>
      </c>
      <c r="V182" s="169" t="str">
        <f>IF(R182="","",(F182*R182)/1000000)</f>
        <v/>
      </c>
      <c r="W182" s="168" t="str">
        <f>IF(S182="","",(G182*S182)/1000000)</f>
        <v/>
      </c>
      <c r="X182" s="167" t="str">
        <f>(IF(W182="","",W182-V182))</f>
        <v/>
      </c>
      <c r="Y182" s="166" t="str">
        <f>IF(X182="","",X182/V182)</f>
        <v/>
      </c>
    </row>
    <row r="183" spans="2:25" x14ac:dyDescent="0.35">
      <c r="B183" s="165"/>
      <c r="C183" s="164"/>
      <c r="D183" s="163"/>
      <c r="E183" s="162" t="s">
        <v>228</v>
      </c>
      <c r="F183" s="161"/>
      <c r="G183" s="160"/>
      <c r="H183" s="149" t="str">
        <f>(IF(G183="","",G183-F183))</f>
        <v/>
      </c>
      <c r="I183" s="159" t="str">
        <f>IF(H183="","",H183/F183)</f>
        <v/>
      </c>
      <c r="J183" s="154">
        <f>J182</f>
        <v>0</v>
      </c>
      <c r="K183" s="153"/>
      <c r="L183" s="152" t="str">
        <f>(IF(K183="","",K183-J183))</f>
        <v/>
      </c>
      <c r="M183" s="158" t="str">
        <f>IF(L183="","",L183/J183)</f>
        <v/>
      </c>
      <c r="N183" s="157"/>
      <c r="O183" s="156" t="str">
        <f>IF(K183="","",(G183*K183)/1000000)</f>
        <v/>
      </c>
      <c r="P183" s="155" t="str">
        <f>(IF(O183="","",O183-N183))</f>
        <v/>
      </c>
      <c r="Q183" s="148" t="str">
        <f>IF(P183="","",P183/N183)</f>
        <v/>
      </c>
      <c r="R183" s="154"/>
      <c r="S183" s="153"/>
      <c r="T183" s="152" t="str">
        <f>(IF(S183="","",S183-R183))</f>
        <v/>
      </c>
      <c r="U183" s="148" t="str">
        <f>IF(T183="","",T183/R183)</f>
        <v/>
      </c>
      <c r="V183" s="151" t="str">
        <f>IF(R183="","",(F183*R183)/1000000)</f>
        <v/>
      </c>
      <c r="W183" s="150" t="str">
        <f>IF(S183="","",(G183*S183)/1000000)</f>
        <v/>
      </c>
      <c r="X183" s="149" t="str">
        <f>(IF(W183="","",W183-V183))</f>
        <v/>
      </c>
      <c r="Y183" s="148" t="str">
        <f>IF(X183="","",X183/V183)</f>
        <v/>
      </c>
    </row>
    <row r="184" spans="2:25" x14ac:dyDescent="0.35">
      <c r="B184" s="147"/>
      <c r="C184" s="146"/>
      <c r="D184" s="145"/>
      <c r="E184" s="144" t="s">
        <v>227</v>
      </c>
      <c r="F184" s="143"/>
      <c r="G184" s="142"/>
      <c r="H184" s="131" t="str">
        <f>(IF(G184="","",G184-F184))</f>
        <v/>
      </c>
      <c r="I184" s="141" t="str">
        <f>IF(H184="","",H184/F184)</f>
        <v/>
      </c>
      <c r="J184" s="136">
        <f>J182</f>
        <v>0</v>
      </c>
      <c r="K184" s="135"/>
      <c r="L184" s="134" t="str">
        <f>(IF(K184="","",K184-J184))</f>
        <v/>
      </c>
      <c r="M184" s="140" t="str">
        <f>IF(L184="","",L184/J184)</f>
        <v/>
      </c>
      <c r="N184" s="139"/>
      <c r="O184" s="138" t="str">
        <f>IF(K184="","",(G184*K184)/1000000)</f>
        <v/>
      </c>
      <c r="P184" s="137" t="str">
        <f>(IF(O184="","",O184-N184))</f>
        <v/>
      </c>
      <c r="Q184" s="130" t="str">
        <f>IF(P184="","",P184/N184)</f>
        <v/>
      </c>
      <c r="R184" s="136"/>
      <c r="S184" s="135"/>
      <c r="T184" s="134" t="str">
        <f>(IF(S184="","",S184-R184))</f>
        <v/>
      </c>
      <c r="U184" s="130" t="str">
        <f>IF(T184="","",T184/R184)</f>
        <v/>
      </c>
      <c r="V184" s="133" t="str">
        <f>IF(R184="","",(F184*R184)/1000000)</f>
        <v/>
      </c>
      <c r="W184" s="132" t="str">
        <f>IF(S184="","",(G184*S184)/1000000)</f>
        <v/>
      </c>
      <c r="X184" s="131" t="str">
        <f>(IF(W184="","",W184-V184))</f>
        <v/>
      </c>
      <c r="Y184" s="130" t="str">
        <f>IF(X184="","",X184/V184)</f>
        <v/>
      </c>
    </row>
    <row r="185" spans="2:25" x14ac:dyDescent="0.35">
      <c r="B185" s="183"/>
      <c r="C185" s="182"/>
      <c r="D185" s="181"/>
      <c r="E185" s="180" t="s">
        <v>229</v>
      </c>
      <c r="F185" s="179"/>
      <c r="G185" s="178"/>
      <c r="H185" s="167" t="str">
        <f>(IF(G185="","",G185-F185))</f>
        <v/>
      </c>
      <c r="I185" s="177" t="str">
        <f>IF(H185="","",H185/F185)</f>
        <v/>
      </c>
      <c r="J185" s="172"/>
      <c r="K185" s="171"/>
      <c r="L185" s="170" t="str">
        <f>(IF(K185="","",K185-J185))</f>
        <v/>
      </c>
      <c r="M185" s="176" t="str">
        <f>IF(L185="","",L185/J185)</f>
        <v/>
      </c>
      <c r="N185" s="175"/>
      <c r="O185" s="174" t="str">
        <f>IF(K185="","",(G185*K185)/1000000)</f>
        <v/>
      </c>
      <c r="P185" s="173" t="str">
        <f>(IF(O185="","",O185-N185))</f>
        <v/>
      </c>
      <c r="Q185" s="166" t="str">
        <f>IF(P185="","",P185/N185)</f>
        <v/>
      </c>
      <c r="R185" s="172"/>
      <c r="S185" s="171"/>
      <c r="T185" s="170" t="str">
        <f>(IF(S185="","",S185-R185))</f>
        <v/>
      </c>
      <c r="U185" s="166" t="str">
        <f>IF(T185="","",T185/R185)</f>
        <v/>
      </c>
      <c r="V185" s="169" t="str">
        <f>IF(R185="","",(F185*R185)/1000000)</f>
        <v/>
      </c>
      <c r="W185" s="168" t="str">
        <f>IF(S185="","",(G185*S185)/1000000)</f>
        <v/>
      </c>
      <c r="X185" s="167" t="str">
        <f>(IF(W185="","",W185-V185))</f>
        <v/>
      </c>
      <c r="Y185" s="166" t="str">
        <f>IF(X185="","",X185/V185)</f>
        <v/>
      </c>
    </row>
    <row r="186" spans="2:25" x14ac:dyDescent="0.35">
      <c r="B186" s="165"/>
      <c r="C186" s="164"/>
      <c r="D186" s="163"/>
      <c r="E186" s="162" t="s">
        <v>228</v>
      </c>
      <c r="F186" s="161"/>
      <c r="G186" s="160"/>
      <c r="H186" s="149" t="str">
        <f>(IF(G186="","",G186-F186))</f>
        <v/>
      </c>
      <c r="I186" s="159" t="str">
        <f>IF(H186="","",H186/F186)</f>
        <v/>
      </c>
      <c r="J186" s="154">
        <f>J185</f>
        <v>0</v>
      </c>
      <c r="K186" s="153"/>
      <c r="L186" s="152" t="str">
        <f>(IF(K186="","",K186-J186))</f>
        <v/>
      </c>
      <c r="M186" s="158" t="str">
        <f>IF(L186="","",L186/J186)</f>
        <v/>
      </c>
      <c r="N186" s="157"/>
      <c r="O186" s="156" t="str">
        <f>IF(K186="","",(G186*K186)/1000000)</f>
        <v/>
      </c>
      <c r="P186" s="155" t="str">
        <f>(IF(O186="","",O186-N186))</f>
        <v/>
      </c>
      <c r="Q186" s="148" t="str">
        <f>IF(P186="","",P186/N186)</f>
        <v/>
      </c>
      <c r="R186" s="154"/>
      <c r="S186" s="153"/>
      <c r="T186" s="152" t="str">
        <f>(IF(S186="","",S186-R186))</f>
        <v/>
      </c>
      <c r="U186" s="148" t="str">
        <f>IF(T186="","",T186/R186)</f>
        <v/>
      </c>
      <c r="V186" s="151" t="str">
        <f>IF(R186="","",(F186*R186)/1000000)</f>
        <v/>
      </c>
      <c r="W186" s="150" t="str">
        <f>IF(S186="","",(G186*S186)/1000000)</f>
        <v/>
      </c>
      <c r="X186" s="149" t="str">
        <f>(IF(W186="","",W186-V186))</f>
        <v/>
      </c>
      <c r="Y186" s="148" t="str">
        <f>IF(X186="","",X186/V186)</f>
        <v/>
      </c>
    </row>
    <row r="187" spans="2:25" x14ac:dyDescent="0.35">
      <c r="B187" s="147"/>
      <c r="C187" s="146"/>
      <c r="D187" s="145"/>
      <c r="E187" s="144" t="s">
        <v>227</v>
      </c>
      <c r="F187" s="143"/>
      <c r="G187" s="142"/>
      <c r="H187" s="131" t="str">
        <f>(IF(G187="","",G187-F187))</f>
        <v/>
      </c>
      <c r="I187" s="141" t="str">
        <f>IF(H187="","",H187/F187)</f>
        <v/>
      </c>
      <c r="J187" s="136">
        <f>J185</f>
        <v>0</v>
      </c>
      <c r="K187" s="135"/>
      <c r="L187" s="134" t="str">
        <f>(IF(K187="","",K187-J187))</f>
        <v/>
      </c>
      <c r="M187" s="140" t="str">
        <f>IF(L187="","",L187/J187)</f>
        <v/>
      </c>
      <c r="N187" s="139"/>
      <c r="O187" s="138" t="str">
        <f>IF(K187="","",(G187*K187)/1000000)</f>
        <v/>
      </c>
      <c r="P187" s="137" t="str">
        <f>(IF(O187="","",O187-N187))</f>
        <v/>
      </c>
      <c r="Q187" s="130" t="str">
        <f>IF(P187="","",P187/N187)</f>
        <v/>
      </c>
      <c r="R187" s="136"/>
      <c r="S187" s="135"/>
      <c r="T187" s="134" t="str">
        <f>(IF(S187="","",S187-R187))</f>
        <v/>
      </c>
      <c r="U187" s="130" t="str">
        <f>IF(T187="","",T187/R187)</f>
        <v/>
      </c>
      <c r="V187" s="133" t="str">
        <f>IF(R187="","",(F187*R187)/1000000)</f>
        <v/>
      </c>
      <c r="W187" s="132" t="str">
        <f>IF(S187="","",(G187*S187)/1000000)</f>
        <v/>
      </c>
      <c r="X187" s="131" t="str">
        <f>(IF(W187="","",W187-V187))</f>
        <v/>
      </c>
      <c r="Y187" s="130" t="str">
        <f>IF(X187="","",X187/V187)</f>
        <v/>
      </c>
    </row>
    <row r="188" spans="2:25" x14ac:dyDescent="0.35">
      <c r="B188" s="183"/>
      <c r="C188" s="182"/>
      <c r="D188" s="181"/>
      <c r="E188" s="180" t="s">
        <v>229</v>
      </c>
      <c r="F188" s="179"/>
      <c r="G188" s="178"/>
      <c r="H188" s="167" t="str">
        <f>(IF(G188="","",G188-F188))</f>
        <v/>
      </c>
      <c r="I188" s="177" t="str">
        <f>IF(H188="","",H188/F188)</f>
        <v/>
      </c>
      <c r="J188" s="172"/>
      <c r="K188" s="171"/>
      <c r="L188" s="170" t="str">
        <f>(IF(K188="","",K188-J188))</f>
        <v/>
      </c>
      <c r="M188" s="176" t="str">
        <f>IF(L188="","",L188/J188)</f>
        <v/>
      </c>
      <c r="N188" s="175"/>
      <c r="O188" s="174" t="str">
        <f>IF(K188="","",(G188*K188)/1000000)</f>
        <v/>
      </c>
      <c r="P188" s="173" t="str">
        <f>(IF(O188="","",O188-N188))</f>
        <v/>
      </c>
      <c r="Q188" s="166" t="str">
        <f>IF(P188="","",P188/N188)</f>
        <v/>
      </c>
      <c r="R188" s="172"/>
      <c r="S188" s="171"/>
      <c r="T188" s="170" t="str">
        <f>(IF(S188="","",S188-R188))</f>
        <v/>
      </c>
      <c r="U188" s="166" t="str">
        <f>IF(T188="","",T188/R188)</f>
        <v/>
      </c>
      <c r="V188" s="169" t="str">
        <f>IF(R188="","",(F188*R188)/1000000)</f>
        <v/>
      </c>
      <c r="W188" s="168" t="str">
        <f>IF(S188="","",(G188*S188)/1000000)</f>
        <v/>
      </c>
      <c r="X188" s="167" t="str">
        <f>(IF(W188="","",W188-V188))</f>
        <v/>
      </c>
      <c r="Y188" s="166" t="str">
        <f>IF(X188="","",X188/V188)</f>
        <v/>
      </c>
    </row>
    <row r="189" spans="2:25" x14ac:dyDescent="0.35">
      <c r="B189" s="165"/>
      <c r="C189" s="164"/>
      <c r="D189" s="163"/>
      <c r="E189" s="162" t="s">
        <v>228</v>
      </c>
      <c r="F189" s="161"/>
      <c r="G189" s="160"/>
      <c r="H189" s="149" t="str">
        <f>(IF(G189="","",G189-F189))</f>
        <v/>
      </c>
      <c r="I189" s="159" t="str">
        <f>IF(H189="","",H189/F189)</f>
        <v/>
      </c>
      <c r="J189" s="154">
        <f>J188</f>
        <v>0</v>
      </c>
      <c r="K189" s="153"/>
      <c r="L189" s="152" t="str">
        <f>(IF(K189="","",K189-J189))</f>
        <v/>
      </c>
      <c r="M189" s="158" t="str">
        <f>IF(L189="","",L189/J189)</f>
        <v/>
      </c>
      <c r="N189" s="157"/>
      <c r="O189" s="156" t="str">
        <f>IF(K189="","",(G189*K189)/1000000)</f>
        <v/>
      </c>
      <c r="P189" s="155" t="str">
        <f>(IF(O189="","",O189-N189))</f>
        <v/>
      </c>
      <c r="Q189" s="148" t="str">
        <f>IF(P189="","",P189/N189)</f>
        <v/>
      </c>
      <c r="R189" s="154"/>
      <c r="S189" s="153"/>
      <c r="T189" s="152" t="str">
        <f>(IF(S189="","",S189-R189))</f>
        <v/>
      </c>
      <c r="U189" s="148" t="str">
        <f>IF(T189="","",T189/R189)</f>
        <v/>
      </c>
      <c r="V189" s="151" t="str">
        <f>IF(R189="","",(F189*R189)/1000000)</f>
        <v/>
      </c>
      <c r="W189" s="150" t="str">
        <f>IF(S189="","",(G189*S189)/1000000)</f>
        <v/>
      </c>
      <c r="X189" s="149" t="str">
        <f>(IF(W189="","",W189-V189))</f>
        <v/>
      </c>
      <c r="Y189" s="148" t="str">
        <f>IF(X189="","",X189/V189)</f>
        <v/>
      </c>
    </row>
    <row r="190" spans="2:25" x14ac:dyDescent="0.35">
      <c r="B190" s="147"/>
      <c r="C190" s="146"/>
      <c r="D190" s="145"/>
      <c r="E190" s="144" t="s">
        <v>227</v>
      </c>
      <c r="F190" s="143"/>
      <c r="G190" s="142"/>
      <c r="H190" s="131" t="str">
        <f>(IF(G190="","",G190-F190))</f>
        <v/>
      </c>
      <c r="I190" s="141" t="str">
        <f>IF(H190="","",H190/F190)</f>
        <v/>
      </c>
      <c r="J190" s="136">
        <f>J188</f>
        <v>0</v>
      </c>
      <c r="K190" s="135"/>
      <c r="L190" s="134" t="str">
        <f>(IF(K190="","",K190-J190))</f>
        <v/>
      </c>
      <c r="M190" s="140" t="str">
        <f>IF(L190="","",L190/J190)</f>
        <v/>
      </c>
      <c r="N190" s="139"/>
      <c r="O190" s="138" t="str">
        <f>IF(K190="","",(G190*K190)/1000000)</f>
        <v/>
      </c>
      <c r="P190" s="137" t="str">
        <f>(IF(O190="","",O190-N190))</f>
        <v/>
      </c>
      <c r="Q190" s="130" t="str">
        <f>IF(P190="","",P190/N190)</f>
        <v/>
      </c>
      <c r="R190" s="136"/>
      <c r="S190" s="135"/>
      <c r="T190" s="134" t="str">
        <f>(IF(S190="","",S190-R190))</f>
        <v/>
      </c>
      <c r="U190" s="130" t="str">
        <f>IF(T190="","",T190/R190)</f>
        <v/>
      </c>
      <c r="V190" s="133" t="str">
        <f>IF(R190="","",(F190*R190)/1000000)</f>
        <v/>
      </c>
      <c r="W190" s="132" t="str">
        <f>IF(S190="","",(G190*S190)/1000000)</f>
        <v/>
      </c>
      <c r="X190" s="131" t="str">
        <f>(IF(W190="","",W190-V190))</f>
        <v/>
      </c>
      <c r="Y190" s="130" t="str">
        <f>IF(X190="","",X190/V190)</f>
        <v/>
      </c>
    </row>
    <row r="191" spans="2:25" x14ac:dyDescent="0.35">
      <c r="B191" s="183"/>
      <c r="C191" s="182"/>
      <c r="D191" s="181"/>
      <c r="E191" s="180" t="s">
        <v>229</v>
      </c>
      <c r="F191" s="179"/>
      <c r="G191" s="178"/>
      <c r="H191" s="167" t="str">
        <f>(IF(G191="","",G191-F191))</f>
        <v/>
      </c>
      <c r="I191" s="177" t="str">
        <f>IF(H191="","",H191/F191)</f>
        <v/>
      </c>
      <c r="J191" s="172"/>
      <c r="K191" s="171"/>
      <c r="L191" s="170" t="str">
        <f>(IF(K191="","",K191-J191))</f>
        <v/>
      </c>
      <c r="M191" s="176" t="str">
        <f>IF(L191="","",L191/J191)</f>
        <v/>
      </c>
      <c r="N191" s="175"/>
      <c r="O191" s="174" t="str">
        <f>IF(K191="","",(G191*K191)/1000000)</f>
        <v/>
      </c>
      <c r="P191" s="173" t="str">
        <f>(IF(O191="","",O191-N191))</f>
        <v/>
      </c>
      <c r="Q191" s="166" t="str">
        <f>IF(P191="","",P191/N191)</f>
        <v/>
      </c>
      <c r="R191" s="172"/>
      <c r="S191" s="171"/>
      <c r="T191" s="170" t="str">
        <f>(IF(S191="","",S191-R191))</f>
        <v/>
      </c>
      <c r="U191" s="166" t="str">
        <f>IF(T191="","",T191/R191)</f>
        <v/>
      </c>
      <c r="V191" s="169" t="str">
        <f>IF(R191="","",(F191*R191)/1000000)</f>
        <v/>
      </c>
      <c r="W191" s="168" t="str">
        <f>IF(S191="","",(G191*S191)/1000000)</f>
        <v/>
      </c>
      <c r="X191" s="167" t="str">
        <f>(IF(W191="","",W191-V191))</f>
        <v/>
      </c>
      <c r="Y191" s="166" t="str">
        <f>IF(X191="","",X191/V191)</f>
        <v/>
      </c>
    </row>
    <row r="192" spans="2:25" x14ac:dyDescent="0.35">
      <c r="B192" s="165"/>
      <c r="C192" s="164"/>
      <c r="D192" s="163"/>
      <c r="E192" s="162" t="s">
        <v>228</v>
      </c>
      <c r="F192" s="161"/>
      <c r="G192" s="160"/>
      <c r="H192" s="149" t="str">
        <f>(IF(G192="","",G192-F192))</f>
        <v/>
      </c>
      <c r="I192" s="159" t="str">
        <f>IF(H192="","",H192/F192)</f>
        <v/>
      </c>
      <c r="J192" s="154">
        <f>J191</f>
        <v>0</v>
      </c>
      <c r="K192" s="153"/>
      <c r="L192" s="152" t="str">
        <f>(IF(K192="","",K192-J192))</f>
        <v/>
      </c>
      <c r="M192" s="158" t="str">
        <f>IF(L192="","",L192/J192)</f>
        <v/>
      </c>
      <c r="N192" s="157"/>
      <c r="O192" s="156" t="str">
        <f>IF(K192="","",(G192*K192)/1000000)</f>
        <v/>
      </c>
      <c r="P192" s="155" t="str">
        <f>(IF(O192="","",O192-N192))</f>
        <v/>
      </c>
      <c r="Q192" s="148" t="str">
        <f>IF(P192="","",P192/N192)</f>
        <v/>
      </c>
      <c r="R192" s="154"/>
      <c r="S192" s="153"/>
      <c r="T192" s="152" t="str">
        <f>(IF(S192="","",S192-R192))</f>
        <v/>
      </c>
      <c r="U192" s="148" t="str">
        <f>IF(T192="","",T192/R192)</f>
        <v/>
      </c>
      <c r="V192" s="151" t="str">
        <f>IF(R192="","",(F192*R192)/1000000)</f>
        <v/>
      </c>
      <c r="W192" s="150" t="str">
        <f>IF(S192="","",(G192*S192)/1000000)</f>
        <v/>
      </c>
      <c r="X192" s="149" t="str">
        <f>(IF(W192="","",W192-V192))</f>
        <v/>
      </c>
      <c r="Y192" s="148" t="str">
        <f>IF(X192="","",X192/V192)</f>
        <v/>
      </c>
    </row>
    <row r="193" spans="2:25" x14ac:dyDescent="0.35">
      <c r="B193" s="147"/>
      <c r="C193" s="146"/>
      <c r="D193" s="145"/>
      <c r="E193" s="144" t="s">
        <v>227</v>
      </c>
      <c r="F193" s="143"/>
      <c r="G193" s="142"/>
      <c r="H193" s="131" t="str">
        <f>(IF(G193="","",G193-F193))</f>
        <v/>
      </c>
      <c r="I193" s="141" t="str">
        <f>IF(H193="","",H193/F193)</f>
        <v/>
      </c>
      <c r="J193" s="136">
        <f>J191</f>
        <v>0</v>
      </c>
      <c r="K193" s="135"/>
      <c r="L193" s="134" t="str">
        <f>(IF(K193="","",K193-J193))</f>
        <v/>
      </c>
      <c r="M193" s="140" t="str">
        <f>IF(L193="","",L193/J193)</f>
        <v/>
      </c>
      <c r="N193" s="139"/>
      <c r="O193" s="138" t="str">
        <f>IF(K193="","",(G193*K193)/1000000)</f>
        <v/>
      </c>
      <c r="P193" s="137" t="str">
        <f>(IF(O193="","",O193-N193))</f>
        <v/>
      </c>
      <c r="Q193" s="130" t="str">
        <f>IF(P193="","",P193/N193)</f>
        <v/>
      </c>
      <c r="R193" s="136"/>
      <c r="S193" s="135"/>
      <c r="T193" s="134" t="str">
        <f>(IF(S193="","",S193-R193))</f>
        <v/>
      </c>
      <c r="U193" s="130" t="str">
        <f>IF(T193="","",T193/R193)</f>
        <v/>
      </c>
      <c r="V193" s="133" t="str">
        <f>IF(R193="","",(F193*R193)/1000000)</f>
        <v/>
      </c>
      <c r="W193" s="132" t="str">
        <f>IF(S193="","",(G193*S193)/1000000)</f>
        <v/>
      </c>
      <c r="X193" s="131" t="str">
        <f>(IF(W193="","",W193-V193))</f>
        <v/>
      </c>
      <c r="Y193" s="130" t="str">
        <f>IF(X193="","",X193/V193)</f>
        <v/>
      </c>
    </row>
    <row r="194" spans="2:25" x14ac:dyDescent="0.35">
      <c r="B194" s="183"/>
      <c r="C194" s="182"/>
      <c r="D194" s="181"/>
      <c r="E194" s="180" t="s">
        <v>229</v>
      </c>
      <c r="F194" s="179"/>
      <c r="G194" s="178"/>
      <c r="H194" s="167" t="str">
        <f>(IF(G194="","",G194-F194))</f>
        <v/>
      </c>
      <c r="I194" s="177" t="str">
        <f>IF(H194="","",H194/F194)</f>
        <v/>
      </c>
      <c r="J194" s="172"/>
      <c r="K194" s="171"/>
      <c r="L194" s="170" t="str">
        <f>(IF(K194="","",K194-J194))</f>
        <v/>
      </c>
      <c r="M194" s="176" t="str">
        <f>IF(L194="","",L194/J194)</f>
        <v/>
      </c>
      <c r="N194" s="175"/>
      <c r="O194" s="174" t="str">
        <f>IF(K194="","",(G194*K194)/1000000)</f>
        <v/>
      </c>
      <c r="P194" s="173" t="str">
        <f>(IF(O194="","",O194-N194))</f>
        <v/>
      </c>
      <c r="Q194" s="166" t="str">
        <f>IF(P194="","",P194/N194)</f>
        <v/>
      </c>
      <c r="R194" s="172"/>
      <c r="S194" s="171"/>
      <c r="T194" s="170" t="str">
        <f>(IF(S194="","",S194-R194))</f>
        <v/>
      </c>
      <c r="U194" s="166" t="str">
        <f>IF(T194="","",T194/R194)</f>
        <v/>
      </c>
      <c r="V194" s="169" t="str">
        <f>IF(R194="","",(F194*R194)/1000000)</f>
        <v/>
      </c>
      <c r="W194" s="168" t="str">
        <f>IF(S194="","",(G194*S194)/1000000)</f>
        <v/>
      </c>
      <c r="X194" s="167" t="str">
        <f>(IF(W194="","",W194-V194))</f>
        <v/>
      </c>
      <c r="Y194" s="166" t="str">
        <f>IF(X194="","",X194/V194)</f>
        <v/>
      </c>
    </row>
    <row r="195" spans="2:25" x14ac:dyDescent="0.35">
      <c r="B195" s="165"/>
      <c r="C195" s="164"/>
      <c r="D195" s="163"/>
      <c r="E195" s="162" t="s">
        <v>228</v>
      </c>
      <c r="F195" s="161"/>
      <c r="G195" s="160"/>
      <c r="H195" s="149" t="str">
        <f>(IF(G195="","",G195-F195))</f>
        <v/>
      </c>
      <c r="I195" s="159" t="str">
        <f>IF(H195="","",H195/F195)</f>
        <v/>
      </c>
      <c r="J195" s="154">
        <f>J194</f>
        <v>0</v>
      </c>
      <c r="K195" s="153"/>
      <c r="L195" s="152" t="str">
        <f>(IF(K195="","",K195-J195))</f>
        <v/>
      </c>
      <c r="M195" s="158" t="str">
        <f>IF(L195="","",L195/J195)</f>
        <v/>
      </c>
      <c r="N195" s="157"/>
      <c r="O195" s="156" t="str">
        <f>IF(K195="","",(G195*K195)/1000000)</f>
        <v/>
      </c>
      <c r="P195" s="155" t="str">
        <f>(IF(O195="","",O195-N195))</f>
        <v/>
      </c>
      <c r="Q195" s="148" t="str">
        <f>IF(P195="","",P195/N195)</f>
        <v/>
      </c>
      <c r="R195" s="154"/>
      <c r="S195" s="153"/>
      <c r="T195" s="152" t="str">
        <f>(IF(S195="","",S195-R195))</f>
        <v/>
      </c>
      <c r="U195" s="148" t="str">
        <f>IF(T195="","",T195/R195)</f>
        <v/>
      </c>
      <c r="V195" s="151" t="str">
        <f>IF(R195="","",(F195*R195)/1000000)</f>
        <v/>
      </c>
      <c r="W195" s="150" t="str">
        <f>IF(S195="","",(G195*S195)/1000000)</f>
        <v/>
      </c>
      <c r="X195" s="149" t="str">
        <f>(IF(W195="","",W195-V195))</f>
        <v/>
      </c>
      <c r="Y195" s="148" t="str">
        <f>IF(X195="","",X195/V195)</f>
        <v/>
      </c>
    </row>
    <row r="196" spans="2:25" x14ac:dyDescent="0.35">
      <c r="B196" s="147"/>
      <c r="C196" s="146"/>
      <c r="D196" s="145"/>
      <c r="E196" s="144" t="s">
        <v>227</v>
      </c>
      <c r="F196" s="143"/>
      <c r="G196" s="142"/>
      <c r="H196" s="131" t="str">
        <f>(IF(G196="","",G196-F196))</f>
        <v/>
      </c>
      <c r="I196" s="141" t="str">
        <f>IF(H196="","",H196/F196)</f>
        <v/>
      </c>
      <c r="J196" s="136">
        <f>J194</f>
        <v>0</v>
      </c>
      <c r="K196" s="135"/>
      <c r="L196" s="134" t="str">
        <f>(IF(K196="","",K196-J196))</f>
        <v/>
      </c>
      <c r="M196" s="140" t="str">
        <f>IF(L196="","",L196/J196)</f>
        <v/>
      </c>
      <c r="N196" s="139"/>
      <c r="O196" s="138" t="str">
        <f>IF(K196="","",(G196*K196)/1000000)</f>
        <v/>
      </c>
      <c r="P196" s="137" t="str">
        <f>(IF(O196="","",O196-N196))</f>
        <v/>
      </c>
      <c r="Q196" s="130" t="str">
        <f>IF(P196="","",P196/N196)</f>
        <v/>
      </c>
      <c r="R196" s="136"/>
      <c r="S196" s="135"/>
      <c r="T196" s="134" t="str">
        <f>(IF(S196="","",S196-R196))</f>
        <v/>
      </c>
      <c r="U196" s="130" t="str">
        <f>IF(T196="","",T196/R196)</f>
        <v/>
      </c>
      <c r="V196" s="133" t="str">
        <f>IF(R196="","",(F196*R196)/1000000)</f>
        <v/>
      </c>
      <c r="W196" s="132" t="str">
        <f>IF(S196="","",(G196*S196)/1000000)</f>
        <v/>
      </c>
      <c r="X196" s="131" t="str">
        <f>(IF(W196="","",W196-V196))</f>
        <v/>
      </c>
      <c r="Y196" s="130" t="str">
        <f>IF(X196="","",X196/V196)</f>
        <v/>
      </c>
    </row>
    <row r="197" spans="2:25" x14ac:dyDescent="0.35">
      <c r="B197" s="183"/>
      <c r="C197" s="182"/>
      <c r="D197" s="181"/>
      <c r="E197" s="180" t="s">
        <v>229</v>
      </c>
      <c r="F197" s="179"/>
      <c r="G197" s="178"/>
      <c r="H197" s="167" t="str">
        <f>(IF(G197="","",G197-F197))</f>
        <v/>
      </c>
      <c r="I197" s="177" t="str">
        <f>IF(H197="","",H197/F197)</f>
        <v/>
      </c>
      <c r="J197" s="172"/>
      <c r="K197" s="171"/>
      <c r="L197" s="170" t="str">
        <f>(IF(K197="","",K197-J197))</f>
        <v/>
      </c>
      <c r="M197" s="176" t="str">
        <f>IF(L197="","",L197/J197)</f>
        <v/>
      </c>
      <c r="N197" s="175"/>
      <c r="O197" s="174" t="str">
        <f>IF(K197="","",(G197*K197)/1000000)</f>
        <v/>
      </c>
      <c r="P197" s="173" t="str">
        <f>(IF(O197="","",O197-N197))</f>
        <v/>
      </c>
      <c r="Q197" s="166" t="str">
        <f>IF(P197="","",P197/N197)</f>
        <v/>
      </c>
      <c r="R197" s="172"/>
      <c r="S197" s="171"/>
      <c r="T197" s="170" t="str">
        <f>(IF(S197="","",S197-R197))</f>
        <v/>
      </c>
      <c r="U197" s="166" t="str">
        <f>IF(T197="","",T197/R197)</f>
        <v/>
      </c>
      <c r="V197" s="169" t="str">
        <f>IF(R197="","",(F197*R197)/1000000)</f>
        <v/>
      </c>
      <c r="W197" s="168" t="str">
        <f>IF(S197="","",(G197*S197)/1000000)</f>
        <v/>
      </c>
      <c r="X197" s="167" t="str">
        <f>(IF(W197="","",W197-V197))</f>
        <v/>
      </c>
      <c r="Y197" s="166" t="str">
        <f>IF(X197="","",X197/V197)</f>
        <v/>
      </c>
    </row>
    <row r="198" spans="2:25" x14ac:dyDescent="0.35">
      <c r="B198" s="165"/>
      <c r="C198" s="164"/>
      <c r="D198" s="163"/>
      <c r="E198" s="162" t="s">
        <v>228</v>
      </c>
      <c r="F198" s="161"/>
      <c r="G198" s="160"/>
      <c r="H198" s="149" t="str">
        <f>(IF(G198="","",G198-F198))</f>
        <v/>
      </c>
      <c r="I198" s="159" t="str">
        <f>IF(H198="","",H198/F198)</f>
        <v/>
      </c>
      <c r="J198" s="154">
        <f>J197</f>
        <v>0</v>
      </c>
      <c r="K198" s="153"/>
      <c r="L198" s="152" t="str">
        <f>(IF(K198="","",K198-J198))</f>
        <v/>
      </c>
      <c r="M198" s="158" t="str">
        <f>IF(L198="","",L198/J198)</f>
        <v/>
      </c>
      <c r="N198" s="157"/>
      <c r="O198" s="156" t="str">
        <f>IF(K198="","",(G198*K198)/1000000)</f>
        <v/>
      </c>
      <c r="P198" s="155" t="str">
        <f>(IF(O198="","",O198-N198))</f>
        <v/>
      </c>
      <c r="Q198" s="148" t="str">
        <f>IF(P198="","",P198/N198)</f>
        <v/>
      </c>
      <c r="R198" s="154"/>
      <c r="S198" s="153"/>
      <c r="T198" s="152" t="str">
        <f>(IF(S198="","",S198-R198))</f>
        <v/>
      </c>
      <c r="U198" s="148" t="str">
        <f>IF(T198="","",T198/R198)</f>
        <v/>
      </c>
      <c r="V198" s="151" t="str">
        <f>IF(R198="","",(F198*R198)/1000000)</f>
        <v/>
      </c>
      <c r="W198" s="150" t="str">
        <f>IF(S198="","",(G198*S198)/1000000)</f>
        <v/>
      </c>
      <c r="X198" s="149" t="str">
        <f>(IF(W198="","",W198-V198))</f>
        <v/>
      </c>
      <c r="Y198" s="148" t="str">
        <f>IF(X198="","",X198/V198)</f>
        <v/>
      </c>
    </row>
    <row r="199" spans="2:25" x14ac:dyDescent="0.35">
      <c r="B199" s="147"/>
      <c r="C199" s="146"/>
      <c r="D199" s="145"/>
      <c r="E199" s="144" t="s">
        <v>227</v>
      </c>
      <c r="F199" s="143"/>
      <c r="G199" s="142"/>
      <c r="H199" s="131" t="str">
        <f>(IF(G199="","",G199-F199))</f>
        <v/>
      </c>
      <c r="I199" s="141" t="str">
        <f>IF(H199="","",H199/F199)</f>
        <v/>
      </c>
      <c r="J199" s="136">
        <f>J197</f>
        <v>0</v>
      </c>
      <c r="K199" s="135"/>
      <c r="L199" s="134" t="str">
        <f>(IF(K199="","",K199-J199))</f>
        <v/>
      </c>
      <c r="M199" s="140" t="str">
        <f>IF(L199="","",L199/J199)</f>
        <v/>
      </c>
      <c r="N199" s="139"/>
      <c r="O199" s="138" t="str">
        <f>IF(K199="","",(G199*K199)/1000000)</f>
        <v/>
      </c>
      <c r="P199" s="137" t="str">
        <f>(IF(O199="","",O199-N199))</f>
        <v/>
      </c>
      <c r="Q199" s="130" t="str">
        <f>IF(P199="","",P199/N199)</f>
        <v/>
      </c>
      <c r="R199" s="136"/>
      <c r="S199" s="135"/>
      <c r="T199" s="134" t="str">
        <f>(IF(S199="","",S199-R199))</f>
        <v/>
      </c>
      <c r="U199" s="130" t="str">
        <f>IF(T199="","",T199/R199)</f>
        <v/>
      </c>
      <c r="V199" s="133" t="str">
        <f>IF(R199="","",(F199*R199)/1000000)</f>
        <v/>
      </c>
      <c r="W199" s="132" t="str">
        <f>IF(S199="","",(G199*S199)/1000000)</f>
        <v/>
      </c>
      <c r="X199" s="131" t="str">
        <f>(IF(W199="","",W199-V199))</f>
        <v/>
      </c>
      <c r="Y199" s="130" t="str">
        <f>IF(X199="","",X199/V199)</f>
        <v/>
      </c>
    </row>
    <row r="200" spans="2:25" x14ac:dyDescent="0.35">
      <c r="B200" s="183"/>
      <c r="C200" s="182"/>
      <c r="D200" s="181"/>
      <c r="E200" s="180" t="s">
        <v>229</v>
      </c>
      <c r="F200" s="179"/>
      <c r="G200" s="178"/>
      <c r="H200" s="167" t="str">
        <f>(IF(G200="","",G200-F200))</f>
        <v/>
      </c>
      <c r="I200" s="177" t="str">
        <f>IF(H200="","",H200/F200)</f>
        <v/>
      </c>
      <c r="J200" s="172"/>
      <c r="K200" s="171"/>
      <c r="L200" s="170" t="str">
        <f>(IF(K200="","",K200-J200))</f>
        <v/>
      </c>
      <c r="M200" s="176" t="str">
        <f>IF(L200="","",L200/J200)</f>
        <v/>
      </c>
      <c r="N200" s="175"/>
      <c r="O200" s="174" t="str">
        <f>IF(K200="","",(G200*K200)/1000000)</f>
        <v/>
      </c>
      <c r="P200" s="173" t="str">
        <f>(IF(O200="","",O200-N200))</f>
        <v/>
      </c>
      <c r="Q200" s="166" t="str">
        <f>IF(P200="","",P200/N200)</f>
        <v/>
      </c>
      <c r="R200" s="172"/>
      <c r="S200" s="171"/>
      <c r="T200" s="170" t="str">
        <f>(IF(S200="","",S200-R200))</f>
        <v/>
      </c>
      <c r="U200" s="166" t="str">
        <f>IF(T200="","",T200/R200)</f>
        <v/>
      </c>
      <c r="V200" s="169" t="str">
        <f>IF(R200="","",(F200*R200)/1000000)</f>
        <v/>
      </c>
      <c r="W200" s="168" t="str">
        <f>IF(S200="","",(G200*S200)/1000000)</f>
        <v/>
      </c>
      <c r="X200" s="167" t="str">
        <f>(IF(W200="","",W200-V200))</f>
        <v/>
      </c>
      <c r="Y200" s="166" t="str">
        <f>IF(X200="","",X200/V200)</f>
        <v/>
      </c>
    </row>
    <row r="201" spans="2:25" x14ac:dyDescent="0.35">
      <c r="B201" s="165"/>
      <c r="C201" s="164"/>
      <c r="D201" s="163"/>
      <c r="E201" s="162" t="s">
        <v>228</v>
      </c>
      <c r="F201" s="161"/>
      <c r="G201" s="160"/>
      <c r="H201" s="149" t="str">
        <f>(IF(G201="","",G201-F201))</f>
        <v/>
      </c>
      <c r="I201" s="159" t="str">
        <f>IF(H201="","",H201/F201)</f>
        <v/>
      </c>
      <c r="J201" s="154">
        <f>J200</f>
        <v>0</v>
      </c>
      <c r="K201" s="153"/>
      <c r="L201" s="152" t="str">
        <f>(IF(K201="","",K201-J201))</f>
        <v/>
      </c>
      <c r="M201" s="158" t="str">
        <f>IF(L201="","",L201/J201)</f>
        <v/>
      </c>
      <c r="N201" s="157"/>
      <c r="O201" s="156" t="str">
        <f>IF(K201="","",(G201*K201)/1000000)</f>
        <v/>
      </c>
      <c r="P201" s="155" t="str">
        <f>(IF(O201="","",O201-N201))</f>
        <v/>
      </c>
      <c r="Q201" s="148" t="str">
        <f>IF(P201="","",P201/N201)</f>
        <v/>
      </c>
      <c r="R201" s="154"/>
      <c r="S201" s="153"/>
      <c r="T201" s="152" t="str">
        <f>(IF(S201="","",S201-R201))</f>
        <v/>
      </c>
      <c r="U201" s="148" t="str">
        <f>IF(T201="","",T201/R201)</f>
        <v/>
      </c>
      <c r="V201" s="151" t="str">
        <f>IF(R201="","",(F201*R201)/1000000)</f>
        <v/>
      </c>
      <c r="W201" s="150" t="str">
        <f>IF(S201="","",(G201*S201)/1000000)</f>
        <v/>
      </c>
      <c r="X201" s="149" t="str">
        <f>(IF(W201="","",W201-V201))</f>
        <v/>
      </c>
      <c r="Y201" s="148" t="str">
        <f>IF(X201="","",X201/V201)</f>
        <v/>
      </c>
    </row>
    <row r="202" spans="2:25" x14ac:dyDescent="0.35">
      <c r="B202" s="147"/>
      <c r="C202" s="146"/>
      <c r="D202" s="145"/>
      <c r="E202" s="144" t="s">
        <v>227</v>
      </c>
      <c r="F202" s="143"/>
      <c r="G202" s="142"/>
      <c r="H202" s="131" t="str">
        <f>(IF(G202="","",G202-F202))</f>
        <v/>
      </c>
      <c r="I202" s="141" t="str">
        <f>IF(H202="","",H202/F202)</f>
        <v/>
      </c>
      <c r="J202" s="136">
        <f>J200</f>
        <v>0</v>
      </c>
      <c r="K202" s="135"/>
      <c r="L202" s="134" t="str">
        <f>(IF(K202="","",K202-J202))</f>
        <v/>
      </c>
      <c r="M202" s="140" t="str">
        <f>IF(L202="","",L202/J202)</f>
        <v/>
      </c>
      <c r="N202" s="139"/>
      <c r="O202" s="138" t="str">
        <f>IF(K202="","",(G202*K202)/1000000)</f>
        <v/>
      </c>
      <c r="P202" s="137" t="str">
        <f>(IF(O202="","",O202-N202))</f>
        <v/>
      </c>
      <c r="Q202" s="130" t="str">
        <f>IF(P202="","",P202/N202)</f>
        <v/>
      </c>
      <c r="R202" s="136"/>
      <c r="S202" s="135"/>
      <c r="T202" s="134" t="str">
        <f>(IF(S202="","",S202-R202))</f>
        <v/>
      </c>
      <c r="U202" s="130" t="str">
        <f>IF(T202="","",T202/R202)</f>
        <v/>
      </c>
      <c r="V202" s="133" t="str">
        <f>IF(R202="","",(F202*R202)/1000000)</f>
        <v/>
      </c>
      <c r="W202" s="132" t="str">
        <f>IF(S202="","",(G202*S202)/1000000)</f>
        <v/>
      </c>
      <c r="X202" s="131" t="str">
        <f>(IF(W202="","",W202-V202))</f>
        <v/>
      </c>
      <c r="Y202" s="130" t="str">
        <f>IF(X202="","",X202/V202)</f>
        <v/>
      </c>
    </row>
    <row r="203" spans="2:25" x14ac:dyDescent="0.35">
      <c r="B203" s="183"/>
      <c r="C203" s="182"/>
      <c r="D203" s="181"/>
      <c r="E203" s="180" t="s">
        <v>229</v>
      </c>
      <c r="F203" s="179"/>
      <c r="G203" s="178"/>
      <c r="H203" s="167" t="str">
        <f>(IF(G203="","",G203-F203))</f>
        <v/>
      </c>
      <c r="I203" s="177" t="str">
        <f>IF(H203="","",H203/F203)</f>
        <v/>
      </c>
      <c r="J203" s="172"/>
      <c r="K203" s="171"/>
      <c r="L203" s="170" t="str">
        <f>(IF(K203="","",K203-J203))</f>
        <v/>
      </c>
      <c r="M203" s="176" t="str">
        <f>IF(L203="","",L203/J203)</f>
        <v/>
      </c>
      <c r="N203" s="175"/>
      <c r="O203" s="174" t="str">
        <f>IF(K203="","",(G203*K203)/1000000)</f>
        <v/>
      </c>
      <c r="P203" s="173" t="str">
        <f>(IF(O203="","",O203-N203))</f>
        <v/>
      </c>
      <c r="Q203" s="166" t="str">
        <f>IF(P203="","",P203/N203)</f>
        <v/>
      </c>
      <c r="R203" s="172"/>
      <c r="S203" s="171"/>
      <c r="T203" s="170" t="str">
        <f>(IF(S203="","",S203-R203))</f>
        <v/>
      </c>
      <c r="U203" s="166" t="str">
        <f>IF(T203="","",T203/R203)</f>
        <v/>
      </c>
      <c r="V203" s="169" t="str">
        <f>IF(R203="","",(F203*R203)/1000000)</f>
        <v/>
      </c>
      <c r="W203" s="168" t="str">
        <f>IF(S203="","",(G203*S203)/1000000)</f>
        <v/>
      </c>
      <c r="X203" s="167" t="str">
        <f>(IF(W203="","",W203-V203))</f>
        <v/>
      </c>
      <c r="Y203" s="166" t="str">
        <f>IF(X203="","",X203/V203)</f>
        <v/>
      </c>
    </row>
    <row r="204" spans="2:25" x14ac:dyDescent="0.35">
      <c r="B204" s="165"/>
      <c r="C204" s="164"/>
      <c r="D204" s="163"/>
      <c r="E204" s="162" t="s">
        <v>228</v>
      </c>
      <c r="F204" s="161"/>
      <c r="G204" s="160"/>
      <c r="H204" s="149" t="str">
        <f>(IF(G204="","",G204-F204))</f>
        <v/>
      </c>
      <c r="I204" s="159" t="str">
        <f>IF(H204="","",H204/F204)</f>
        <v/>
      </c>
      <c r="J204" s="154">
        <f>J203</f>
        <v>0</v>
      </c>
      <c r="K204" s="153"/>
      <c r="L204" s="152" t="str">
        <f>(IF(K204="","",K204-J204))</f>
        <v/>
      </c>
      <c r="M204" s="158" t="str">
        <f>IF(L204="","",L204/J204)</f>
        <v/>
      </c>
      <c r="N204" s="157"/>
      <c r="O204" s="156" t="str">
        <f>IF(K204="","",(G204*K204)/1000000)</f>
        <v/>
      </c>
      <c r="P204" s="155" t="str">
        <f>(IF(O204="","",O204-N204))</f>
        <v/>
      </c>
      <c r="Q204" s="148" t="str">
        <f>IF(P204="","",P204/N204)</f>
        <v/>
      </c>
      <c r="R204" s="154"/>
      <c r="S204" s="153"/>
      <c r="T204" s="152" t="str">
        <f>(IF(S204="","",S204-R204))</f>
        <v/>
      </c>
      <c r="U204" s="148" t="str">
        <f>IF(T204="","",T204/R204)</f>
        <v/>
      </c>
      <c r="V204" s="151" t="str">
        <f>IF(R204="","",(F204*R204)/1000000)</f>
        <v/>
      </c>
      <c r="W204" s="150" t="str">
        <f>IF(S204="","",(G204*S204)/1000000)</f>
        <v/>
      </c>
      <c r="X204" s="149" t="str">
        <f>(IF(W204="","",W204-V204))</f>
        <v/>
      </c>
      <c r="Y204" s="148" t="str">
        <f>IF(X204="","",X204/V204)</f>
        <v/>
      </c>
    </row>
    <row r="205" spans="2:25" x14ac:dyDescent="0.35">
      <c r="B205" s="147"/>
      <c r="C205" s="146"/>
      <c r="D205" s="145"/>
      <c r="E205" s="144" t="s">
        <v>227</v>
      </c>
      <c r="F205" s="143"/>
      <c r="G205" s="142"/>
      <c r="H205" s="131" t="str">
        <f>(IF(G205="","",G205-F205))</f>
        <v/>
      </c>
      <c r="I205" s="141" t="str">
        <f>IF(H205="","",H205/F205)</f>
        <v/>
      </c>
      <c r="J205" s="136">
        <f>J203</f>
        <v>0</v>
      </c>
      <c r="K205" s="135"/>
      <c r="L205" s="134" t="str">
        <f>(IF(K205="","",K205-J205))</f>
        <v/>
      </c>
      <c r="M205" s="140" t="str">
        <f>IF(L205="","",L205/J205)</f>
        <v/>
      </c>
      <c r="N205" s="139"/>
      <c r="O205" s="138" t="str">
        <f>IF(K205="","",(G205*K205)/1000000)</f>
        <v/>
      </c>
      <c r="P205" s="137" t="str">
        <f>(IF(O205="","",O205-N205))</f>
        <v/>
      </c>
      <c r="Q205" s="130" t="str">
        <f>IF(P205="","",P205/N205)</f>
        <v/>
      </c>
      <c r="R205" s="136"/>
      <c r="S205" s="135"/>
      <c r="T205" s="134" t="str">
        <f>(IF(S205="","",S205-R205))</f>
        <v/>
      </c>
      <c r="U205" s="130" t="str">
        <f>IF(T205="","",T205/R205)</f>
        <v/>
      </c>
      <c r="V205" s="133" t="str">
        <f>IF(R205="","",(F205*R205)/1000000)</f>
        <v/>
      </c>
      <c r="W205" s="132" t="str">
        <f>IF(S205="","",(G205*S205)/1000000)</f>
        <v/>
      </c>
      <c r="X205" s="131" t="str">
        <f>(IF(W205="","",W205-V205))</f>
        <v/>
      </c>
      <c r="Y205" s="130" t="str">
        <f>IF(X205="","",X205/V205)</f>
        <v/>
      </c>
    </row>
    <row r="206" spans="2:25" x14ac:dyDescent="0.35">
      <c r="B206" s="183"/>
      <c r="C206" s="182"/>
      <c r="D206" s="181"/>
      <c r="E206" s="180" t="s">
        <v>229</v>
      </c>
      <c r="F206" s="179"/>
      <c r="G206" s="178"/>
      <c r="H206" s="167" t="str">
        <f>(IF(G206="","",G206-F206))</f>
        <v/>
      </c>
      <c r="I206" s="177" t="str">
        <f>IF(H206="","",H206/F206)</f>
        <v/>
      </c>
      <c r="J206" s="172"/>
      <c r="K206" s="171"/>
      <c r="L206" s="170" t="str">
        <f>(IF(K206="","",K206-J206))</f>
        <v/>
      </c>
      <c r="M206" s="176" t="str">
        <f>IF(L206="","",L206/J206)</f>
        <v/>
      </c>
      <c r="N206" s="175"/>
      <c r="O206" s="174" t="str">
        <f>IF(K206="","",(G206*K206)/1000000)</f>
        <v/>
      </c>
      <c r="P206" s="173" t="str">
        <f>(IF(O206="","",O206-N206))</f>
        <v/>
      </c>
      <c r="Q206" s="166" t="str">
        <f>IF(P206="","",P206/N206)</f>
        <v/>
      </c>
      <c r="R206" s="172"/>
      <c r="S206" s="171"/>
      <c r="T206" s="170" t="str">
        <f>(IF(S206="","",S206-R206))</f>
        <v/>
      </c>
      <c r="U206" s="166" t="str">
        <f>IF(T206="","",T206/R206)</f>
        <v/>
      </c>
      <c r="V206" s="169" t="str">
        <f>IF(R206="","",(F206*R206)/1000000)</f>
        <v/>
      </c>
      <c r="W206" s="168" t="str">
        <f>IF(S206="","",(G206*S206)/1000000)</f>
        <v/>
      </c>
      <c r="X206" s="167" t="str">
        <f>(IF(W206="","",W206-V206))</f>
        <v/>
      </c>
      <c r="Y206" s="166" t="str">
        <f>IF(X206="","",X206/V206)</f>
        <v/>
      </c>
    </row>
    <row r="207" spans="2:25" x14ac:dyDescent="0.35">
      <c r="B207" s="165"/>
      <c r="C207" s="164"/>
      <c r="D207" s="163"/>
      <c r="E207" s="162" t="s">
        <v>228</v>
      </c>
      <c r="F207" s="161"/>
      <c r="G207" s="160"/>
      <c r="H207" s="149" t="str">
        <f>(IF(G207="","",G207-F207))</f>
        <v/>
      </c>
      <c r="I207" s="159" t="str">
        <f>IF(H207="","",H207/F207)</f>
        <v/>
      </c>
      <c r="J207" s="154">
        <f>J206</f>
        <v>0</v>
      </c>
      <c r="K207" s="153"/>
      <c r="L207" s="152" t="str">
        <f>(IF(K207="","",K207-J207))</f>
        <v/>
      </c>
      <c r="M207" s="158" t="str">
        <f>IF(L207="","",L207/J207)</f>
        <v/>
      </c>
      <c r="N207" s="157"/>
      <c r="O207" s="156" t="str">
        <f>IF(K207="","",(G207*K207)/1000000)</f>
        <v/>
      </c>
      <c r="P207" s="155" t="str">
        <f>(IF(O207="","",O207-N207))</f>
        <v/>
      </c>
      <c r="Q207" s="148" t="str">
        <f>IF(P207="","",P207/N207)</f>
        <v/>
      </c>
      <c r="R207" s="154"/>
      <c r="S207" s="153"/>
      <c r="T207" s="152" t="str">
        <f>(IF(S207="","",S207-R207))</f>
        <v/>
      </c>
      <c r="U207" s="148" t="str">
        <f>IF(T207="","",T207/R207)</f>
        <v/>
      </c>
      <c r="V207" s="151" t="str">
        <f>IF(R207="","",(F207*R207)/1000000)</f>
        <v/>
      </c>
      <c r="W207" s="150" t="str">
        <f>IF(S207="","",(G207*S207)/1000000)</f>
        <v/>
      </c>
      <c r="X207" s="149" t="str">
        <f>(IF(W207="","",W207-V207))</f>
        <v/>
      </c>
      <c r="Y207" s="148" t="str">
        <f>IF(X207="","",X207/V207)</f>
        <v/>
      </c>
    </row>
    <row r="208" spans="2:25" x14ac:dyDescent="0.35">
      <c r="B208" s="147"/>
      <c r="C208" s="146"/>
      <c r="D208" s="145"/>
      <c r="E208" s="144" t="s">
        <v>227</v>
      </c>
      <c r="F208" s="143"/>
      <c r="G208" s="142"/>
      <c r="H208" s="131" t="str">
        <f>(IF(G208="","",G208-F208))</f>
        <v/>
      </c>
      <c r="I208" s="141" t="str">
        <f>IF(H208="","",H208/F208)</f>
        <v/>
      </c>
      <c r="J208" s="136">
        <f>J206</f>
        <v>0</v>
      </c>
      <c r="K208" s="135"/>
      <c r="L208" s="134" t="str">
        <f>(IF(K208="","",K208-J208))</f>
        <v/>
      </c>
      <c r="M208" s="140" t="str">
        <f>IF(L208="","",L208/J208)</f>
        <v/>
      </c>
      <c r="N208" s="139"/>
      <c r="O208" s="138" t="str">
        <f>IF(K208="","",(G208*K208)/1000000)</f>
        <v/>
      </c>
      <c r="P208" s="137" t="str">
        <f>(IF(O208="","",O208-N208))</f>
        <v/>
      </c>
      <c r="Q208" s="130" t="str">
        <f>IF(P208="","",P208/N208)</f>
        <v/>
      </c>
      <c r="R208" s="136"/>
      <c r="S208" s="135"/>
      <c r="T208" s="134" t="str">
        <f>(IF(S208="","",S208-R208))</f>
        <v/>
      </c>
      <c r="U208" s="130" t="str">
        <f>IF(T208="","",T208/R208)</f>
        <v/>
      </c>
      <c r="V208" s="133" t="str">
        <f>IF(R208="","",(F208*R208)/1000000)</f>
        <v/>
      </c>
      <c r="W208" s="132" t="str">
        <f>IF(S208="","",(G208*S208)/1000000)</f>
        <v/>
      </c>
      <c r="X208" s="131" t="str">
        <f>(IF(W208="","",W208-V208))</f>
        <v/>
      </c>
      <c r="Y208" s="130" t="str">
        <f>IF(X208="","",X208/V208)</f>
        <v/>
      </c>
    </row>
    <row r="209" spans="2:25" x14ac:dyDescent="0.35">
      <c r="B209" s="183"/>
      <c r="C209" s="182"/>
      <c r="D209" s="181"/>
      <c r="E209" s="180" t="s">
        <v>229</v>
      </c>
      <c r="F209" s="179"/>
      <c r="G209" s="178"/>
      <c r="H209" s="167" t="str">
        <f>(IF(G209="","",G209-F209))</f>
        <v/>
      </c>
      <c r="I209" s="177" t="str">
        <f>IF(H209="","",H209/F209)</f>
        <v/>
      </c>
      <c r="J209" s="172"/>
      <c r="K209" s="171"/>
      <c r="L209" s="170" t="str">
        <f>(IF(K209="","",K209-J209))</f>
        <v/>
      </c>
      <c r="M209" s="176" t="str">
        <f>IF(L209="","",L209/J209)</f>
        <v/>
      </c>
      <c r="N209" s="175"/>
      <c r="O209" s="174" t="str">
        <f>IF(K209="","",(G209*K209)/1000000)</f>
        <v/>
      </c>
      <c r="P209" s="173" t="str">
        <f>(IF(O209="","",O209-N209))</f>
        <v/>
      </c>
      <c r="Q209" s="166" t="str">
        <f>IF(P209="","",P209/N209)</f>
        <v/>
      </c>
      <c r="R209" s="172"/>
      <c r="S209" s="171"/>
      <c r="T209" s="170" t="str">
        <f>(IF(S209="","",S209-R209))</f>
        <v/>
      </c>
      <c r="U209" s="166" t="str">
        <f>IF(T209="","",T209/R209)</f>
        <v/>
      </c>
      <c r="V209" s="169" t="str">
        <f>IF(R209="","",(F209*R209)/1000000)</f>
        <v/>
      </c>
      <c r="W209" s="168" t="str">
        <f>IF(S209="","",(G209*S209)/1000000)</f>
        <v/>
      </c>
      <c r="X209" s="167" t="str">
        <f>(IF(W209="","",W209-V209))</f>
        <v/>
      </c>
      <c r="Y209" s="166" t="str">
        <f>IF(X209="","",X209/V209)</f>
        <v/>
      </c>
    </row>
    <row r="210" spans="2:25" x14ac:dyDescent="0.35">
      <c r="B210" s="165"/>
      <c r="C210" s="164"/>
      <c r="D210" s="163"/>
      <c r="E210" s="162" t="s">
        <v>228</v>
      </c>
      <c r="F210" s="161"/>
      <c r="G210" s="160"/>
      <c r="H210" s="149" t="str">
        <f>(IF(G210="","",G210-F210))</f>
        <v/>
      </c>
      <c r="I210" s="159" t="str">
        <f>IF(H210="","",H210/F210)</f>
        <v/>
      </c>
      <c r="J210" s="154">
        <f>J209</f>
        <v>0</v>
      </c>
      <c r="K210" s="153"/>
      <c r="L210" s="152" t="str">
        <f>(IF(K210="","",K210-J210))</f>
        <v/>
      </c>
      <c r="M210" s="158" t="str">
        <f>IF(L210="","",L210/J210)</f>
        <v/>
      </c>
      <c r="N210" s="157"/>
      <c r="O210" s="156" t="str">
        <f>IF(K210="","",(G210*K210)/1000000)</f>
        <v/>
      </c>
      <c r="P210" s="155" t="str">
        <f>(IF(O210="","",O210-N210))</f>
        <v/>
      </c>
      <c r="Q210" s="148" t="str">
        <f>IF(P210="","",P210/N210)</f>
        <v/>
      </c>
      <c r="R210" s="154"/>
      <c r="S210" s="153"/>
      <c r="T210" s="152" t="str">
        <f>(IF(S210="","",S210-R210))</f>
        <v/>
      </c>
      <c r="U210" s="148" t="str">
        <f>IF(T210="","",T210/R210)</f>
        <v/>
      </c>
      <c r="V210" s="151" t="str">
        <f>IF(R210="","",(F210*R210)/1000000)</f>
        <v/>
      </c>
      <c r="W210" s="150" t="str">
        <f>IF(S210="","",(G210*S210)/1000000)</f>
        <v/>
      </c>
      <c r="X210" s="149" t="str">
        <f>(IF(W210="","",W210-V210))</f>
        <v/>
      </c>
      <c r="Y210" s="148" t="str">
        <f>IF(X210="","",X210/V210)</f>
        <v/>
      </c>
    </row>
    <row r="211" spans="2:25" x14ac:dyDescent="0.35">
      <c r="B211" s="147"/>
      <c r="C211" s="146"/>
      <c r="D211" s="145"/>
      <c r="E211" s="144" t="s">
        <v>227</v>
      </c>
      <c r="F211" s="143"/>
      <c r="G211" s="142"/>
      <c r="H211" s="131" t="str">
        <f>(IF(G211="","",G211-F211))</f>
        <v/>
      </c>
      <c r="I211" s="141" t="str">
        <f>IF(H211="","",H211/F211)</f>
        <v/>
      </c>
      <c r="J211" s="136">
        <f>J209</f>
        <v>0</v>
      </c>
      <c r="K211" s="135"/>
      <c r="L211" s="134" t="str">
        <f>(IF(K211="","",K211-J211))</f>
        <v/>
      </c>
      <c r="M211" s="140" t="str">
        <f>IF(L211="","",L211/J211)</f>
        <v/>
      </c>
      <c r="N211" s="139"/>
      <c r="O211" s="138" t="str">
        <f>IF(K211="","",(G211*K211)/1000000)</f>
        <v/>
      </c>
      <c r="P211" s="137" t="str">
        <f>(IF(O211="","",O211-N211))</f>
        <v/>
      </c>
      <c r="Q211" s="130" t="str">
        <f>IF(P211="","",P211/N211)</f>
        <v/>
      </c>
      <c r="R211" s="136"/>
      <c r="S211" s="135"/>
      <c r="T211" s="134" t="str">
        <f>(IF(S211="","",S211-R211))</f>
        <v/>
      </c>
      <c r="U211" s="130" t="str">
        <f>IF(T211="","",T211/R211)</f>
        <v/>
      </c>
      <c r="V211" s="133" t="str">
        <f>IF(R211="","",(F211*R211)/1000000)</f>
        <v/>
      </c>
      <c r="W211" s="132" t="str">
        <f>IF(S211="","",(G211*S211)/1000000)</f>
        <v/>
      </c>
      <c r="X211" s="131" t="str">
        <f>(IF(W211="","",W211-V211))</f>
        <v/>
      </c>
      <c r="Y211" s="130" t="str">
        <f>IF(X211="","",X211/V211)</f>
        <v/>
      </c>
    </row>
    <row r="212" spans="2:25" x14ac:dyDescent="0.35">
      <c r="B212" s="183"/>
      <c r="C212" s="182"/>
      <c r="D212" s="181"/>
      <c r="E212" s="180" t="s">
        <v>229</v>
      </c>
      <c r="F212" s="179"/>
      <c r="G212" s="178"/>
      <c r="H212" s="167" t="str">
        <f>(IF(G212="","",G212-F212))</f>
        <v/>
      </c>
      <c r="I212" s="177" t="str">
        <f>IF(H212="","",H212/F212)</f>
        <v/>
      </c>
      <c r="J212" s="172"/>
      <c r="K212" s="171"/>
      <c r="L212" s="170" t="str">
        <f>(IF(K212="","",K212-J212))</f>
        <v/>
      </c>
      <c r="M212" s="176" t="str">
        <f>IF(L212="","",L212/J212)</f>
        <v/>
      </c>
      <c r="N212" s="175"/>
      <c r="O212" s="174" t="str">
        <f>IF(K212="","",(G212*K212)/1000000)</f>
        <v/>
      </c>
      <c r="P212" s="173" t="str">
        <f>(IF(O212="","",O212-N212))</f>
        <v/>
      </c>
      <c r="Q212" s="166" t="str">
        <f>IF(P212="","",P212/N212)</f>
        <v/>
      </c>
      <c r="R212" s="172"/>
      <c r="S212" s="171"/>
      <c r="T212" s="170" t="str">
        <f>(IF(S212="","",S212-R212))</f>
        <v/>
      </c>
      <c r="U212" s="166" t="str">
        <f>IF(T212="","",T212/R212)</f>
        <v/>
      </c>
      <c r="V212" s="169" t="str">
        <f>IF(R212="","",(F212*R212)/1000000)</f>
        <v/>
      </c>
      <c r="W212" s="168" t="str">
        <f>IF(S212="","",(G212*S212)/1000000)</f>
        <v/>
      </c>
      <c r="X212" s="167" t="str">
        <f>(IF(W212="","",W212-V212))</f>
        <v/>
      </c>
      <c r="Y212" s="166" t="str">
        <f>IF(X212="","",X212/V212)</f>
        <v/>
      </c>
    </row>
    <row r="213" spans="2:25" x14ac:dyDescent="0.35">
      <c r="B213" s="165"/>
      <c r="C213" s="164"/>
      <c r="D213" s="163"/>
      <c r="E213" s="162" t="s">
        <v>228</v>
      </c>
      <c r="F213" s="161"/>
      <c r="G213" s="160"/>
      <c r="H213" s="149" t="str">
        <f>(IF(G213="","",G213-F213))</f>
        <v/>
      </c>
      <c r="I213" s="159" t="str">
        <f>IF(H213="","",H213/F213)</f>
        <v/>
      </c>
      <c r="J213" s="154">
        <f>J212</f>
        <v>0</v>
      </c>
      <c r="K213" s="153"/>
      <c r="L213" s="152" t="str">
        <f>(IF(K213="","",K213-J213))</f>
        <v/>
      </c>
      <c r="M213" s="158" t="str">
        <f>IF(L213="","",L213/J213)</f>
        <v/>
      </c>
      <c r="N213" s="157"/>
      <c r="O213" s="156" t="str">
        <f>IF(K213="","",(G213*K213)/1000000)</f>
        <v/>
      </c>
      <c r="P213" s="155" t="str">
        <f>(IF(O213="","",O213-N213))</f>
        <v/>
      </c>
      <c r="Q213" s="148" t="str">
        <f>IF(P213="","",P213/N213)</f>
        <v/>
      </c>
      <c r="R213" s="154"/>
      <c r="S213" s="153"/>
      <c r="T213" s="152" t="str">
        <f>(IF(S213="","",S213-R213))</f>
        <v/>
      </c>
      <c r="U213" s="148" t="str">
        <f>IF(T213="","",T213/R213)</f>
        <v/>
      </c>
      <c r="V213" s="151" t="str">
        <f>IF(R213="","",(F213*R213)/1000000)</f>
        <v/>
      </c>
      <c r="W213" s="150" t="str">
        <f>IF(S213="","",(G213*S213)/1000000)</f>
        <v/>
      </c>
      <c r="X213" s="149" t="str">
        <f>(IF(W213="","",W213-V213))</f>
        <v/>
      </c>
      <c r="Y213" s="148" t="str">
        <f>IF(X213="","",X213/V213)</f>
        <v/>
      </c>
    </row>
    <row r="214" spans="2:25" x14ac:dyDescent="0.35">
      <c r="B214" s="147"/>
      <c r="C214" s="146"/>
      <c r="D214" s="145"/>
      <c r="E214" s="144" t="s">
        <v>227</v>
      </c>
      <c r="F214" s="143"/>
      <c r="G214" s="142"/>
      <c r="H214" s="131" t="str">
        <f>(IF(G214="","",G214-F214))</f>
        <v/>
      </c>
      <c r="I214" s="141" t="str">
        <f>IF(H214="","",H214/F214)</f>
        <v/>
      </c>
      <c r="J214" s="136">
        <f>J212</f>
        <v>0</v>
      </c>
      <c r="K214" s="135"/>
      <c r="L214" s="134" t="str">
        <f>(IF(K214="","",K214-J214))</f>
        <v/>
      </c>
      <c r="M214" s="140" t="str">
        <f>IF(L214="","",L214/J214)</f>
        <v/>
      </c>
      <c r="N214" s="139"/>
      <c r="O214" s="138" t="str">
        <f>IF(K214="","",(G214*K214)/1000000)</f>
        <v/>
      </c>
      <c r="P214" s="137" t="str">
        <f>(IF(O214="","",O214-N214))</f>
        <v/>
      </c>
      <c r="Q214" s="130" t="str">
        <f>IF(P214="","",P214/N214)</f>
        <v/>
      </c>
      <c r="R214" s="136"/>
      <c r="S214" s="135"/>
      <c r="T214" s="134" t="str">
        <f>(IF(S214="","",S214-R214))</f>
        <v/>
      </c>
      <c r="U214" s="130" t="str">
        <f>IF(T214="","",T214/R214)</f>
        <v/>
      </c>
      <c r="V214" s="133" t="str">
        <f>IF(R214="","",(F214*R214)/1000000)</f>
        <v/>
      </c>
      <c r="W214" s="132" t="str">
        <f>IF(S214="","",(G214*S214)/1000000)</f>
        <v/>
      </c>
      <c r="X214" s="131" t="str">
        <f>(IF(W214="","",W214-V214))</f>
        <v/>
      </c>
      <c r="Y214" s="130" t="str">
        <f>IF(X214="","",X214/V214)</f>
        <v/>
      </c>
    </row>
    <row r="215" spans="2:25" x14ac:dyDescent="0.35">
      <c r="B215" s="183"/>
      <c r="C215" s="182"/>
      <c r="D215" s="181"/>
      <c r="E215" s="180" t="s">
        <v>229</v>
      </c>
      <c r="F215" s="179"/>
      <c r="G215" s="178"/>
      <c r="H215" s="167" t="str">
        <f>(IF(G215="","",G215-F215))</f>
        <v/>
      </c>
      <c r="I215" s="177" t="str">
        <f>IF(H215="","",H215/F215)</f>
        <v/>
      </c>
      <c r="J215" s="172"/>
      <c r="K215" s="171"/>
      <c r="L215" s="170" t="str">
        <f>(IF(K215="","",K215-J215))</f>
        <v/>
      </c>
      <c r="M215" s="176" t="str">
        <f>IF(L215="","",L215/J215)</f>
        <v/>
      </c>
      <c r="N215" s="175"/>
      <c r="O215" s="174" t="str">
        <f>IF(K215="","",(G215*K215)/1000000)</f>
        <v/>
      </c>
      <c r="P215" s="173" t="str">
        <f>(IF(O215="","",O215-N215))</f>
        <v/>
      </c>
      <c r="Q215" s="166" t="str">
        <f>IF(P215="","",P215/N215)</f>
        <v/>
      </c>
      <c r="R215" s="172"/>
      <c r="S215" s="171"/>
      <c r="T215" s="170" t="str">
        <f>(IF(S215="","",S215-R215))</f>
        <v/>
      </c>
      <c r="U215" s="166" t="str">
        <f>IF(T215="","",T215/R215)</f>
        <v/>
      </c>
      <c r="V215" s="169" t="str">
        <f>IF(R215="","",(F215*R215)/1000000)</f>
        <v/>
      </c>
      <c r="W215" s="168" t="str">
        <f>IF(S215="","",(G215*S215)/1000000)</f>
        <v/>
      </c>
      <c r="X215" s="167" t="str">
        <f>(IF(W215="","",W215-V215))</f>
        <v/>
      </c>
      <c r="Y215" s="166" t="str">
        <f>IF(X215="","",X215/V215)</f>
        <v/>
      </c>
    </row>
    <row r="216" spans="2:25" x14ac:dyDescent="0.35">
      <c r="B216" s="165"/>
      <c r="C216" s="164"/>
      <c r="D216" s="163"/>
      <c r="E216" s="162" t="s">
        <v>228</v>
      </c>
      <c r="F216" s="161"/>
      <c r="G216" s="160"/>
      <c r="H216" s="149" t="str">
        <f>(IF(G216="","",G216-F216))</f>
        <v/>
      </c>
      <c r="I216" s="159" t="str">
        <f>IF(H216="","",H216/F216)</f>
        <v/>
      </c>
      <c r="J216" s="154">
        <f>J215</f>
        <v>0</v>
      </c>
      <c r="K216" s="153"/>
      <c r="L216" s="152" t="str">
        <f>(IF(K216="","",K216-J216))</f>
        <v/>
      </c>
      <c r="M216" s="158" t="str">
        <f>IF(L216="","",L216/J216)</f>
        <v/>
      </c>
      <c r="N216" s="157"/>
      <c r="O216" s="156" t="str">
        <f>IF(K216="","",(G216*K216)/1000000)</f>
        <v/>
      </c>
      <c r="P216" s="155" t="str">
        <f>(IF(O216="","",O216-N216))</f>
        <v/>
      </c>
      <c r="Q216" s="148" t="str">
        <f>IF(P216="","",P216/N216)</f>
        <v/>
      </c>
      <c r="R216" s="154"/>
      <c r="S216" s="153"/>
      <c r="T216" s="152" t="str">
        <f>(IF(S216="","",S216-R216))</f>
        <v/>
      </c>
      <c r="U216" s="148" t="str">
        <f>IF(T216="","",T216/R216)</f>
        <v/>
      </c>
      <c r="V216" s="151" t="str">
        <f>IF(R216="","",(F216*R216)/1000000)</f>
        <v/>
      </c>
      <c r="W216" s="150" t="str">
        <f>IF(S216="","",(G216*S216)/1000000)</f>
        <v/>
      </c>
      <c r="X216" s="149" t="str">
        <f>(IF(W216="","",W216-V216))</f>
        <v/>
      </c>
      <c r="Y216" s="148" t="str">
        <f>IF(X216="","",X216/V216)</f>
        <v/>
      </c>
    </row>
    <row r="217" spans="2:25" x14ac:dyDescent="0.35">
      <c r="B217" s="147"/>
      <c r="C217" s="146"/>
      <c r="D217" s="145"/>
      <c r="E217" s="144" t="s">
        <v>227</v>
      </c>
      <c r="F217" s="143"/>
      <c r="G217" s="142"/>
      <c r="H217" s="131" t="str">
        <f>(IF(G217="","",G217-F217))</f>
        <v/>
      </c>
      <c r="I217" s="141" t="str">
        <f>IF(H217="","",H217/F217)</f>
        <v/>
      </c>
      <c r="J217" s="136">
        <f>J215</f>
        <v>0</v>
      </c>
      <c r="K217" s="135"/>
      <c r="L217" s="134" t="str">
        <f>(IF(K217="","",K217-J217))</f>
        <v/>
      </c>
      <c r="M217" s="140" t="str">
        <f>IF(L217="","",L217/J217)</f>
        <v/>
      </c>
      <c r="N217" s="139"/>
      <c r="O217" s="138" t="str">
        <f>IF(K217="","",(G217*K217)/1000000)</f>
        <v/>
      </c>
      <c r="P217" s="137" t="str">
        <f>(IF(O217="","",O217-N217))</f>
        <v/>
      </c>
      <c r="Q217" s="130" t="str">
        <f>IF(P217="","",P217/N217)</f>
        <v/>
      </c>
      <c r="R217" s="136"/>
      <c r="S217" s="135"/>
      <c r="T217" s="134" t="str">
        <f>(IF(S217="","",S217-R217))</f>
        <v/>
      </c>
      <c r="U217" s="130" t="str">
        <f>IF(T217="","",T217/R217)</f>
        <v/>
      </c>
      <c r="V217" s="133" t="str">
        <f>IF(R217="","",(F217*R217)/1000000)</f>
        <v/>
      </c>
      <c r="W217" s="132" t="str">
        <f>IF(S217="","",(G217*S217)/1000000)</f>
        <v/>
      </c>
      <c r="X217" s="131" t="str">
        <f>(IF(W217="","",W217-V217))</f>
        <v/>
      </c>
      <c r="Y217" s="130" t="str">
        <f>IF(X217="","",X217/V217)</f>
        <v/>
      </c>
    </row>
    <row r="218" spans="2:25" x14ac:dyDescent="0.35">
      <c r="B218" s="183"/>
      <c r="C218" s="182"/>
      <c r="D218" s="181"/>
      <c r="E218" s="180" t="s">
        <v>229</v>
      </c>
      <c r="F218" s="179"/>
      <c r="G218" s="178"/>
      <c r="H218" s="167" t="str">
        <f>(IF(G218="","",G218-F218))</f>
        <v/>
      </c>
      <c r="I218" s="177" t="str">
        <f>IF(H218="","",H218/F218)</f>
        <v/>
      </c>
      <c r="J218" s="172"/>
      <c r="K218" s="171"/>
      <c r="L218" s="170" t="str">
        <f>(IF(K218="","",K218-J218))</f>
        <v/>
      </c>
      <c r="M218" s="176" t="str">
        <f>IF(L218="","",L218/J218)</f>
        <v/>
      </c>
      <c r="N218" s="175"/>
      <c r="O218" s="174" t="str">
        <f>IF(K218="","",(G218*K218)/1000000)</f>
        <v/>
      </c>
      <c r="P218" s="173" t="str">
        <f>(IF(O218="","",O218-N218))</f>
        <v/>
      </c>
      <c r="Q218" s="166" t="str">
        <f>IF(P218="","",P218/N218)</f>
        <v/>
      </c>
      <c r="R218" s="172"/>
      <c r="S218" s="171"/>
      <c r="T218" s="170" t="str">
        <f>(IF(S218="","",S218-R218))</f>
        <v/>
      </c>
      <c r="U218" s="166" t="str">
        <f>IF(T218="","",T218/R218)</f>
        <v/>
      </c>
      <c r="V218" s="169" t="str">
        <f>IF(R218="","",(F218*R218)/1000000)</f>
        <v/>
      </c>
      <c r="W218" s="168" t="str">
        <f>IF(S218="","",(G218*S218)/1000000)</f>
        <v/>
      </c>
      <c r="X218" s="167" t="str">
        <f>(IF(W218="","",W218-V218))</f>
        <v/>
      </c>
      <c r="Y218" s="166" t="str">
        <f>IF(X218="","",X218/V218)</f>
        <v/>
      </c>
    </row>
    <row r="219" spans="2:25" x14ac:dyDescent="0.35">
      <c r="B219" s="165"/>
      <c r="C219" s="164"/>
      <c r="D219" s="163"/>
      <c r="E219" s="162" t="s">
        <v>228</v>
      </c>
      <c r="F219" s="161"/>
      <c r="G219" s="160"/>
      <c r="H219" s="149" t="str">
        <f>(IF(G219="","",G219-F219))</f>
        <v/>
      </c>
      <c r="I219" s="159" t="str">
        <f>IF(H219="","",H219/F219)</f>
        <v/>
      </c>
      <c r="J219" s="154">
        <f>J218</f>
        <v>0</v>
      </c>
      <c r="K219" s="153"/>
      <c r="L219" s="152" t="str">
        <f>(IF(K219="","",K219-J219))</f>
        <v/>
      </c>
      <c r="M219" s="158" t="str">
        <f>IF(L219="","",L219/J219)</f>
        <v/>
      </c>
      <c r="N219" s="157"/>
      <c r="O219" s="156" t="str">
        <f>IF(K219="","",(G219*K219)/1000000)</f>
        <v/>
      </c>
      <c r="P219" s="155" t="str">
        <f>(IF(O219="","",O219-N219))</f>
        <v/>
      </c>
      <c r="Q219" s="148" t="str">
        <f>IF(P219="","",P219/N219)</f>
        <v/>
      </c>
      <c r="R219" s="154"/>
      <c r="S219" s="153"/>
      <c r="T219" s="152" t="str">
        <f>(IF(S219="","",S219-R219))</f>
        <v/>
      </c>
      <c r="U219" s="148" t="str">
        <f>IF(T219="","",T219/R219)</f>
        <v/>
      </c>
      <c r="V219" s="151" t="str">
        <f>IF(R219="","",(F219*R219)/1000000)</f>
        <v/>
      </c>
      <c r="W219" s="150" t="str">
        <f>IF(S219="","",(G219*S219)/1000000)</f>
        <v/>
      </c>
      <c r="X219" s="149" t="str">
        <f>(IF(W219="","",W219-V219))</f>
        <v/>
      </c>
      <c r="Y219" s="148" t="str">
        <f>IF(X219="","",X219/V219)</f>
        <v/>
      </c>
    </row>
    <row r="220" spans="2:25" x14ac:dyDescent="0.35">
      <c r="B220" s="147"/>
      <c r="C220" s="146"/>
      <c r="D220" s="145"/>
      <c r="E220" s="144" t="s">
        <v>227</v>
      </c>
      <c r="F220" s="143"/>
      <c r="G220" s="142"/>
      <c r="H220" s="131" t="str">
        <f>(IF(G220="","",G220-F220))</f>
        <v/>
      </c>
      <c r="I220" s="141" t="str">
        <f>IF(H220="","",H220/F220)</f>
        <v/>
      </c>
      <c r="J220" s="136">
        <f>J218</f>
        <v>0</v>
      </c>
      <c r="K220" s="135"/>
      <c r="L220" s="134" t="str">
        <f>(IF(K220="","",K220-J220))</f>
        <v/>
      </c>
      <c r="M220" s="140" t="str">
        <f>IF(L220="","",L220/J220)</f>
        <v/>
      </c>
      <c r="N220" s="139"/>
      <c r="O220" s="138" t="str">
        <f>IF(K220="","",(G220*K220)/1000000)</f>
        <v/>
      </c>
      <c r="P220" s="137" t="str">
        <f>(IF(O220="","",O220-N220))</f>
        <v/>
      </c>
      <c r="Q220" s="130" t="str">
        <f>IF(P220="","",P220/N220)</f>
        <v/>
      </c>
      <c r="R220" s="136"/>
      <c r="S220" s="135"/>
      <c r="T220" s="134" t="str">
        <f>(IF(S220="","",S220-R220))</f>
        <v/>
      </c>
      <c r="U220" s="130" t="str">
        <f>IF(T220="","",T220/R220)</f>
        <v/>
      </c>
      <c r="V220" s="133" t="str">
        <f>IF(R220="","",(F220*R220)/1000000)</f>
        <v/>
      </c>
      <c r="W220" s="132" t="str">
        <f>IF(S220="","",(G220*S220)/1000000)</f>
        <v/>
      </c>
      <c r="X220" s="131" t="str">
        <f>(IF(W220="","",W220-V220))</f>
        <v/>
      </c>
      <c r="Y220" s="130" t="str">
        <f>IF(X220="","",X220/V220)</f>
        <v/>
      </c>
    </row>
    <row r="221" spans="2:25" x14ac:dyDescent="0.35">
      <c r="B221" s="183"/>
      <c r="C221" s="182"/>
      <c r="D221" s="181"/>
      <c r="E221" s="180" t="s">
        <v>229</v>
      </c>
      <c r="F221" s="179"/>
      <c r="G221" s="178"/>
      <c r="H221" s="167" t="str">
        <f>(IF(G221="","",G221-F221))</f>
        <v/>
      </c>
      <c r="I221" s="177" t="str">
        <f>IF(H221="","",H221/F221)</f>
        <v/>
      </c>
      <c r="J221" s="172"/>
      <c r="K221" s="171"/>
      <c r="L221" s="170" t="str">
        <f>(IF(K221="","",K221-J221))</f>
        <v/>
      </c>
      <c r="M221" s="176" t="str">
        <f>IF(L221="","",L221/J221)</f>
        <v/>
      </c>
      <c r="N221" s="175"/>
      <c r="O221" s="174" t="str">
        <f>IF(K221="","",(G221*K221)/1000000)</f>
        <v/>
      </c>
      <c r="P221" s="173" t="str">
        <f>(IF(O221="","",O221-N221))</f>
        <v/>
      </c>
      <c r="Q221" s="166" t="str">
        <f>IF(P221="","",P221/N221)</f>
        <v/>
      </c>
      <c r="R221" s="172"/>
      <c r="S221" s="171"/>
      <c r="T221" s="170" t="str">
        <f>(IF(S221="","",S221-R221))</f>
        <v/>
      </c>
      <c r="U221" s="166" t="str">
        <f>IF(T221="","",T221/R221)</f>
        <v/>
      </c>
      <c r="V221" s="169" t="str">
        <f>IF(R221="","",(F221*R221)/1000000)</f>
        <v/>
      </c>
      <c r="W221" s="168" t="str">
        <f>IF(S221="","",(G221*S221)/1000000)</f>
        <v/>
      </c>
      <c r="X221" s="167" t="str">
        <f>(IF(W221="","",W221-V221))</f>
        <v/>
      </c>
      <c r="Y221" s="166" t="str">
        <f>IF(X221="","",X221/V221)</f>
        <v/>
      </c>
    </row>
    <row r="222" spans="2:25" x14ac:dyDescent="0.35">
      <c r="B222" s="165"/>
      <c r="C222" s="164"/>
      <c r="D222" s="163"/>
      <c r="E222" s="162" t="s">
        <v>228</v>
      </c>
      <c r="F222" s="161"/>
      <c r="G222" s="160"/>
      <c r="H222" s="149" t="str">
        <f>(IF(G222="","",G222-F222))</f>
        <v/>
      </c>
      <c r="I222" s="159" t="str">
        <f>IF(H222="","",H222/F222)</f>
        <v/>
      </c>
      <c r="J222" s="154">
        <f>J221</f>
        <v>0</v>
      </c>
      <c r="K222" s="153"/>
      <c r="L222" s="152" t="str">
        <f>(IF(K222="","",K222-J222))</f>
        <v/>
      </c>
      <c r="M222" s="158" t="str">
        <f>IF(L222="","",L222/J222)</f>
        <v/>
      </c>
      <c r="N222" s="157"/>
      <c r="O222" s="156" t="str">
        <f>IF(K222="","",(G222*K222)/1000000)</f>
        <v/>
      </c>
      <c r="P222" s="155" t="str">
        <f>(IF(O222="","",O222-N222))</f>
        <v/>
      </c>
      <c r="Q222" s="148" t="str">
        <f>IF(P222="","",P222/N222)</f>
        <v/>
      </c>
      <c r="R222" s="154"/>
      <c r="S222" s="153"/>
      <c r="T222" s="152" t="str">
        <f>(IF(S222="","",S222-R222))</f>
        <v/>
      </c>
      <c r="U222" s="148" t="str">
        <f>IF(T222="","",T222/R222)</f>
        <v/>
      </c>
      <c r="V222" s="151" t="str">
        <f>IF(R222="","",(F222*R222)/1000000)</f>
        <v/>
      </c>
      <c r="W222" s="150" t="str">
        <f>IF(S222="","",(G222*S222)/1000000)</f>
        <v/>
      </c>
      <c r="X222" s="149" t="str">
        <f>(IF(W222="","",W222-V222))</f>
        <v/>
      </c>
      <c r="Y222" s="148" t="str">
        <f>IF(X222="","",X222/V222)</f>
        <v/>
      </c>
    </row>
    <row r="223" spans="2:25" x14ac:dyDescent="0.35">
      <c r="B223" s="147"/>
      <c r="C223" s="146"/>
      <c r="D223" s="145"/>
      <c r="E223" s="144" t="s">
        <v>227</v>
      </c>
      <c r="F223" s="143"/>
      <c r="G223" s="142"/>
      <c r="H223" s="131" t="str">
        <f>(IF(G223="","",G223-F223))</f>
        <v/>
      </c>
      <c r="I223" s="141" t="str">
        <f>IF(H223="","",H223/F223)</f>
        <v/>
      </c>
      <c r="J223" s="136">
        <f>J221</f>
        <v>0</v>
      </c>
      <c r="K223" s="135"/>
      <c r="L223" s="134" t="str">
        <f>(IF(K223="","",K223-J223))</f>
        <v/>
      </c>
      <c r="M223" s="140" t="str">
        <f>IF(L223="","",L223/J223)</f>
        <v/>
      </c>
      <c r="N223" s="139"/>
      <c r="O223" s="138" t="str">
        <f>IF(K223="","",(G223*K223)/1000000)</f>
        <v/>
      </c>
      <c r="P223" s="137" t="str">
        <f>(IF(O223="","",O223-N223))</f>
        <v/>
      </c>
      <c r="Q223" s="130" t="str">
        <f>IF(P223="","",P223/N223)</f>
        <v/>
      </c>
      <c r="R223" s="136"/>
      <c r="S223" s="135"/>
      <c r="T223" s="134" t="str">
        <f>(IF(S223="","",S223-R223))</f>
        <v/>
      </c>
      <c r="U223" s="130" t="str">
        <f>IF(T223="","",T223/R223)</f>
        <v/>
      </c>
      <c r="V223" s="133" t="str">
        <f>IF(R223="","",(F223*R223)/1000000)</f>
        <v/>
      </c>
      <c r="W223" s="132" t="str">
        <f>IF(S223="","",(G223*S223)/1000000)</f>
        <v/>
      </c>
      <c r="X223" s="131" t="str">
        <f>(IF(W223="","",W223-V223))</f>
        <v/>
      </c>
      <c r="Y223" s="130" t="str">
        <f>IF(X223="","",X223/V223)</f>
        <v/>
      </c>
    </row>
    <row r="224" spans="2:25" x14ac:dyDescent="0.35">
      <c r="B224" s="183"/>
      <c r="C224" s="182"/>
      <c r="D224" s="181"/>
      <c r="E224" s="180" t="s">
        <v>229</v>
      </c>
      <c r="F224" s="179"/>
      <c r="G224" s="178"/>
      <c r="H224" s="167" t="str">
        <f>(IF(G224="","",G224-F224))</f>
        <v/>
      </c>
      <c r="I224" s="177" t="str">
        <f>IF(H224="","",H224/F224)</f>
        <v/>
      </c>
      <c r="J224" s="172"/>
      <c r="K224" s="171"/>
      <c r="L224" s="170" t="str">
        <f>(IF(K224="","",K224-J224))</f>
        <v/>
      </c>
      <c r="M224" s="176" t="str">
        <f>IF(L224="","",L224/J224)</f>
        <v/>
      </c>
      <c r="N224" s="175"/>
      <c r="O224" s="174" t="str">
        <f>IF(K224="","",(G224*K224)/1000000)</f>
        <v/>
      </c>
      <c r="P224" s="173" t="str">
        <f>(IF(O224="","",O224-N224))</f>
        <v/>
      </c>
      <c r="Q224" s="166" t="str">
        <f>IF(P224="","",P224/N224)</f>
        <v/>
      </c>
      <c r="R224" s="172"/>
      <c r="S224" s="171"/>
      <c r="T224" s="170" t="str">
        <f>(IF(S224="","",S224-R224))</f>
        <v/>
      </c>
      <c r="U224" s="166" t="str">
        <f>IF(T224="","",T224/R224)</f>
        <v/>
      </c>
      <c r="V224" s="169" t="str">
        <f>IF(R224="","",(F224*R224)/1000000)</f>
        <v/>
      </c>
      <c r="W224" s="168" t="str">
        <f>IF(S224="","",(G224*S224)/1000000)</f>
        <v/>
      </c>
      <c r="X224" s="167" t="str">
        <f>(IF(W224="","",W224-V224))</f>
        <v/>
      </c>
      <c r="Y224" s="166" t="str">
        <f>IF(X224="","",X224/V224)</f>
        <v/>
      </c>
    </row>
    <row r="225" spans="2:25" x14ac:dyDescent="0.35">
      <c r="B225" s="165"/>
      <c r="C225" s="164"/>
      <c r="D225" s="163"/>
      <c r="E225" s="162" t="s">
        <v>228</v>
      </c>
      <c r="F225" s="161"/>
      <c r="G225" s="160"/>
      <c r="H225" s="149" t="str">
        <f>(IF(G225="","",G225-F225))</f>
        <v/>
      </c>
      <c r="I225" s="159" t="str">
        <f>IF(H225="","",H225/F225)</f>
        <v/>
      </c>
      <c r="J225" s="154">
        <f>J224</f>
        <v>0</v>
      </c>
      <c r="K225" s="153"/>
      <c r="L225" s="152" t="str">
        <f>(IF(K225="","",K225-J225))</f>
        <v/>
      </c>
      <c r="M225" s="158" t="str">
        <f>IF(L225="","",L225/J225)</f>
        <v/>
      </c>
      <c r="N225" s="157"/>
      <c r="O225" s="156" t="str">
        <f>IF(K225="","",(G225*K225)/1000000)</f>
        <v/>
      </c>
      <c r="P225" s="155" t="str">
        <f>(IF(O225="","",O225-N225))</f>
        <v/>
      </c>
      <c r="Q225" s="148" t="str">
        <f>IF(P225="","",P225/N225)</f>
        <v/>
      </c>
      <c r="R225" s="154"/>
      <c r="S225" s="153"/>
      <c r="T225" s="152" t="str">
        <f>(IF(S225="","",S225-R225))</f>
        <v/>
      </c>
      <c r="U225" s="148" t="str">
        <f>IF(T225="","",T225/R225)</f>
        <v/>
      </c>
      <c r="V225" s="151" t="str">
        <f>IF(R225="","",(F225*R225)/1000000)</f>
        <v/>
      </c>
      <c r="W225" s="150" t="str">
        <f>IF(S225="","",(G225*S225)/1000000)</f>
        <v/>
      </c>
      <c r="X225" s="149" t="str">
        <f>(IF(W225="","",W225-V225))</f>
        <v/>
      </c>
      <c r="Y225" s="148" t="str">
        <f>IF(X225="","",X225/V225)</f>
        <v/>
      </c>
    </row>
    <row r="226" spans="2:25" x14ac:dyDescent="0.35">
      <c r="B226" s="147"/>
      <c r="C226" s="146"/>
      <c r="D226" s="145"/>
      <c r="E226" s="144" t="s">
        <v>227</v>
      </c>
      <c r="F226" s="143"/>
      <c r="G226" s="142"/>
      <c r="H226" s="131" t="str">
        <f>(IF(G226="","",G226-F226))</f>
        <v/>
      </c>
      <c r="I226" s="141" t="str">
        <f>IF(H226="","",H226/F226)</f>
        <v/>
      </c>
      <c r="J226" s="136">
        <f>J224</f>
        <v>0</v>
      </c>
      <c r="K226" s="135"/>
      <c r="L226" s="134" t="str">
        <f>(IF(K226="","",K226-J226))</f>
        <v/>
      </c>
      <c r="M226" s="140" t="str">
        <f>IF(L226="","",L226/J226)</f>
        <v/>
      </c>
      <c r="N226" s="139"/>
      <c r="O226" s="138" t="str">
        <f>IF(K226="","",(G226*K226)/1000000)</f>
        <v/>
      </c>
      <c r="P226" s="137" t="str">
        <f>(IF(O226="","",O226-N226))</f>
        <v/>
      </c>
      <c r="Q226" s="130" t="str">
        <f>IF(P226="","",P226/N226)</f>
        <v/>
      </c>
      <c r="R226" s="136"/>
      <c r="S226" s="135"/>
      <c r="T226" s="134" t="str">
        <f>(IF(S226="","",S226-R226))</f>
        <v/>
      </c>
      <c r="U226" s="130" t="str">
        <f>IF(T226="","",T226/R226)</f>
        <v/>
      </c>
      <c r="V226" s="133" t="str">
        <f>IF(R226="","",(F226*R226)/1000000)</f>
        <v/>
      </c>
      <c r="W226" s="132" t="str">
        <f>IF(S226="","",(G226*S226)/1000000)</f>
        <v/>
      </c>
      <c r="X226" s="131" t="str">
        <f>(IF(W226="","",W226-V226))</f>
        <v/>
      </c>
      <c r="Y226" s="130" t="str">
        <f>IF(X226="","",X226/V226)</f>
        <v/>
      </c>
    </row>
  </sheetData>
  <mergeCells count="120">
    <mergeCell ref="M5:O5"/>
    <mergeCell ref="B6:B7"/>
    <mergeCell ref="C6:D6"/>
    <mergeCell ref="E6:E7"/>
    <mergeCell ref="Z6:AG7"/>
    <mergeCell ref="A8:A10"/>
    <mergeCell ref="B8:B10"/>
    <mergeCell ref="D8:D10"/>
    <mergeCell ref="Z9:AG9"/>
    <mergeCell ref="A11:A13"/>
    <mergeCell ref="B11:B13"/>
    <mergeCell ref="D11:D13"/>
    <mergeCell ref="Z12:AG12"/>
    <mergeCell ref="A14:A16"/>
    <mergeCell ref="B14:B16"/>
    <mergeCell ref="D14:D16"/>
    <mergeCell ref="Z15:AG15"/>
    <mergeCell ref="A17:A19"/>
    <mergeCell ref="B17:B19"/>
    <mergeCell ref="D17:D19"/>
    <mergeCell ref="Z18:AG18"/>
    <mergeCell ref="A20:A22"/>
    <mergeCell ref="B20:B22"/>
    <mergeCell ref="D20:D22"/>
    <mergeCell ref="Z21:AG21"/>
    <mergeCell ref="A23:A25"/>
    <mergeCell ref="B23:B25"/>
    <mergeCell ref="D23:D25"/>
    <mergeCell ref="Z24:AG24"/>
    <mergeCell ref="A26:A28"/>
    <mergeCell ref="B26:B28"/>
    <mergeCell ref="D26:D28"/>
    <mergeCell ref="Z27:AG27"/>
    <mergeCell ref="A29:A31"/>
    <mergeCell ref="B29:B31"/>
    <mergeCell ref="D29:D31"/>
    <mergeCell ref="Z30:AG30"/>
    <mergeCell ref="B32:B34"/>
    <mergeCell ref="D32:D34"/>
    <mergeCell ref="Z33:AG33"/>
    <mergeCell ref="B35:B37"/>
    <mergeCell ref="D35:D37"/>
    <mergeCell ref="Z36:AG36"/>
    <mergeCell ref="A38:A40"/>
    <mergeCell ref="B38:B40"/>
    <mergeCell ref="D38:D40"/>
    <mergeCell ref="Z39:AG39"/>
    <mergeCell ref="A41:A43"/>
    <mergeCell ref="B41:B43"/>
    <mergeCell ref="D41:D43"/>
    <mergeCell ref="Z42:AG42"/>
    <mergeCell ref="A44:A46"/>
    <mergeCell ref="B44:B46"/>
    <mergeCell ref="D44:D46"/>
    <mergeCell ref="Z45:AG45"/>
    <mergeCell ref="A47:A49"/>
    <mergeCell ref="B47:B49"/>
    <mergeCell ref="D47:D49"/>
    <mergeCell ref="Z48:AG48"/>
    <mergeCell ref="A50:A52"/>
    <mergeCell ref="B50:B52"/>
    <mergeCell ref="D50:D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15:B217"/>
    <mergeCell ref="B218:B220"/>
    <mergeCell ref="B221:B223"/>
    <mergeCell ref="B224:B226"/>
    <mergeCell ref="B197:B199"/>
    <mergeCell ref="B200:B202"/>
    <mergeCell ref="B203:B205"/>
    <mergeCell ref="B206:B208"/>
    <mergeCell ref="B209:B211"/>
    <mergeCell ref="B212:B214"/>
  </mergeCells>
  <printOptions horizontalCentered="1" verticalCentered="1"/>
  <pageMargins left="0" right="0" top="0" bottom="0" header="0" footer="0"/>
  <pageSetup scale="4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ED88-C61B-40E5-91DC-1762E05C49AC}">
  <dimension ref="A2:A11"/>
  <sheetViews>
    <sheetView workbookViewId="0">
      <selection activeCell="A2" sqref="A2:A11"/>
    </sheetView>
  </sheetViews>
  <sheetFormatPr baseColWidth="10"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9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6D514-5CC5-4396-AB58-452DAD624508}"/>
</file>

<file path=customXml/itemProps2.xml><?xml version="1.0" encoding="utf-8"?>
<ds:datastoreItem xmlns:ds="http://schemas.openxmlformats.org/officeDocument/2006/customXml" ds:itemID="{631735AC-EF46-414B-A413-3C733C15F9AB}"/>
</file>

<file path=customXml/itemProps3.xml><?xml version="1.0" encoding="utf-8"?>
<ds:datastoreItem xmlns:ds="http://schemas.openxmlformats.org/officeDocument/2006/customXml" ds:itemID="{815B4F2E-1A41-44B3-A5BE-EBFD26AC93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ENSAYES EN CONJUNTO SJ</vt:lpstr>
      <vt:lpstr>Remuestreo 2026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EMMANUEL LUNA HERNANDEZ</dc:creator>
  <cp:lastModifiedBy>CHRISTIAN EMMANUEL LUNA HERNANDEZ</cp:lastModifiedBy>
  <dcterms:created xsi:type="dcterms:W3CDTF">2026-09-18T19:26:42Z</dcterms:created>
  <dcterms:modified xsi:type="dcterms:W3CDTF">2026-09-18T21:24:13Z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2026-09-18T19:38:49Z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f61d2d27-ddf0-44b7-9297-f64cb7e01691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</Properties>
</file>