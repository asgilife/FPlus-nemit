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theme/theme1.xml" ContentType="application/vnd.openxmlformats-officedocument.theme+xml"/>
  <Override PartName="/xl/drawings/drawing5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olescommx-my.sharepoint.com/personal/christian_luna_fresnilloplc_com/Documents/Documentos/CORPORATIVO/PROFORMA LIQUIDACIONES/"/>
    </mc:Choice>
  </mc:AlternateContent>
  <xr:revisionPtr revIDLastSave="16" documentId="8_{88C44C8B-39F0-4288-BE26-D23AC9E3EC45}" xr6:coauthVersionLast="47" xr6:coauthVersionMax="47" xr10:uidLastSave="{06BFF16F-8F45-45E7-99A0-99D83E047D87}"/>
  <bookViews>
    <workbookView xWindow="-28920" yWindow="1770" windowWidth="29040" windowHeight="15720" xr2:uid="{91DD14E4-2085-46E5-840B-96042F8D3290}"/>
  </bookViews>
  <sheets>
    <sheet name="PROF. Pb Y Zn " sheetId="2" r:id="rId1"/>
    <sheet name="PROF. PRECIPITADO" sheetId="3" r:id="rId2"/>
    <sheet name="ENSAYES EN CONJUNTO SAU" sheetId="4" r:id="rId3"/>
    <sheet name="ENSAYES EN CONJUNTO SJ" sheetId="6" r:id="rId4"/>
    <sheet name="ENSAYES MET-MEX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6" l="1"/>
  <c r="H13" i="6"/>
  <c r="K13" i="6"/>
  <c r="L13" i="6"/>
  <c r="M13" i="6"/>
  <c r="N13" i="6"/>
  <c r="O13" i="6" s="1"/>
  <c r="P13" i="6" s="1"/>
  <c r="S13" i="6"/>
  <c r="T13" i="6"/>
  <c r="U13" i="6"/>
  <c r="V13" i="6"/>
  <c r="W13" i="6" s="1"/>
  <c r="X13" i="6" s="1"/>
  <c r="G14" i="6"/>
  <c r="H14" i="6"/>
  <c r="K14" i="6"/>
  <c r="L14" i="6" s="1"/>
  <c r="M14" i="6"/>
  <c r="O14" i="6" s="1"/>
  <c r="N14" i="6"/>
  <c r="P14" i="6"/>
  <c r="S14" i="6"/>
  <c r="T14" i="6" s="1"/>
  <c r="U14" i="6"/>
  <c r="V14" i="6"/>
  <c r="W14" i="6" s="1"/>
  <c r="X14" i="6" s="1"/>
  <c r="G15" i="6"/>
  <c r="H15" i="6"/>
  <c r="K15" i="6"/>
  <c r="L15" i="6" s="1"/>
  <c r="M15" i="6"/>
  <c r="N15" i="6"/>
  <c r="O15" i="6" s="1"/>
  <c r="P15" i="6" s="1"/>
  <c r="S15" i="6"/>
  <c r="T15" i="6" s="1"/>
  <c r="U15" i="6"/>
  <c r="V15" i="6"/>
  <c r="W15" i="6"/>
  <c r="X15" i="6" s="1"/>
  <c r="G16" i="6"/>
  <c r="H16" i="6" s="1"/>
  <c r="K16" i="6"/>
  <c r="L16" i="6"/>
  <c r="M16" i="6"/>
  <c r="N16" i="6"/>
  <c r="S16" i="6"/>
  <c r="T16" i="6"/>
  <c r="U16" i="6"/>
  <c r="V16" i="6"/>
  <c r="W16" i="6" s="1"/>
  <c r="X16" i="6" s="1"/>
  <c r="G17" i="6"/>
  <c r="H17" i="6"/>
  <c r="K17" i="6"/>
  <c r="L17" i="6"/>
  <c r="M17" i="6"/>
  <c r="N17" i="6"/>
  <c r="O17" i="6" s="1"/>
  <c r="P17" i="6" s="1"/>
  <c r="S17" i="6"/>
  <c r="T17" i="6" s="1"/>
  <c r="U17" i="6"/>
  <c r="W17" i="6" s="1"/>
  <c r="V17" i="6"/>
  <c r="X17" i="6"/>
  <c r="G18" i="6"/>
  <c r="H18" i="6" s="1"/>
  <c r="K18" i="6"/>
  <c r="L18" i="6" s="1"/>
  <c r="M18" i="6"/>
  <c r="N18" i="6"/>
  <c r="O18" i="6"/>
  <c r="P18" i="6"/>
  <c r="S18" i="6"/>
  <c r="T18" i="6" s="1"/>
  <c r="U18" i="6"/>
  <c r="V18" i="6"/>
  <c r="W18" i="6"/>
  <c r="X18" i="6"/>
  <c r="G19" i="6"/>
  <c r="H19" i="6" s="1"/>
  <c r="K19" i="6"/>
  <c r="L19" i="6"/>
  <c r="M19" i="6"/>
  <c r="N19" i="6"/>
  <c r="O19" i="6" s="1"/>
  <c r="P19" i="6" s="1"/>
  <c r="S19" i="6"/>
  <c r="T19" i="6"/>
  <c r="U19" i="6"/>
  <c r="V19" i="6"/>
  <c r="G20" i="6"/>
  <c r="H20" i="6"/>
  <c r="K20" i="6"/>
  <c r="L20" i="6"/>
  <c r="M20" i="6"/>
  <c r="O20" i="6" s="1"/>
  <c r="N20" i="6"/>
  <c r="P20" i="6"/>
  <c r="S20" i="6"/>
  <c r="T20" i="6"/>
  <c r="U20" i="6"/>
  <c r="V20" i="6"/>
  <c r="W20" i="6" s="1"/>
  <c r="X20" i="6" s="1"/>
  <c r="G21" i="6"/>
  <c r="H21" i="6" s="1"/>
  <c r="K21" i="6"/>
  <c r="L21" i="6" s="1"/>
  <c r="M21" i="6"/>
  <c r="N21" i="6"/>
  <c r="O21" i="6" s="1"/>
  <c r="P21" i="6" s="1"/>
  <c r="S21" i="6"/>
  <c r="T21" i="6" s="1"/>
  <c r="U21" i="6"/>
  <c r="V21" i="6"/>
  <c r="W21" i="6"/>
  <c r="X21" i="6" s="1"/>
  <c r="G22" i="6"/>
  <c r="H22" i="6" s="1"/>
  <c r="K22" i="6"/>
  <c r="L22" i="6"/>
  <c r="M22" i="6"/>
  <c r="N22" i="6"/>
  <c r="O22" i="6" s="1"/>
  <c r="P22" i="6" s="1"/>
  <c r="S22" i="6"/>
  <c r="T22" i="6"/>
  <c r="U22" i="6"/>
  <c r="V22" i="6"/>
  <c r="W22" i="6" s="1"/>
  <c r="X22" i="6" s="1"/>
  <c r="G23" i="6"/>
  <c r="H23" i="6"/>
  <c r="K23" i="6"/>
  <c r="L23" i="6" s="1"/>
  <c r="M23" i="6"/>
  <c r="N23" i="6"/>
  <c r="O23" i="6" s="1"/>
  <c r="P23" i="6" s="1"/>
  <c r="S23" i="6"/>
  <c r="T23" i="6"/>
  <c r="U23" i="6"/>
  <c r="W23" i="6" s="1"/>
  <c r="V23" i="6"/>
  <c r="X23" i="6"/>
  <c r="G24" i="6"/>
  <c r="H24" i="6"/>
  <c r="K24" i="6"/>
  <c r="L24" i="6" s="1"/>
  <c r="M24" i="6"/>
  <c r="N24" i="6"/>
  <c r="O24" i="6"/>
  <c r="P24" i="6"/>
  <c r="S24" i="6"/>
  <c r="T24" i="6" s="1"/>
  <c r="U24" i="6"/>
  <c r="V24" i="6"/>
  <c r="W24" i="6"/>
  <c r="X24" i="6" s="1"/>
  <c r="G25" i="6"/>
  <c r="H25" i="6" s="1"/>
  <c r="K25" i="6"/>
  <c r="L25" i="6"/>
  <c r="M25" i="6"/>
  <c r="N25" i="6"/>
  <c r="S25" i="6"/>
  <c r="T25" i="6"/>
  <c r="U25" i="6"/>
  <c r="V25" i="6"/>
  <c r="W25" i="6" s="1"/>
  <c r="X25" i="6" s="1"/>
  <c r="G26" i="6"/>
  <c r="H26" i="6"/>
  <c r="K26" i="6"/>
  <c r="L26" i="6"/>
  <c r="M26" i="6"/>
  <c r="O26" i="6" s="1"/>
  <c r="P26" i="6" s="1"/>
  <c r="N26" i="6"/>
  <c r="S26" i="6"/>
  <c r="T26" i="6" s="1"/>
  <c r="U26" i="6"/>
  <c r="V26" i="6"/>
  <c r="W26" i="6" s="1"/>
  <c r="X26" i="6" s="1"/>
  <c r="G27" i="6"/>
  <c r="H27" i="6" s="1"/>
  <c r="K27" i="6"/>
  <c r="L27" i="6" s="1"/>
  <c r="M27" i="6"/>
  <c r="N27" i="6"/>
  <c r="O27" i="6"/>
  <c r="P27" i="6"/>
  <c r="S27" i="6"/>
  <c r="T27" i="6" s="1"/>
  <c r="U27" i="6"/>
  <c r="V27" i="6"/>
  <c r="W27" i="6"/>
  <c r="X27" i="6"/>
  <c r="G28" i="6"/>
  <c r="H28" i="6" s="1"/>
  <c r="K28" i="6"/>
  <c r="L28" i="6"/>
  <c r="M28" i="6"/>
  <c r="N28" i="6"/>
  <c r="O28" i="6" s="1"/>
  <c r="P28" i="6" s="1"/>
  <c r="S28" i="6"/>
  <c r="T28" i="6"/>
  <c r="U28" i="6"/>
  <c r="V28" i="6"/>
  <c r="G29" i="6"/>
  <c r="H29" i="6"/>
  <c r="K29" i="6"/>
  <c r="L29" i="6"/>
  <c r="M29" i="6"/>
  <c r="N29" i="6"/>
  <c r="O29" i="6" s="1"/>
  <c r="P29" i="6" s="1"/>
  <c r="S29" i="6"/>
  <c r="T29" i="6"/>
  <c r="U29" i="6"/>
  <c r="W29" i="6" s="1"/>
  <c r="X29" i="6" s="1"/>
  <c r="V29" i="6"/>
  <c r="G30" i="6"/>
  <c r="H30" i="6" s="1"/>
  <c r="K30" i="6"/>
  <c r="L30" i="6" s="1"/>
  <c r="M30" i="6"/>
  <c r="N30" i="6"/>
  <c r="O30" i="6"/>
  <c r="P30" i="6"/>
  <c r="S30" i="6"/>
  <c r="T30" i="6" s="1"/>
  <c r="U30" i="6"/>
  <c r="V30" i="6"/>
  <c r="W30" i="6"/>
  <c r="X30" i="6" s="1"/>
  <c r="G31" i="6"/>
  <c r="H31" i="6" s="1"/>
  <c r="K31" i="6"/>
  <c r="L31" i="6"/>
  <c r="M31" i="6"/>
  <c r="N31" i="6"/>
  <c r="O31" i="6" s="1"/>
  <c r="P31" i="6" s="1"/>
  <c r="S31" i="6"/>
  <c r="T31" i="6"/>
  <c r="U31" i="6"/>
  <c r="V31" i="6"/>
  <c r="W31" i="6" s="1"/>
  <c r="X31" i="6" s="1"/>
  <c r="G32" i="6"/>
  <c r="H32" i="6"/>
  <c r="K32" i="6"/>
  <c r="L32" i="6" s="1"/>
  <c r="M32" i="6"/>
  <c r="O32" i="6" s="1"/>
  <c r="N32" i="6"/>
  <c r="P32" i="6"/>
  <c r="S32" i="6"/>
  <c r="T32" i="6" s="1"/>
  <c r="U32" i="6"/>
  <c r="V32" i="6"/>
  <c r="W32" i="6" s="1"/>
  <c r="X32" i="6" s="1"/>
  <c r="G33" i="6"/>
  <c r="H33" i="6"/>
  <c r="K33" i="6"/>
  <c r="L33" i="6" s="1"/>
  <c r="M33" i="6"/>
  <c r="N33" i="6"/>
  <c r="O33" i="6" s="1"/>
  <c r="P33" i="6" s="1"/>
  <c r="S33" i="6"/>
  <c r="T33" i="6" s="1"/>
  <c r="U33" i="6"/>
  <c r="V33" i="6"/>
  <c r="W33" i="6"/>
  <c r="X33" i="6" s="1"/>
  <c r="G34" i="6"/>
  <c r="H34" i="6" s="1"/>
  <c r="K34" i="6"/>
  <c r="L34" i="6"/>
  <c r="M34" i="6"/>
  <c r="N34" i="6"/>
  <c r="S34" i="6"/>
  <c r="T34" i="6"/>
  <c r="U34" i="6"/>
  <c r="V34" i="6"/>
  <c r="W34" i="6" s="1"/>
  <c r="X34" i="6" s="1"/>
  <c r="G35" i="6"/>
  <c r="H35" i="6"/>
  <c r="K35" i="6"/>
  <c r="L35" i="6"/>
  <c r="M35" i="6"/>
  <c r="N35" i="6"/>
  <c r="O35" i="6" s="1"/>
  <c r="P35" i="6" s="1"/>
  <c r="S35" i="6"/>
  <c r="T35" i="6" s="1"/>
  <c r="U35" i="6"/>
  <c r="W35" i="6" s="1"/>
  <c r="V35" i="6"/>
  <c r="X35" i="6"/>
  <c r="G36" i="6"/>
  <c r="H36" i="6" s="1"/>
  <c r="K36" i="6"/>
  <c r="L36" i="6" s="1"/>
  <c r="M36" i="6"/>
  <c r="N36" i="6"/>
  <c r="O36" i="6"/>
  <c r="P36" i="6"/>
  <c r="S36" i="6"/>
  <c r="T36" i="6" s="1"/>
  <c r="U36" i="6"/>
  <c r="V36" i="6"/>
  <c r="W36" i="6"/>
  <c r="X36" i="6"/>
  <c r="G37" i="6"/>
  <c r="H37" i="6" s="1"/>
  <c r="K37" i="6"/>
  <c r="L37" i="6"/>
  <c r="M37" i="6"/>
  <c r="N37" i="6"/>
  <c r="O37" i="6" s="1"/>
  <c r="P37" i="6" s="1"/>
  <c r="S37" i="6"/>
  <c r="T37" i="6"/>
  <c r="U37" i="6"/>
  <c r="V37" i="6"/>
  <c r="G38" i="6"/>
  <c r="H38" i="6"/>
  <c r="K38" i="6"/>
  <c r="L38" i="6"/>
  <c r="M38" i="6"/>
  <c r="O38" i="6" s="1"/>
  <c r="N38" i="6"/>
  <c r="P38" i="6"/>
  <c r="S38" i="6"/>
  <c r="T38" i="6"/>
  <c r="U38" i="6"/>
  <c r="V38" i="6"/>
  <c r="W38" i="6" s="1"/>
  <c r="X38" i="6" s="1"/>
  <c r="G39" i="6"/>
  <c r="H39" i="6" s="1"/>
  <c r="K39" i="6"/>
  <c r="L39" i="6" s="1"/>
  <c r="M39" i="6"/>
  <c r="N39" i="6"/>
  <c r="O39" i="6" s="1"/>
  <c r="P39" i="6" s="1"/>
  <c r="S39" i="6"/>
  <c r="T39" i="6" s="1"/>
  <c r="U39" i="6"/>
  <c r="V39" i="6"/>
  <c r="W39" i="6"/>
  <c r="X39" i="6" s="1"/>
  <c r="G40" i="6"/>
  <c r="H40" i="6" s="1"/>
  <c r="K40" i="6"/>
  <c r="L40" i="6"/>
  <c r="M40" i="6"/>
  <c r="N40" i="6"/>
  <c r="O40" i="6" s="1"/>
  <c r="P40" i="6" s="1"/>
  <c r="S40" i="6"/>
  <c r="T40" i="6"/>
  <c r="U40" i="6"/>
  <c r="V40" i="6"/>
  <c r="W40" i="6" s="1"/>
  <c r="X40" i="6" s="1"/>
  <c r="G41" i="6"/>
  <c r="H41" i="6"/>
  <c r="K41" i="6"/>
  <c r="L41" i="6" s="1"/>
  <c r="M41" i="6"/>
  <c r="N41" i="6"/>
  <c r="O41" i="6" s="1"/>
  <c r="P41" i="6" s="1"/>
  <c r="S41" i="6"/>
  <c r="T41" i="6"/>
  <c r="U41" i="6"/>
  <c r="W41" i="6" s="1"/>
  <c r="V41" i="6"/>
  <c r="X41" i="6"/>
  <c r="G42" i="6"/>
  <c r="H42" i="6"/>
  <c r="K42" i="6"/>
  <c r="L42" i="6" s="1"/>
  <c r="M42" i="6"/>
  <c r="N42" i="6"/>
  <c r="O42" i="6"/>
  <c r="P42" i="6"/>
  <c r="S42" i="6"/>
  <c r="T42" i="6" s="1"/>
  <c r="U42" i="6"/>
  <c r="V42" i="6"/>
  <c r="W42" i="6"/>
  <c r="X42" i="6" s="1"/>
  <c r="G43" i="6"/>
  <c r="H43" i="6" s="1"/>
  <c r="K43" i="6"/>
  <c r="L43" i="6"/>
  <c r="M43" i="6"/>
  <c r="N43" i="6"/>
  <c r="S43" i="6"/>
  <c r="T43" i="6"/>
  <c r="U43" i="6"/>
  <c r="V43" i="6"/>
  <c r="W43" i="6" s="1"/>
  <c r="X43" i="6" s="1"/>
  <c r="G44" i="6"/>
  <c r="H44" i="6"/>
  <c r="K44" i="6"/>
  <c r="L44" i="6"/>
  <c r="M44" i="6"/>
  <c r="O44" i="6" s="1"/>
  <c r="P44" i="6" s="1"/>
  <c r="N44" i="6"/>
  <c r="S44" i="6"/>
  <c r="T44" i="6" s="1"/>
  <c r="U44" i="6"/>
  <c r="V44" i="6"/>
  <c r="W44" i="6" s="1"/>
  <c r="X44" i="6" s="1"/>
  <c r="G45" i="6"/>
  <c r="H45" i="6" s="1"/>
  <c r="K45" i="6"/>
  <c r="L45" i="6" s="1"/>
  <c r="M45" i="6"/>
  <c r="N45" i="6"/>
  <c r="O45" i="6"/>
  <c r="P45" i="6"/>
  <c r="S45" i="6"/>
  <c r="T45" i="6" s="1"/>
  <c r="U45" i="6"/>
  <c r="V45" i="6"/>
  <c r="W45" i="6"/>
  <c r="X45" i="6"/>
  <c r="G46" i="6"/>
  <c r="H46" i="6" s="1"/>
  <c r="K46" i="6"/>
  <c r="L46" i="6"/>
  <c r="M46" i="6"/>
  <c r="N46" i="6"/>
  <c r="O46" i="6" s="1"/>
  <c r="P46" i="6" s="1"/>
  <c r="S46" i="6"/>
  <c r="T46" i="6"/>
  <c r="U46" i="6"/>
  <c r="V46" i="6"/>
  <c r="G47" i="6"/>
  <c r="H47" i="6"/>
  <c r="K47" i="6"/>
  <c r="L47" i="6"/>
  <c r="M47" i="6"/>
  <c r="N47" i="6"/>
  <c r="O47" i="6" s="1"/>
  <c r="P47" i="6" s="1"/>
  <c r="S47" i="6"/>
  <c r="T47" i="6"/>
  <c r="U47" i="6"/>
  <c r="W47" i="6" s="1"/>
  <c r="X47" i="6" s="1"/>
  <c r="V47" i="6"/>
  <c r="G48" i="6"/>
  <c r="H48" i="6" s="1"/>
  <c r="K48" i="6"/>
  <c r="L48" i="6" s="1"/>
  <c r="M48" i="6"/>
  <c r="N48" i="6"/>
  <c r="O48" i="6"/>
  <c r="P48" i="6"/>
  <c r="S48" i="6"/>
  <c r="T48" i="6" s="1"/>
  <c r="U48" i="6"/>
  <c r="V48" i="6"/>
  <c r="W48" i="6"/>
  <c r="X48" i="6" s="1"/>
  <c r="G49" i="6"/>
  <c r="H49" i="6" s="1"/>
  <c r="K49" i="6"/>
  <c r="L49" i="6"/>
  <c r="M49" i="6"/>
  <c r="N49" i="6"/>
  <c r="O49" i="6" s="1"/>
  <c r="P49" i="6" s="1"/>
  <c r="S49" i="6"/>
  <c r="T49" i="6"/>
  <c r="U49" i="6"/>
  <c r="V49" i="6"/>
  <c r="W49" i="6" s="1"/>
  <c r="X49" i="6" s="1"/>
  <c r="G50" i="6"/>
  <c r="H50" i="6"/>
  <c r="K50" i="6"/>
  <c r="L50" i="6" s="1"/>
  <c r="M50" i="6"/>
  <c r="O50" i="6" s="1"/>
  <c r="N50" i="6"/>
  <c r="P50" i="6"/>
  <c r="S50" i="6"/>
  <c r="T50" i="6" s="1"/>
  <c r="U50" i="6"/>
  <c r="V50" i="6"/>
  <c r="W50" i="6" s="1"/>
  <c r="X50" i="6" s="1"/>
  <c r="G51" i="6"/>
  <c r="H51" i="6"/>
  <c r="K51" i="6"/>
  <c r="L51" i="6" s="1"/>
  <c r="M51" i="6"/>
  <c r="N51" i="6"/>
  <c r="O51" i="6" s="1"/>
  <c r="P51" i="6" s="1"/>
  <c r="S51" i="6"/>
  <c r="T51" i="6" s="1"/>
  <c r="U51" i="6"/>
  <c r="V51" i="6"/>
  <c r="W51" i="6"/>
  <c r="X51" i="6" s="1"/>
  <c r="G52" i="6"/>
  <c r="H52" i="6" s="1"/>
  <c r="K52" i="6"/>
  <c r="L52" i="6"/>
  <c r="M52" i="6"/>
  <c r="N52" i="6"/>
  <c r="S52" i="6"/>
  <c r="T52" i="6"/>
  <c r="U52" i="6"/>
  <c r="V52" i="6"/>
  <c r="W52" i="6" s="1"/>
  <c r="X52" i="6" s="1"/>
  <c r="G53" i="6"/>
  <c r="H53" i="6"/>
  <c r="K53" i="6"/>
  <c r="L53" i="6"/>
  <c r="M53" i="6"/>
  <c r="N53" i="6"/>
  <c r="O53" i="6" s="1"/>
  <c r="P53" i="6" s="1"/>
  <c r="S53" i="6"/>
  <c r="T53" i="6" s="1"/>
  <c r="U53" i="6"/>
  <c r="W53" i="6" s="1"/>
  <c r="V53" i="6"/>
  <c r="X53" i="6"/>
  <c r="G54" i="6"/>
  <c r="H54" i="6" s="1"/>
  <c r="K54" i="6"/>
  <c r="L54" i="6" s="1"/>
  <c r="M54" i="6"/>
  <c r="N54" i="6"/>
  <c r="O54" i="6"/>
  <c r="P54" i="6"/>
  <c r="S54" i="6"/>
  <c r="T54" i="6" s="1"/>
  <c r="U54" i="6"/>
  <c r="V54" i="6"/>
  <c r="W54" i="6"/>
  <c r="X54" i="6"/>
  <c r="G55" i="6"/>
  <c r="H55" i="6" s="1"/>
  <c r="K55" i="6"/>
  <c r="L55" i="6"/>
  <c r="M55" i="6"/>
  <c r="N55" i="6"/>
  <c r="O55" i="6" s="1"/>
  <c r="P55" i="6" s="1"/>
  <c r="S55" i="6"/>
  <c r="T55" i="6"/>
  <c r="U55" i="6"/>
  <c r="V55" i="6"/>
  <c r="G56" i="6"/>
  <c r="H56" i="6"/>
  <c r="K56" i="6"/>
  <c r="L56" i="6"/>
  <c r="M56" i="6"/>
  <c r="O56" i="6" s="1"/>
  <c r="N56" i="6"/>
  <c r="P56" i="6"/>
  <c r="S56" i="6"/>
  <c r="T56" i="6"/>
  <c r="U56" i="6"/>
  <c r="V56" i="6"/>
  <c r="W56" i="6" s="1"/>
  <c r="X56" i="6" s="1"/>
  <c r="G57" i="6"/>
  <c r="H57" i="6" s="1"/>
  <c r="K57" i="6"/>
  <c r="L57" i="6" s="1"/>
  <c r="M57" i="6"/>
  <c r="N57" i="6"/>
  <c r="O57" i="6" s="1"/>
  <c r="P57" i="6" s="1"/>
  <c r="S57" i="6"/>
  <c r="T57" i="6" s="1"/>
  <c r="U57" i="6"/>
  <c r="V57" i="6"/>
  <c r="W57" i="6"/>
  <c r="X57" i="6" s="1"/>
  <c r="G58" i="6"/>
  <c r="H58" i="6" s="1"/>
  <c r="K58" i="6"/>
  <c r="L58" i="6"/>
  <c r="M58" i="6"/>
  <c r="N58" i="6"/>
  <c r="O58" i="6" s="1"/>
  <c r="P58" i="6" s="1"/>
  <c r="S58" i="6"/>
  <c r="T58" i="6"/>
  <c r="U58" i="6"/>
  <c r="V58" i="6"/>
  <c r="W58" i="6" s="1"/>
  <c r="X58" i="6" s="1"/>
  <c r="G59" i="6"/>
  <c r="H59" i="6"/>
  <c r="K59" i="6"/>
  <c r="L59" i="6" s="1"/>
  <c r="M59" i="6"/>
  <c r="N59" i="6"/>
  <c r="O59" i="6" s="1"/>
  <c r="P59" i="6" s="1"/>
  <c r="S59" i="6"/>
  <c r="T59" i="6"/>
  <c r="U59" i="6"/>
  <c r="W59" i="6" s="1"/>
  <c r="V59" i="6"/>
  <c r="X59" i="6"/>
  <c r="G60" i="6"/>
  <c r="H60" i="6"/>
  <c r="K60" i="6"/>
  <c r="L60" i="6" s="1"/>
  <c r="M60" i="6"/>
  <c r="N60" i="6"/>
  <c r="O60" i="6"/>
  <c r="P60" i="6"/>
  <c r="S60" i="6"/>
  <c r="T60" i="6" s="1"/>
  <c r="U60" i="6"/>
  <c r="V60" i="6"/>
  <c r="W60" i="6"/>
  <c r="X60" i="6" s="1"/>
  <c r="G61" i="6"/>
  <c r="H61" i="6" s="1"/>
  <c r="K61" i="6"/>
  <c r="L61" i="6"/>
  <c r="M61" i="6"/>
  <c r="N61" i="6"/>
  <c r="S61" i="6"/>
  <c r="T61" i="6"/>
  <c r="U61" i="6"/>
  <c r="V61" i="6"/>
  <c r="W61" i="6" s="1"/>
  <c r="X61" i="6" s="1"/>
  <c r="G62" i="6"/>
  <c r="H62" i="6"/>
  <c r="K62" i="6"/>
  <c r="L62" i="6"/>
  <c r="M62" i="6"/>
  <c r="O62" i="6" s="1"/>
  <c r="P62" i="6" s="1"/>
  <c r="N62" i="6"/>
  <c r="S62" i="6"/>
  <c r="T62" i="6" s="1"/>
  <c r="U62" i="6"/>
  <c r="V62" i="6"/>
  <c r="W62" i="6" s="1"/>
  <c r="X62" i="6" s="1"/>
  <c r="G63" i="6"/>
  <c r="H63" i="6" s="1"/>
  <c r="K63" i="6"/>
  <c r="L63" i="6" s="1"/>
  <c r="M63" i="6"/>
  <c r="N63" i="6"/>
  <c r="O63" i="6"/>
  <c r="P63" i="6"/>
  <c r="S63" i="6"/>
  <c r="T63" i="6" s="1"/>
  <c r="U63" i="6"/>
  <c r="V63" i="6"/>
  <c r="W63" i="6"/>
  <c r="X63" i="6"/>
  <c r="G64" i="6"/>
  <c r="H64" i="6" s="1"/>
  <c r="K64" i="6"/>
  <c r="L64" i="6"/>
  <c r="M64" i="6"/>
  <c r="N64" i="6"/>
  <c r="O64" i="6" s="1"/>
  <c r="P64" i="6" s="1"/>
  <c r="S64" i="6"/>
  <c r="T64" i="6"/>
  <c r="U64" i="6"/>
  <c r="V64" i="6"/>
  <c r="G65" i="6"/>
  <c r="H65" i="6"/>
  <c r="K65" i="6"/>
  <c r="L65" i="6"/>
  <c r="M65" i="6"/>
  <c r="N65" i="6"/>
  <c r="O65" i="6" s="1"/>
  <c r="P65" i="6" s="1"/>
  <c r="S65" i="6"/>
  <c r="T65" i="6"/>
  <c r="U65" i="6"/>
  <c r="W65" i="6" s="1"/>
  <c r="X65" i="6" s="1"/>
  <c r="V65" i="6"/>
  <c r="G66" i="6"/>
  <c r="H66" i="6" s="1"/>
  <c r="K66" i="6"/>
  <c r="L66" i="6" s="1"/>
  <c r="M66" i="6"/>
  <c r="N66" i="6"/>
  <c r="O66" i="6"/>
  <c r="P66" i="6"/>
  <c r="S66" i="6"/>
  <c r="T66" i="6" s="1"/>
  <c r="U66" i="6"/>
  <c r="V66" i="6"/>
  <c r="W66" i="6"/>
  <c r="X66" i="6" s="1"/>
  <c r="G67" i="6"/>
  <c r="H67" i="6" s="1"/>
  <c r="K67" i="6"/>
  <c r="L67" i="6"/>
  <c r="M67" i="6"/>
  <c r="N67" i="6"/>
  <c r="O67" i="6" s="1"/>
  <c r="P67" i="6" s="1"/>
  <c r="S67" i="6"/>
  <c r="T67" i="6"/>
  <c r="U67" i="6"/>
  <c r="V67" i="6"/>
  <c r="W67" i="6"/>
  <c r="X67" i="6" s="1"/>
  <c r="G68" i="6"/>
  <c r="H68" i="6"/>
  <c r="K68" i="6"/>
  <c r="L68" i="6" s="1"/>
  <c r="M68" i="6"/>
  <c r="O68" i="6" s="1"/>
  <c r="N68" i="6"/>
  <c r="P68" i="6"/>
  <c r="S68" i="6"/>
  <c r="T68" i="6"/>
  <c r="U68" i="6"/>
  <c r="V68" i="6"/>
  <c r="W68" i="6" s="1"/>
  <c r="X68" i="6" s="1"/>
  <c r="G69" i="6"/>
  <c r="H69" i="6"/>
  <c r="K69" i="6"/>
  <c r="L69" i="6" s="1"/>
  <c r="M69" i="6"/>
  <c r="N69" i="6"/>
  <c r="O69" i="6"/>
  <c r="P69" i="6"/>
  <c r="S69" i="6"/>
  <c r="T69" i="6" s="1"/>
  <c r="U69" i="6"/>
  <c r="V69" i="6"/>
  <c r="W69" i="6" s="1"/>
  <c r="X69" i="6" s="1"/>
  <c r="G70" i="6"/>
  <c r="H70" i="6" s="1"/>
  <c r="K70" i="6"/>
  <c r="L70" i="6"/>
  <c r="M70" i="6"/>
  <c r="N70" i="6"/>
  <c r="O70" i="6"/>
  <c r="P70" i="6" s="1"/>
  <c r="S70" i="6"/>
  <c r="T70" i="6"/>
  <c r="U70" i="6"/>
  <c r="V70" i="6"/>
  <c r="W70" i="6" s="1"/>
  <c r="X70" i="6" s="1"/>
  <c r="G71" i="6"/>
  <c r="H71" i="6"/>
  <c r="K71" i="6"/>
  <c r="L71" i="6"/>
  <c r="M71" i="6"/>
  <c r="N71" i="6"/>
  <c r="S71" i="6"/>
  <c r="T71" i="6"/>
  <c r="U71" i="6"/>
  <c r="W71" i="6" s="1"/>
  <c r="X71" i="6" s="1"/>
  <c r="V71" i="6"/>
  <c r="G72" i="6"/>
  <c r="H72" i="6"/>
  <c r="K72" i="6"/>
  <c r="L72" i="6" s="1"/>
  <c r="M72" i="6"/>
  <c r="N72" i="6"/>
  <c r="O72" i="6" s="1"/>
  <c r="P72" i="6" s="1"/>
  <c r="S72" i="6"/>
  <c r="T72" i="6" s="1"/>
  <c r="U72" i="6"/>
  <c r="V72" i="6"/>
  <c r="W72" i="6" s="1"/>
  <c r="X72" i="6" s="1"/>
  <c r="G73" i="6"/>
  <c r="H73" i="6" s="1"/>
  <c r="K73" i="6"/>
  <c r="L73" i="6"/>
  <c r="M73" i="6"/>
  <c r="N73" i="6"/>
  <c r="S73" i="6"/>
  <c r="T73" i="6"/>
  <c r="U73" i="6"/>
  <c r="V73" i="6"/>
  <c r="W73" i="6"/>
  <c r="X73" i="6" s="1"/>
  <c r="G74" i="6"/>
  <c r="H74" i="6"/>
  <c r="K74" i="6"/>
  <c r="L74" i="6"/>
  <c r="M74" i="6"/>
  <c r="O74" i="6" s="1"/>
  <c r="P74" i="6" s="1"/>
  <c r="N74" i="6"/>
  <c r="S74" i="6"/>
  <c r="T74" i="6" s="1"/>
  <c r="U74" i="6"/>
  <c r="V74" i="6"/>
  <c r="W74" i="6" s="1"/>
  <c r="X74" i="6"/>
  <c r="G75" i="6"/>
  <c r="H75" i="6"/>
  <c r="K75" i="6"/>
  <c r="L75" i="6" s="1"/>
  <c r="M75" i="6"/>
  <c r="N75" i="6"/>
  <c r="O75" i="6"/>
  <c r="P75" i="6" s="1"/>
  <c r="S75" i="6"/>
  <c r="T75" i="6" s="1"/>
  <c r="U75" i="6"/>
  <c r="V75" i="6"/>
  <c r="W75" i="6"/>
  <c r="X75" i="6"/>
  <c r="G76" i="6"/>
  <c r="H76" i="6" s="1"/>
  <c r="K76" i="6"/>
  <c r="L76" i="6"/>
  <c r="M76" i="6"/>
  <c r="N76" i="6"/>
  <c r="O76" i="6"/>
  <c r="P76" i="6" s="1"/>
  <c r="S76" i="6"/>
  <c r="T76" i="6"/>
  <c r="U76" i="6"/>
  <c r="V76" i="6"/>
  <c r="W76" i="6" s="1"/>
  <c r="X76" i="6" s="1"/>
  <c r="G77" i="6"/>
  <c r="H77" i="6"/>
  <c r="K77" i="6"/>
  <c r="L77" i="6"/>
  <c r="M77" i="6"/>
  <c r="N77" i="6"/>
  <c r="O77" i="6" s="1"/>
  <c r="P77" i="6"/>
  <c r="S77" i="6"/>
  <c r="T77" i="6" s="1"/>
  <c r="U77" i="6"/>
  <c r="W77" i="6" s="1"/>
  <c r="V77" i="6"/>
  <c r="X77" i="6"/>
  <c r="G78" i="6"/>
  <c r="H78" i="6"/>
  <c r="K78" i="6"/>
  <c r="L78" i="6" s="1"/>
  <c r="M78" i="6"/>
  <c r="N78" i="6"/>
  <c r="O78" i="6"/>
  <c r="P78" i="6"/>
  <c r="S78" i="6"/>
  <c r="T78" i="6" s="1"/>
  <c r="U78" i="6"/>
  <c r="V78" i="6"/>
  <c r="W78" i="6" s="1"/>
  <c r="X78" i="6" s="1"/>
  <c r="G79" i="6"/>
  <c r="H79" i="6" s="1"/>
  <c r="K79" i="6"/>
  <c r="L79" i="6"/>
  <c r="M79" i="6"/>
  <c r="N79" i="6"/>
  <c r="S79" i="6"/>
  <c r="T79" i="6"/>
  <c r="U79" i="6"/>
  <c r="V79" i="6"/>
  <c r="W79" i="6" s="1"/>
  <c r="X79" i="6" s="1"/>
  <c r="G80" i="6"/>
  <c r="H80" i="6"/>
  <c r="K80" i="6"/>
  <c r="L80" i="6"/>
  <c r="M80" i="6"/>
  <c r="O80" i="6" s="1"/>
  <c r="N80" i="6"/>
  <c r="P80" i="6"/>
  <c r="S80" i="6"/>
  <c r="T80" i="6"/>
  <c r="U80" i="6"/>
  <c r="V80" i="6"/>
  <c r="G81" i="6"/>
  <c r="H81" i="6"/>
  <c r="K81" i="6"/>
  <c r="L81" i="6" s="1"/>
  <c r="M81" i="6"/>
  <c r="N81" i="6"/>
  <c r="O81" i="6"/>
  <c r="P81" i="6" s="1"/>
  <c r="S81" i="6"/>
  <c r="T81" i="6"/>
  <c r="U81" i="6"/>
  <c r="V81" i="6"/>
  <c r="W81" i="6" s="1"/>
  <c r="X81" i="6" s="1"/>
  <c r="G82" i="6"/>
  <c r="H82" i="6" s="1"/>
  <c r="K82" i="6"/>
  <c r="L82" i="6"/>
  <c r="M82" i="6"/>
  <c r="N82" i="6"/>
  <c r="O82" i="6" s="1"/>
  <c r="P82" i="6" s="1"/>
  <c r="S82" i="6"/>
  <c r="T82" i="6"/>
  <c r="U82" i="6"/>
  <c r="V82" i="6"/>
  <c r="G83" i="6"/>
  <c r="H83" i="6"/>
  <c r="K83" i="6"/>
  <c r="L83" i="6"/>
  <c r="M83" i="6"/>
  <c r="N83" i="6"/>
  <c r="O83" i="6" s="1"/>
  <c r="P83" i="6" s="1"/>
  <c r="S83" i="6"/>
  <c r="T83" i="6"/>
  <c r="U83" i="6"/>
  <c r="W83" i="6" s="1"/>
  <c r="X83" i="6" s="1"/>
  <c r="V83" i="6"/>
  <c r="G84" i="6"/>
  <c r="H84" i="6"/>
  <c r="K84" i="6"/>
  <c r="L84" i="6"/>
  <c r="M84" i="6"/>
  <c r="N84" i="6"/>
  <c r="O84" i="6" s="1"/>
  <c r="P84" i="6" s="1"/>
  <c r="S84" i="6"/>
  <c r="T84" i="6" s="1"/>
  <c r="U84" i="6"/>
  <c r="V84" i="6"/>
  <c r="W84" i="6" s="1"/>
  <c r="X84" i="6" s="1"/>
  <c r="G85" i="6"/>
  <c r="H85" i="6"/>
  <c r="K85" i="6"/>
  <c r="L85" i="6"/>
  <c r="M85" i="6"/>
  <c r="N85" i="6"/>
  <c r="S85" i="6"/>
  <c r="T85" i="6"/>
  <c r="U85" i="6"/>
  <c r="V85" i="6"/>
  <c r="W85" i="6" s="1"/>
  <c r="X85" i="6" s="1"/>
  <c r="G86" i="6"/>
  <c r="H86" i="6"/>
  <c r="K86" i="6"/>
  <c r="L86" i="6" s="1"/>
  <c r="M86" i="6"/>
  <c r="O86" i="6" s="1"/>
  <c r="N86" i="6"/>
  <c r="P86" i="6"/>
  <c r="S86" i="6"/>
  <c r="T86" i="6"/>
  <c r="U86" i="6"/>
  <c r="V86" i="6"/>
  <c r="G87" i="6"/>
  <c r="H87" i="6"/>
  <c r="K87" i="6"/>
  <c r="L87" i="6" s="1"/>
  <c r="M87" i="6"/>
  <c r="N87" i="6"/>
  <c r="O87" i="6" s="1"/>
  <c r="P87" i="6" s="1"/>
  <c r="S87" i="6"/>
  <c r="T87" i="6"/>
  <c r="U87" i="6"/>
  <c r="V87" i="6"/>
  <c r="W87" i="6" s="1"/>
  <c r="X87" i="6" s="1"/>
  <c r="G88" i="6"/>
  <c r="H88" i="6" s="1"/>
  <c r="K88" i="6"/>
  <c r="L88" i="6"/>
  <c r="M88" i="6"/>
  <c r="N88" i="6"/>
  <c r="O88" i="6"/>
  <c r="P88" i="6"/>
  <c r="S88" i="6"/>
  <c r="T88" i="6"/>
  <c r="U88" i="6"/>
  <c r="V88" i="6"/>
  <c r="G89" i="6"/>
  <c r="H89" i="6"/>
  <c r="K89" i="6"/>
  <c r="L89" i="6" s="1"/>
  <c r="M89" i="6"/>
  <c r="N89" i="6"/>
  <c r="S89" i="6"/>
  <c r="T89" i="6"/>
  <c r="U89" i="6"/>
  <c r="W89" i="6" s="1"/>
  <c r="X89" i="6" s="1"/>
  <c r="V89" i="6"/>
  <c r="G90" i="6"/>
  <c r="H90" i="6"/>
  <c r="K90" i="6"/>
  <c r="L90" i="6" s="1"/>
  <c r="M90" i="6"/>
  <c r="N90" i="6"/>
  <c r="O90" i="6"/>
  <c r="P90" i="6"/>
  <c r="S90" i="6"/>
  <c r="T90" i="6" s="1"/>
  <c r="U90" i="6"/>
  <c r="V90" i="6"/>
  <c r="W90" i="6" s="1"/>
  <c r="X90" i="6" s="1"/>
  <c r="G91" i="6"/>
  <c r="H91" i="6"/>
  <c r="K91" i="6"/>
  <c r="L91" i="6"/>
  <c r="M91" i="6"/>
  <c r="N91" i="6"/>
  <c r="O91" i="6" s="1"/>
  <c r="P91" i="6" s="1"/>
  <c r="S91" i="6"/>
  <c r="T91" i="6"/>
  <c r="U91" i="6"/>
  <c r="V91" i="6"/>
  <c r="W91" i="6" s="1"/>
  <c r="X91" i="6" s="1"/>
  <c r="G92" i="6"/>
  <c r="H92" i="6"/>
  <c r="K92" i="6"/>
  <c r="L92" i="6"/>
  <c r="M92" i="6"/>
  <c r="O92" i="6" s="1"/>
  <c r="N92" i="6"/>
  <c r="P92" i="6"/>
  <c r="S92" i="6"/>
  <c r="T92" i="6" s="1"/>
  <c r="U92" i="6"/>
  <c r="V92" i="6"/>
  <c r="G93" i="6"/>
  <c r="H93" i="6"/>
  <c r="K93" i="6"/>
  <c r="L93" i="6" s="1"/>
  <c r="M93" i="6"/>
  <c r="N93" i="6"/>
  <c r="O93" i="6"/>
  <c r="P93" i="6"/>
  <c r="S93" i="6"/>
  <c r="T93" i="6" s="1"/>
  <c r="U93" i="6"/>
  <c r="V93" i="6"/>
  <c r="W93" i="6"/>
  <c r="X93" i="6"/>
  <c r="G94" i="6"/>
  <c r="H94" i="6" s="1"/>
  <c r="K94" i="6"/>
  <c r="L94" i="6"/>
  <c r="M94" i="6"/>
  <c r="N94" i="6"/>
  <c r="O94" i="6"/>
  <c r="P94" i="6"/>
  <c r="S94" i="6"/>
  <c r="T94" i="6"/>
  <c r="U94" i="6"/>
  <c r="V94" i="6"/>
  <c r="W94" i="6"/>
  <c r="X94" i="6" s="1"/>
  <c r="G95" i="6"/>
  <c r="H95" i="6"/>
  <c r="K95" i="6"/>
  <c r="L95" i="6" s="1"/>
  <c r="M95" i="6"/>
  <c r="N95" i="6"/>
  <c r="O95" i="6" s="1"/>
  <c r="P95" i="6"/>
  <c r="S95" i="6"/>
  <c r="T95" i="6" s="1"/>
  <c r="U95" i="6"/>
  <c r="W95" i="6" s="1"/>
  <c r="V95" i="6"/>
  <c r="X95" i="6"/>
  <c r="G96" i="6"/>
  <c r="H96" i="6" s="1"/>
  <c r="K96" i="6"/>
  <c r="L96" i="6" s="1"/>
  <c r="M96" i="6"/>
  <c r="N96" i="6"/>
  <c r="O96" i="6"/>
  <c r="P96" i="6" s="1"/>
  <c r="S96" i="6"/>
  <c r="T96" i="6" s="1"/>
  <c r="U96" i="6"/>
  <c r="V96" i="6"/>
  <c r="W96" i="6"/>
  <c r="X96" i="6"/>
  <c r="G97" i="6"/>
  <c r="H97" i="6"/>
  <c r="K97" i="6"/>
  <c r="L97" i="6"/>
  <c r="M97" i="6"/>
  <c r="N97" i="6"/>
  <c r="O97" i="6" s="1"/>
  <c r="P97" i="6" s="1"/>
  <c r="S97" i="6"/>
  <c r="T97" i="6"/>
  <c r="U97" i="6"/>
  <c r="V97" i="6"/>
  <c r="W97" i="6"/>
  <c r="X97" i="6" s="1"/>
  <c r="G98" i="6"/>
  <c r="H98" i="6"/>
  <c r="K98" i="6"/>
  <c r="L98" i="6"/>
  <c r="M98" i="6"/>
  <c r="O98" i="6" s="1"/>
  <c r="P98" i="6" s="1"/>
  <c r="N98" i="6"/>
  <c r="S98" i="6"/>
  <c r="T98" i="6"/>
  <c r="U98" i="6"/>
  <c r="V98" i="6"/>
  <c r="W98" i="6" s="1"/>
  <c r="X98" i="6" s="1"/>
  <c r="G99" i="6"/>
  <c r="H99" i="6" s="1"/>
  <c r="K99" i="6"/>
  <c r="L99" i="6" s="1"/>
  <c r="M99" i="6"/>
  <c r="N99" i="6"/>
  <c r="O99" i="6" s="1"/>
  <c r="P99" i="6" s="1"/>
  <c r="S99" i="6"/>
  <c r="T99" i="6"/>
  <c r="U99" i="6"/>
  <c r="V99" i="6"/>
  <c r="W99" i="6" s="1"/>
  <c r="X99" i="6" s="1"/>
  <c r="G100" i="6"/>
  <c r="H100" i="6" s="1"/>
  <c r="K100" i="6"/>
  <c r="L100" i="6"/>
  <c r="M100" i="6"/>
  <c r="N100" i="6"/>
  <c r="O100" i="6" s="1"/>
  <c r="P100" i="6" s="1"/>
  <c r="S100" i="6"/>
  <c r="T100" i="6"/>
  <c r="U100" i="6"/>
  <c r="W100" i="6" s="1"/>
  <c r="X100" i="6" s="1"/>
  <c r="V100" i="6"/>
  <c r="G101" i="6"/>
  <c r="H101" i="6"/>
  <c r="K101" i="6"/>
  <c r="L101" i="6"/>
  <c r="M101" i="6"/>
  <c r="N101" i="6"/>
  <c r="S101" i="6"/>
  <c r="T101" i="6"/>
  <c r="U101" i="6"/>
  <c r="W101" i="6" s="1"/>
  <c r="X101" i="6" s="1"/>
  <c r="V101" i="6"/>
  <c r="G102" i="6"/>
  <c r="H102" i="6"/>
  <c r="K102" i="6"/>
  <c r="L102" i="6"/>
  <c r="M102" i="6"/>
  <c r="N102" i="6"/>
  <c r="O102" i="6" s="1"/>
  <c r="P102" i="6" s="1"/>
  <c r="S102" i="6"/>
  <c r="T102" i="6" s="1"/>
  <c r="U102" i="6"/>
  <c r="V102" i="6"/>
  <c r="W102" i="6"/>
  <c r="X102" i="6" s="1"/>
  <c r="G103" i="6"/>
  <c r="H103" i="6"/>
  <c r="K103" i="6"/>
  <c r="L103" i="6"/>
  <c r="M103" i="6"/>
  <c r="N103" i="6"/>
  <c r="O103" i="6"/>
  <c r="P103" i="6" s="1"/>
  <c r="S103" i="6"/>
  <c r="T103" i="6"/>
  <c r="U103" i="6"/>
  <c r="V103" i="6"/>
  <c r="W103" i="6" s="1"/>
  <c r="X103" i="6" s="1"/>
  <c r="G104" i="6"/>
  <c r="H104" i="6"/>
  <c r="K104" i="6"/>
  <c r="L104" i="6" s="1"/>
  <c r="M104" i="6"/>
  <c r="O104" i="6" s="1"/>
  <c r="N104" i="6"/>
  <c r="P104" i="6"/>
  <c r="S104" i="6"/>
  <c r="T104" i="6" s="1"/>
  <c r="U104" i="6"/>
  <c r="V104" i="6"/>
  <c r="G105" i="6"/>
  <c r="H105" i="6"/>
  <c r="K105" i="6"/>
  <c r="L105" i="6" s="1"/>
  <c r="M105" i="6"/>
  <c r="N105" i="6"/>
  <c r="O105" i="6"/>
  <c r="P105" i="6"/>
  <c r="S105" i="6"/>
  <c r="T105" i="6" s="1"/>
  <c r="U105" i="6"/>
  <c r="V105" i="6"/>
  <c r="W105" i="6"/>
  <c r="X105" i="6"/>
  <c r="G106" i="6"/>
  <c r="H106" i="6" s="1"/>
  <c r="K106" i="6"/>
  <c r="L106" i="6"/>
  <c r="M106" i="6"/>
  <c r="N106" i="6"/>
  <c r="O106" i="6"/>
  <c r="P106" i="6"/>
  <c r="S106" i="6"/>
  <c r="T106" i="6"/>
  <c r="U106" i="6"/>
  <c r="V106" i="6"/>
  <c r="W106" i="6"/>
  <c r="X106" i="6" s="1"/>
  <c r="G107" i="6"/>
  <c r="H107" i="6"/>
  <c r="K107" i="6"/>
  <c r="L107" i="6" s="1"/>
  <c r="M107" i="6"/>
  <c r="N107" i="6"/>
  <c r="O107" i="6" s="1"/>
  <c r="P107" i="6"/>
  <c r="S107" i="6"/>
  <c r="T107" i="6"/>
  <c r="U107" i="6"/>
  <c r="W107" i="6" s="1"/>
  <c r="V107" i="6"/>
  <c r="X107" i="6"/>
  <c r="G108" i="6"/>
  <c r="H108" i="6" s="1"/>
  <c r="K108" i="6"/>
  <c r="L108" i="6" s="1"/>
  <c r="M108" i="6"/>
  <c r="N108" i="6"/>
  <c r="O108" i="6"/>
  <c r="P108" i="6" s="1"/>
  <c r="S108" i="6"/>
  <c r="T108" i="6" s="1"/>
  <c r="U108" i="6"/>
  <c r="V108" i="6"/>
  <c r="W108" i="6"/>
  <c r="X108" i="6"/>
  <c r="B109" i="6"/>
  <c r="G109" i="6"/>
  <c r="H109" i="6" s="1"/>
  <c r="K109" i="6"/>
  <c r="L109" i="6"/>
  <c r="M109" i="6"/>
  <c r="N109" i="6"/>
  <c r="O109" i="6" s="1"/>
  <c r="P109" i="6" s="1"/>
  <c r="S109" i="6"/>
  <c r="T109" i="6"/>
  <c r="U109" i="6"/>
  <c r="V109" i="6"/>
  <c r="W109" i="6"/>
  <c r="X109" i="6" s="1"/>
  <c r="G110" i="6"/>
  <c r="H110" i="6" s="1"/>
  <c r="K110" i="6"/>
  <c r="L110" i="6" s="1"/>
  <c r="M110" i="6"/>
  <c r="N110" i="6"/>
  <c r="O110" i="6"/>
  <c r="P110" i="6" s="1"/>
  <c r="S110" i="6"/>
  <c r="T110" i="6" s="1"/>
  <c r="U110" i="6"/>
  <c r="V110" i="6"/>
  <c r="W110" i="6"/>
  <c r="X110" i="6" s="1"/>
  <c r="G111" i="6"/>
  <c r="H111" i="6" s="1"/>
  <c r="K111" i="6"/>
  <c r="L111" i="6"/>
  <c r="M111" i="6"/>
  <c r="O111" i="6" s="1"/>
  <c r="P111" i="6" s="1"/>
  <c r="N111" i="6"/>
  <c r="S111" i="6"/>
  <c r="T111" i="6" s="1"/>
  <c r="U111" i="6"/>
  <c r="V111" i="6"/>
  <c r="W111" i="6" s="1"/>
  <c r="X111" i="6" s="1"/>
  <c r="G112" i="6"/>
  <c r="H112" i="6"/>
  <c r="K112" i="6"/>
  <c r="L112" i="6"/>
  <c r="M112" i="6"/>
  <c r="N112" i="6"/>
  <c r="O112" i="6" s="1"/>
  <c r="P112" i="6" s="1"/>
  <c r="S112" i="6"/>
  <c r="T112" i="6"/>
  <c r="U112" i="6"/>
  <c r="V112" i="6"/>
  <c r="G113" i="6"/>
  <c r="H113" i="6"/>
  <c r="K113" i="6"/>
  <c r="L113" i="6"/>
  <c r="M113" i="6"/>
  <c r="N113" i="6"/>
  <c r="O113" i="6"/>
  <c r="P113" i="6"/>
  <c r="S113" i="6"/>
  <c r="T113" i="6"/>
  <c r="U113" i="6"/>
  <c r="V113" i="6"/>
  <c r="W113" i="6" s="1"/>
  <c r="X113" i="6" s="1"/>
  <c r="G114" i="6"/>
  <c r="H114" i="6"/>
  <c r="K114" i="6"/>
  <c r="L114" i="6" s="1"/>
  <c r="M114" i="6"/>
  <c r="N114" i="6"/>
  <c r="O114" i="6"/>
  <c r="P114" i="6"/>
  <c r="S114" i="6"/>
  <c r="T114" i="6"/>
  <c r="U114" i="6"/>
  <c r="V114" i="6"/>
  <c r="W114" i="6"/>
  <c r="X114" i="6"/>
  <c r="G115" i="6"/>
  <c r="H115" i="6" s="1"/>
  <c r="K115" i="6"/>
  <c r="L115" i="6"/>
  <c r="M115" i="6"/>
  <c r="N115" i="6"/>
  <c r="O115" i="6" s="1"/>
  <c r="P115" i="6"/>
  <c r="S115" i="6"/>
  <c r="T115" i="6" s="1"/>
  <c r="U115" i="6"/>
  <c r="V115" i="6"/>
  <c r="W115" i="6"/>
  <c r="X115" i="6" s="1"/>
  <c r="G116" i="6"/>
  <c r="H116" i="6"/>
  <c r="K116" i="6"/>
  <c r="L116" i="6"/>
  <c r="M116" i="6"/>
  <c r="N116" i="6"/>
  <c r="O116" i="6"/>
  <c r="P116" i="6"/>
  <c r="S116" i="6"/>
  <c r="T116" i="6" s="1"/>
  <c r="U116" i="6"/>
  <c r="V116" i="6"/>
  <c r="W116" i="6"/>
  <c r="X116" i="6"/>
  <c r="G117" i="6"/>
  <c r="H117" i="6"/>
  <c r="K117" i="6"/>
  <c r="L117" i="6"/>
  <c r="N117" i="6"/>
  <c r="O117" i="6"/>
  <c r="P117" i="6" s="1"/>
  <c r="S117" i="6"/>
  <c r="T117" i="6" s="1"/>
  <c r="V117" i="6"/>
  <c r="W117" i="6"/>
  <c r="X117" i="6"/>
  <c r="G118" i="6"/>
  <c r="H118" i="6"/>
  <c r="K118" i="6"/>
  <c r="L118" i="6"/>
  <c r="N118" i="6"/>
  <c r="O118" i="6"/>
  <c r="P118" i="6" s="1"/>
  <c r="S118" i="6"/>
  <c r="T118" i="6" s="1"/>
  <c r="V118" i="6"/>
  <c r="W118" i="6"/>
  <c r="X118" i="6"/>
  <c r="G119" i="6"/>
  <c r="H119" i="6"/>
  <c r="K119" i="6"/>
  <c r="L119" i="6"/>
  <c r="M119" i="6"/>
  <c r="N119" i="6"/>
  <c r="O119" i="6" s="1"/>
  <c r="P119" i="6" s="1"/>
  <c r="S119" i="6"/>
  <c r="T119" i="6" s="1"/>
  <c r="U119" i="6"/>
  <c r="V119" i="6"/>
  <c r="W119" i="6"/>
  <c r="X119" i="6" s="1"/>
  <c r="G120" i="6"/>
  <c r="H120" i="6"/>
  <c r="K120" i="6"/>
  <c r="L120" i="6"/>
  <c r="M120" i="6"/>
  <c r="N120" i="6"/>
  <c r="O120" i="6" s="1"/>
  <c r="P120" i="6" s="1"/>
  <c r="S120" i="6"/>
  <c r="T120" i="6"/>
  <c r="U120" i="6"/>
  <c r="V120" i="6"/>
  <c r="W120" i="6" s="1"/>
  <c r="X120" i="6" s="1"/>
  <c r="G121" i="6"/>
  <c r="H121" i="6" s="1"/>
  <c r="K121" i="6"/>
  <c r="L121" i="6"/>
  <c r="M121" i="6"/>
  <c r="O121" i="6" s="1"/>
  <c r="P121" i="6" s="1"/>
  <c r="N121" i="6"/>
  <c r="S121" i="6"/>
  <c r="T121" i="6"/>
  <c r="U121" i="6"/>
  <c r="V121" i="6"/>
  <c r="W121" i="6"/>
  <c r="X121" i="6" s="1"/>
  <c r="G122" i="6"/>
  <c r="H122" i="6"/>
  <c r="K122" i="6"/>
  <c r="L122" i="6" s="1"/>
  <c r="M122" i="6"/>
  <c r="N122" i="6"/>
  <c r="O122" i="6" s="1"/>
  <c r="P122" i="6" s="1"/>
  <c r="S122" i="6"/>
  <c r="T122" i="6"/>
  <c r="U122" i="6"/>
  <c r="V122" i="6"/>
  <c r="W122" i="6" s="1"/>
  <c r="X122" i="6" s="1"/>
  <c r="K123" i="6"/>
  <c r="L123" i="6" s="1"/>
  <c r="O123" i="6"/>
  <c r="P123" i="6" s="1"/>
  <c r="S123" i="6"/>
  <c r="T123" i="6" s="1"/>
  <c r="W123" i="6"/>
  <c r="X123" i="6"/>
  <c r="K124" i="6"/>
  <c r="L124" i="6" s="1"/>
  <c r="O124" i="6"/>
  <c r="P124" i="6" s="1"/>
  <c r="S124" i="6"/>
  <c r="T124" i="6" s="1"/>
  <c r="W124" i="6"/>
  <c r="X124" i="6"/>
  <c r="K125" i="6"/>
  <c r="L125" i="6" s="1"/>
  <c r="O125" i="6"/>
  <c r="P125" i="6"/>
  <c r="S125" i="6"/>
  <c r="T125" i="6"/>
  <c r="W125" i="6"/>
  <c r="X125" i="6"/>
  <c r="K126" i="6"/>
  <c r="L126" i="6" s="1"/>
  <c r="O126" i="6"/>
  <c r="P126" i="6"/>
  <c r="S126" i="6"/>
  <c r="T126" i="6" s="1"/>
  <c r="W126" i="6"/>
  <c r="X126" i="6"/>
  <c r="K127" i="6"/>
  <c r="L127" i="6"/>
  <c r="O127" i="6"/>
  <c r="P127" i="6" s="1"/>
  <c r="S127" i="6"/>
  <c r="T127" i="6" s="1"/>
  <c r="W127" i="6"/>
  <c r="X127" i="6"/>
  <c r="K128" i="6"/>
  <c r="L128" i="6"/>
  <c r="O128" i="6"/>
  <c r="P128" i="6"/>
  <c r="S128" i="6"/>
  <c r="T128" i="6"/>
  <c r="W128" i="6"/>
  <c r="X128" i="6"/>
  <c r="K129" i="6"/>
  <c r="L129" i="6" s="1"/>
  <c r="O129" i="6"/>
  <c r="P129" i="6" s="1"/>
  <c r="S129" i="6"/>
  <c r="T129" i="6"/>
  <c r="W129" i="6"/>
  <c r="X129" i="6"/>
  <c r="K130" i="6"/>
  <c r="L130" i="6" s="1"/>
  <c r="O130" i="6"/>
  <c r="P130" i="6"/>
  <c r="S130" i="6"/>
  <c r="T130" i="6" s="1"/>
  <c r="W130" i="6"/>
  <c r="X130" i="6"/>
  <c r="K131" i="6"/>
  <c r="L131" i="6"/>
  <c r="O131" i="6"/>
  <c r="P131" i="6"/>
  <c r="S131" i="6"/>
  <c r="T131" i="6" s="1"/>
  <c r="W131" i="6"/>
  <c r="X131" i="6"/>
  <c r="K132" i="6"/>
  <c r="L132" i="6" s="1"/>
  <c r="O132" i="6"/>
  <c r="P132" i="6" s="1"/>
  <c r="S132" i="6"/>
  <c r="T132" i="6" s="1"/>
  <c r="W132" i="6"/>
  <c r="X132" i="6"/>
  <c r="K133" i="6"/>
  <c r="L133" i="6" s="1"/>
  <c r="O133" i="6"/>
  <c r="P133" i="6" s="1"/>
  <c r="S133" i="6"/>
  <c r="T133" i="6" s="1"/>
  <c r="W133" i="6"/>
  <c r="X133" i="6"/>
  <c r="K134" i="6"/>
  <c r="L134" i="6"/>
  <c r="O134" i="6"/>
  <c r="P134" i="6"/>
  <c r="S134" i="6"/>
  <c r="T134" i="6"/>
  <c r="W134" i="6"/>
  <c r="X134" i="6" s="1"/>
  <c r="K135" i="6"/>
  <c r="L135" i="6" s="1"/>
  <c r="O135" i="6"/>
  <c r="P135" i="6"/>
  <c r="S135" i="6"/>
  <c r="T135" i="6" s="1"/>
  <c r="W135" i="6"/>
  <c r="X135" i="6"/>
  <c r="K136" i="6"/>
  <c r="L136" i="6"/>
  <c r="O136" i="6"/>
  <c r="P136" i="6" s="1"/>
  <c r="S136" i="6"/>
  <c r="T136" i="6" s="1"/>
  <c r="W136" i="6"/>
  <c r="X136" i="6"/>
  <c r="K137" i="6"/>
  <c r="L137" i="6"/>
  <c r="O137" i="6"/>
  <c r="P137" i="6"/>
  <c r="S137" i="6"/>
  <c r="T137" i="6"/>
  <c r="W137" i="6"/>
  <c r="X137" i="6"/>
  <c r="K138" i="6"/>
  <c r="L138" i="6" s="1"/>
  <c r="O138" i="6"/>
  <c r="P138" i="6" s="1"/>
  <c r="S138" i="6"/>
  <c r="T138" i="6"/>
  <c r="W138" i="6"/>
  <c r="X138" i="6"/>
  <c r="K139" i="6"/>
  <c r="L139" i="6" s="1"/>
  <c r="O139" i="6"/>
  <c r="P139" i="6"/>
  <c r="S139" i="6"/>
  <c r="T139" i="6" s="1"/>
  <c r="W139" i="6"/>
  <c r="X139" i="6" s="1"/>
  <c r="K140" i="6"/>
  <c r="L140" i="6"/>
  <c r="O140" i="6"/>
  <c r="P140" i="6"/>
  <c r="S140" i="6"/>
  <c r="T140" i="6"/>
  <c r="W140" i="6"/>
  <c r="X140" i="6"/>
  <c r="K141" i="6"/>
  <c r="L141" i="6" s="1"/>
  <c r="O141" i="6"/>
  <c r="P141" i="6" s="1"/>
  <c r="S141" i="6"/>
  <c r="T141" i="6" s="1"/>
  <c r="W141" i="6"/>
  <c r="X141" i="6"/>
  <c r="K142" i="6"/>
  <c r="L142" i="6" s="1"/>
  <c r="O142" i="6"/>
  <c r="P142" i="6" s="1"/>
  <c r="S142" i="6"/>
  <c r="T142" i="6" s="1"/>
  <c r="W142" i="6"/>
  <c r="X142" i="6"/>
  <c r="K143" i="6"/>
  <c r="L143" i="6" s="1"/>
  <c r="O143" i="6"/>
  <c r="P143" i="6"/>
  <c r="S143" i="6"/>
  <c r="T143" i="6"/>
  <c r="W143" i="6"/>
  <c r="X143" i="6"/>
  <c r="K144" i="6"/>
  <c r="L144" i="6" s="1"/>
  <c r="O144" i="6"/>
  <c r="P144" i="6"/>
  <c r="S144" i="6"/>
  <c r="T144" i="6" s="1"/>
  <c r="W144" i="6"/>
  <c r="X144" i="6"/>
  <c r="K145" i="6"/>
  <c r="L145" i="6"/>
  <c r="O145" i="6"/>
  <c r="P145" i="6" s="1"/>
  <c r="S145" i="6"/>
  <c r="T145" i="6" s="1"/>
  <c r="W145" i="6"/>
  <c r="X145" i="6"/>
  <c r="K146" i="6"/>
  <c r="L146" i="6"/>
  <c r="O146" i="6"/>
  <c r="P146" i="6"/>
  <c r="S146" i="6"/>
  <c r="T146" i="6"/>
  <c r="W146" i="6"/>
  <c r="X146" i="6"/>
  <c r="K147" i="6"/>
  <c r="L147" i="6" s="1"/>
  <c r="O147" i="6"/>
  <c r="P147" i="6" s="1"/>
  <c r="S147" i="6"/>
  <c r="T147" i="6"/>
  <c r="W147" i="6"/>
  <c r="X147" i="6"/>
  <c r="K148" i="6"/>
  <c r="L148" i="6" s="1"/>
  <c r="O148" i="6"/>
  <c r="P148" i="6"/>
  <c r="S148" i="6"/>
  <c r="T148" i="6" s="1"/>
  <c r="W148" i="6"/>
  <c r="X148" i="6"/>
  <c r="W104" i="6" l="1"/>
  <c r="X104" i="6" s="1"/>
  <c r="O89" i="6"/>
  <c r="P89" i="6" s="1"/>
  <c r="O85" i="6"/>
  <c r="P85" i="6" s="1"/>
  <c r="O79" i="6"/>
  <c r="P79" i="6" s="1"/>
  <c r="W92" i="6"/>
  <c r="X92" i="6" s="1"/>
  <c r="W88" i="6"/>
  <c r="X88" i="6" s="1"/>
  <c r="O101" i="6"/>
  <c r="P101" i="6" s="1"/>
  <c r="W86" i="6"/>
  <c r="X86" i="6" s="1"/>
  <c r="W82" i="6"/>
  <c r="X82" i="6" s="1"/>
  <c r="O71" i="6"/>
  <c r="P71" i="6" s="1"/>
  <c r="W64" i="6"/>
  <c r="X64" i="6" s="1"/>
  <c r="O61" i="6"/>
  <c r="P61" i="6" s="1"/>
  <c r="W55" i="6"/>
  <c r="X55" i="6" s="1"/>
  <c r="O52" i="6"/>
  <c r="P52" i="6" s="1"/>
  <c r="W46" i="6"/>
  <c r="X46" i="6" s="1"/>
  <c r="O43" i="6"/>
  <c r="P43" i="6" s="1"/>
  <c r="W37" i="6"/>
  <c r="X37" i="6" s="1"/>
  <c r="O34" i="6"/>
  <c r="P34" i="6" s="1"/>
  <c r="W28" i="6"/>
  <c r="X28" i="6" s="1"/>
  <c r="O25" i="6"/>
  <c r="P25" i="6" s="1"/>
  <c r="W19" i="6"/>
  <c r="X19" i="6" s="1"/>
  <c r="O16" i="6"/>
  <c r="P16" i="6" s="1"/>
  <c r="W112" i="6"/>
  <c r="X112" i="6" s="1"/>
  <c r="W80" i="6"/>
  <c r="X80" i="6" s="1"/>
  <c r="O73" i="6"/>
  <c r="P73" i="6" s="1"/>
  <c r="H12" i="4" l="1"/>
  <c r="I12" i="4" s="1"/>
  <c r="L12" i="4"/>
  <c r="M12" i="4"/>
  <c r="N12" i="4"/>
  <c r="O12" i="4"/>
  <c r="P12" i="4" s="1"/>
  <c r="Q12" i="4" s="1"/>
  <c r="T12" i="4"/>
  <c r="U12" i="4"/>
  <c r="V12" i="4"/>
  <c r="W12" i="4"/>
  <c r="X12" i="4" s="1"/>
  <c r="Y12" i="4" s="1"/>
  <c r="H13" i="4"/>
  <c r="I13" i="4"/>
  <c r="L13" i="4"/>
  <c r="M13" i="4"/>
  <c r="N13" i="4"/>
  <c r="O13" i="4"/>
  <c r="P13" i="4"/>
  <c r="Q13" i="4"/>
  <c r="T13" i="4"/>
  <c r="U13" i="4"/>
  <c r="V13" i="4"/>
  <c r="W13" i="4"/>
  <c r="X13" i="4"/>
  <c r="Y13" i="4"/>
  <c r="H14" i="4"/>
  <c r="I14" i="4"/>
  <c r="L14" i="4"/>
  <c r="M14" i="4"/>
  <c r="N14" i="4"/>
  <c r="O14" i="4"/>
  <c r="P14" i="4"/>
  <c r="Q14" i="4"/>
  <c r="T14" i="4"/>
  <c r="U14" i="4"/>
  <c r="V14" i="4"/>
  <c r="W14" i="4"/>
  <c r="X14" i="4"/>
  <c r="Y14" i="4"/>
  <c r="H15" i="4"/>
  <c r="I15" i="4"/>
  <c r="L15" i="4"/>
  <c r="M15" i="4"/>
  <c r="N15" i="4"/>
  <c r="O15" i="4"/>
  <c r="P15" i="4" s="1"/>
  <c r="Q15" i="4" s="1"/>
  <c r="T15" i="4"/>
  <c r="U15" i="4"/>
  <c r="V15" i="4"/>
  <c r="W15" i="4"/>
  <c r="X15" i="4" s="1"/>
  <c r="Y15" i="4" s="1"/>
  <c r="H16" i="4"/>
  <c r="I16" i="4"/>
  <c r="L16" i="4"/>
  <c r="M16" i="4"/>
  <c r="N16" i="4"/>
  <c r="O16" i="4"/>
  <c r="P16" i="4"/>
  <c r="Q16" i="4"/>
  <c r="T16" i="4"/>
  <c r="U16" i="4"/>
  <c r="V16" i="4"/>
  <c r="W16" i="4"/>
  <c r="X16" i="4"/>
  <c r="Y16" i="4"/>
  <c r="H17" i="4"/>
  <c r="I17" i="4"/>
  <c r="L17" i="4"/>
  <c r="M17" i="4"/>
  <c r="N17" i="4"/>
  <c r="O17" i="4"/>
  <c r="P17" i="4"/>
  <c r="Q17" i="4"/>
  <c r="T17" i="4"/>
  <c r="U17" i="4"/>
  <c r="V17" i="4"/>
  <c r="W17" i="4"/>
  <c r="X17" i="4"/>
  <c r="Y17" i="4"/>
  <c r="H18" i="4"/>
  <c r="I18" i="4"/>
  <c r="L18" i="4"/>
  <c r="M18" i="4"/>
  <c r="N18" i="4"/>
  <c r="O18" i="4"/>
  <c r="P18" i="4" s="1"/>
  <c r="Q18" i="4" s="1"/>
  <c r="T18" i="4"/>
  <c r="U18" i="4"/>
  <c r="V18" i="4"/>
  <c r="W18" i="4"/>
  <c r="X18" i="4" s="1"/>
  <c r="Y18" i="4" s="1"/>
  <c r="H19" i="4"/>
  <c r="I19" i="4"/>
  <c r="L19" i="4"/>
  <c r="M19" i="4"/>
  <c r="N19" i="4"/>
  <c r="O19" i="4"/>
  <c r="P19" i="4"/>
  <c r="Q19" i="4"/>
  <c r="T19" i="4"/>
  <c r="U19" i="4"/>
  <c r="V19" i="4"/>
  <c r="W19" i="4"/>
  <c r="X19" i="4"/>
  <c r="Y19" i="4"/>
  <c r="H20" i="4"/>
  <c r="I20" i="4"/>
  <c r="L20" i="4"/>
  <c r="M20" i="4"/>
  <c r="N20" i="4"/>
  <c r="O20" i="4"/>
  <c r="P20" i="4"/>
  <c r="Q20" i="4"/>
  <c r="T20" i="4"/>
  <c r="U20" i="4"/>
  <c r="V20" i="4"/>
  <c r="W20" i="4"/>
  <c r="X20" i="4"/>
  <c r="Y20" i="4"/>
  <c r="H21" i="4"/>
  <c r="I21" i="4"/>
  <c r="L21" i="4"/>
  <c r="M21" i="4"/>
  <c r="N21" i="4"/>
  <c r="O21" i="4"/>
  <c r="P21" i="4" s="1"/>
  <c r="Q21" i="4" s="1"/>
  <c r="T21" i="4"/>
  <c r="U21" i="4"/>
  <c r="V21" i="4"/>
  <c r="W21" i="4"/>
  <c r="X21" i="4" s="1"/>
  <c r="Y21" i="4" s="1"/>
  <c r="H22" i="4"/>
  <c r="I22" i="4"/>
  <c r="L22" i="4"/>
  <c r="M22" i="4"/>
  <c r="N22" i="4"/>
  <c r="O22" i="4"/>
  <c r="P22" i="4"/>
  <c r="Q22" i="4"/>
  <c r="T22" i="4"/>
  <c r="U22" i="4"/>
  <c r="V22" i="4"/>
  <c r="W22" i="4"/>
  <c r="X22" i="4"/>
  <c r="Y22" i="4"/>
  <c r="H23" i="4"/>
  <c r="I23" i="4"/>
  <c r="L23" i="4"/>
  <c r="M23" i="4"/>
  <c r="N23" i="4"/>
  <c r="O23" i="4"/>
  <c r="P23" i="4"/>
  <c r="Q23" i="4"/>
  <c r="T23" i="4"/>
  <c r="U23" i="4"/>
  <c r="V23" i="4"/>
  <c r="W23" i="4"/>
  <c r="X23" i="4"/>
  <c r="Y23" i="4"/>
  <c r="H24" i="4"/>
  <c r="I24" i="4"/>
  <c r="L24" i="4"/>
  <c r="M24" i="4"/>
  <c r="N24" i="4"/>
  <c r="O24" i="4"/>
  <c r="P24" i="4" s="1"/>
  <c r="Q24" i="4" s="1"/>
  <c r="T24" i="4"/>
  <c r="U24" i="4"/>
  <c r="V24" i="4"/>
  <c r="W24" i="4"/>
  <c r="X24" i="4" s="1"/>
  <c r="Y24" i="4" s="1"/>
  <c r="H25" i="4"/>
  <c r="I25" i="4"/>
  <c r="L25" i="4"/>
  <c r="M25" i="4"/>
  <c r="N25" i="4"/>
  <c r="O25" i="4"/>
  <c r="P25" i="4"/>
  <c r="Q25" i="4"/>
  <c r="T25" i="4"/>
  <c r="U25" i="4"/>
  <c r="V25" i="4"/>
  <c r="W25" i="4"/>
  <c r="X25" i="4"/>
  <c r="Y25" i="4"/>
  <c r="H26" i="4"/>
  <c r="I26" i="4"/>
  <c r="L26" i="4"/>
  <c r="M26" i="4"/>
  <c r="N26" i="4"/>
  <c r="O26" i="4"/>
  <c r="P26" i="4"/>
  <c r="Q26" i="4"/>
  <c r="T26" i="4"/>
  <c r="U26" i="4"/>
  <c r="V26" i="4"/>
  <c r="W26" i="4"/>
  <c r="X26" i="4"/>
  <c r="Y26" i="4"/>
  <c r="H27" i="4"/>
  <c r="I27" i="4"/>
  <c r="L27" i="4"/>
  <c r="M27" i="4"/>
  <c r="N27" i="4"/>
  <c r="O27" i="4"/>
  <c r="P27" i="4" s="1"/>
  <c r="Q27" i="4" s="1"/>
  <c r="T27" i="4"/>
  <c r="U27" i="4"/>
  <c r="V27" i="4"/>
  <c r="W27" i="4"/>
  <c r="X27" i="4" s="1"/>
  <c r="Y27" i="4" s="1"/>
  <c r="H28" i="4"/>
  <c r="I28" i="4"/>
  <c r="L28" i="4"/>
  <c r="M28" i="4"/>
  <c r="N28" i="4"/>
  <c r="O28" i="4"/>
  <c r="P28" i="4"/>
  <c r="Q28" i="4"/>
  <c r="T28" i="4"/>
  <c r="U28" i="4"/>
  <c r="V28" i="4"/>
  <c r="W28" i="4"/>
  <c r="X28" i="4"/>
  <c r="Y28" i="4"/>
  <c r="H29" i="4"/>
  <c r="I29" i="4"/>
  <c r="L29" i="4"/>
  <c r="M29" i="4"/>
  <c r="N29" i="4"/>
  <c r="O29" i="4"/>
  <c r="P29" i="4"/>
  <c r="Q29" i="4"/>
  <c r="T29" i="4"/>
  <c r="U29" i="4"/>
  <c r="V29" i="4"/>
  <c r="W29" i="4"/>
  <c r="X29" i="4"/>
  <c r="Y29" i="4"/>
  <c r="H30" i="4"/>
  <c r="I30" i="4"/>
  <c r="L30" i="4"/>
  <c r="M30" i="4"/>
  <c r="N30" i="4"/>
  <c r="O30" i="4"/>
  <c r="P30" i="4" s="1"/>
  <c r="Q30" i="4" s="1"/>
  <c r="T30" i="4"/>
  <c r="U30" i="4"/>
  <c r="V30" i="4"/>
  <c r="W30" i="4"/>
  <c r="X30" i="4" s="1"/>
  <c r="Y30" i="4" s="1"/>
  <c r="H31" i="4"/>
  <c r="I31" i="4"/>
  <c r="L31" i="4"/>
  <c r="M31" i="4"/>
  <c r="N31" i="4"/>
  <c r="O31" i="4"/>
  <c r="P31" i="4"/>
  <c r="Q31" i="4"/>
  <c r="T31" i="4"/>
  <c r="U31" i="4"/>
  <c r="V31" i="4"/>
  <c r="W31" i="4"/>
  <c r="X31" i="4"/>
  <c r="Y31" i="4"/>
  <c r="H32" i="4"/>
  <c r="I32" i="4"/>
  <c r="L32" i="4"/>
  <c r="M32" i="4"/>
  <c r="N32" i="4"/>
  <c r="O32" i="4"/>
  <c r="P32" i="4"/>
  <c r="Q32" i="4"/>
  <c r="T32" i="4"/>
  <c r="U32" i="4"/>
  <c r="V32" i="4"/>
  <c r="W32" i="4"/>
  <c r="X32" i="4"/>
  <c r="Y32" i="4"/>
  <c r="H33" i="4"/>
  <c r="I33" i="4"/>
  <c r="L33" i="4"/>
  <c r="M33" i="4"/>
  <c r="N33" i="4"/>
  <c r="O33" i="4"/>
  <c r="P33" i="4" s="1"/>
  <c r="Q33" i="4" s="1"/>
  <c r="T33" i="4"/>
  <c r="U33" i="4"/>
  <c r="V33" i="4"/>
  <c r="W33" i="4"/>
  <c r="X33" i="4" s="1"/>
  <c r="Y33" i="4" s="1"/>
  <c r="H34" i="4"/>
  <c r="I34" i="4"/>
  <c r="L34" i="4"/>
  <c r="M34" i="4"/>
  <c r="N34" i="4"/>
  <c r="O34" i="4"/>
  <c r="P34" i="4"/>
  <c r="Q34" i="4"/>
  <c r="T34" i="4"/>
  <c r="U34" i="4"/>
  <c r="V34" i="4"/>
  <c r="W34" i="4"/>
  <c r="X34" i="4"/>
  <c r="Y34" i="4"/>
  <c r="H35" i="4"/>
  <c r="I35" i="4"/>
  <c r="L35" i="4"/>
  <c r="M35" i="4"/>
  <c r="N35" i="4"/>
  <c r="O35" i="4"/>
  <c r="P35" i="4"/>
  <c r="Q35" i="4"/>
  <c r="T35" i="4"/>
  <c r="U35" i="4"/>
  <c r="V35" i="4"/>
  <c r="W35" i="4"/>
  <c r="X35" i="4"/>
  <c r="Y35" i="4"/>
  <c r="H36" i="4"/>
  <c r="I36" i="4"/>
  <c r="L36" i="4"/>
  <c r="M36" i="4"/>
  <c r="N36" i="4"/>
  <c r="O36" i="4"/>
  <c r="P36" i="4" s="1"/>
  <c r="Q36" i="4" s="1"/>
  <c r="T36" i="4"/>
  <c r="U36" i="4"/>
  <c r="V36" i="4"/>
  <c r="W36" i="4"/>
  <c r="X36" i="4" s="1"/>
  <c r="Y36" i="4" s="1"/>
  <c r="H37" i="4"/>
  <c r="I37" i="4"/>
  <c r="L37" i="4"/>
  <c r="M37" i="4"/>
  <c r="N37" i="4"/>
  <c r="O37" i="4"/>
  <c r="P37" i="4"/>
  <c r="Q37" i="4"/>
  <c r="T37" i="4"/>
  <c r="U37" i="4"/>
  <c r="V37" i="4"/>
  <c r="W37" i="4"/>
  <c r="X37" i="4"/>
  <c r="Y37" i="4"/>
  <c r="H38" i="4"/>
  <c r="I38" i="4"/>
  <c r="L38" i="4"/>
  <c r="M38" i="4"/>
  <c r="N38" i="4"/>
  <c r="O38" i="4"/>
  <c r="P38" i="4"/>
  <c r="Q38" i="4"/>
  <c r="T38" i="4"/>
  <c r="U38" i="4"/>
  <c r="V38" i="4"/>
  <c r="W38" i="4"/>
  <c r="X38" i="4"/>
  <c r="Y38" i="4"/>
  <c r="H39" i="4"/>
  <c r="I39" i="4"/>
  <c r="L39" i="4"/>
  <c r="M39" i="4"/>
  <c r="N39" i="4"/>
  <c r="O39" i="4"/>
  <c r="P39" i="4" s="1"/>
  <c r="Q39" i="4" s="1"/>
  <c r="T39" i="4"/>
  <c r="U39" i="4"/>
  <c r="V39" i="4"/>
  <c r="W39" i="4"/>
  <c r="X39" i="4" s="1"/>
  <c r="Y39" i="4" s="1"/>
  <c r="H40" i="4"/>
  <c r="I40" i="4"/>
  <c r="L40" i="4"/>
  <c r="M40" i="4"/>
  <c r="N40" i="4"/>
  <c r="O40" i="4"/>
  <c r="P40" i="4"/>
  <c r="Q40" i="4"/>
  <c r="T40" i="4"/>
  <c r="U40" i="4"/>
  <c r="V40" i="4"/>
  <c r="W40" i="4"/>
  <c r="X40" i="4"/>
  <c r="Y40" i="4"/>
  <c r="H41" i="4"/>
  <c r="I41" i="4"/>
  <c r="L41" i="4"/>
  <c r="M41" i="4"/>
  <c r="N41" i="4"/>
  <c r="O41" i="4"/>
  <c r="P41" i="4"/>
  <c r="Q41" i="4"/>
  <c r="T41" i="4"/>
  <c r="U41" i="4"/>
  <c r="V41" i="4"/>
  <c r="W41" i="4"/>
  <c r="X41" i="4"/>
  <c r="Y41" i="4"/>
  <c r="H42" i="4"/>
  <c r="I42" i="4"/>
  <c r="L42" i="4"/>
  <c r="M42" i="4"/>
  <c r="N42" i="4"/>
  <c r="O42" i="4"/>
  <c r="P42" i="4" s="1"/>
  <c r="Q42" i="4" s="1"/>
  <c r="T42" i="4"/>
  <c r="U42" i="4"/>
  <c r="V42" i="4"/>
  <c r="W42" i="4"/>
  <c r="X42" i="4" s="1"/>
  <c r="Y42" i="4" s="1"/>
  <c r="H43" i="4"/>
  <c r="I43" i="4"/>
  <c r="L43" i="4"/>
  <c r="M43" i="4"/>
  <c r="N43" i="4"/>
  <c r="O43" i="4"/>
  <c r="P43" i="4"/>
  <c r="Q43" i="4"/>
  <c r="T43" i="4"/>
  <c r="U43" i="4"/>
  <c r="V43" i="4"/>
  <c r="W43" i="4"/>
  <c r="X43" i="4"/>
  <c r="Y43" i="4"/>
  <c r="H44" i="4"/>
  <c r="I44" i="4"/>
  <c r="L44" i="4"/>
  <c r="M44" i="4"/>
  <c r="N44" i="4"/>
  <c r="O44" i="4"/>
  <c r="P44" i="4"/>
  <c r="Q44" i="4"/>
  <c r="T44" i="4"/>
  <c r="U44" i="4"/>
  <c r="V44" i="4"/>
  <c r="W44" i="4"/>
  <c r="X44" i="4"/>
  <c r="Y44" i="4"/>
  <c r="H45" i="4"/>
  <c r="I45" i="4"/>
  <c r="L45" i="4"/>
  <c r="M45" i="4"/>
  <c r="N45" i="4"/>
  <c r="O45" i="4"/>
  <c r="P45" i="4" s="1"/>
  <c r="Q45" i="4" s="1"/>
  <c r="T45" i="4"/>
  <c r="U45" i="4"/>
  <c r="V45" i="4"/>
  <c r="W45" i="4"/>
  <c r="X45" i="4" s="1"/>
  <c r="Y45" i="4" s="1"/>
  <c r="H46" i="4"/>
  <c r="I46" i="4"/>
  <c r="L46" i="4"/>
  <c r="M46" i="4"/>
  <c r="N46" i="4"/>
  <c r="O46" i="4"/>
  <c r="P46" i="4"/>
  <c r="Q46" i="4"/>
  <c r="T46" i="4"/>
  <c r="U46" i="4"/>
  <c r="V46" i="4"/>
  <c r="W46" i="4"/>
  <c r="X46" i="4"/>
  <c r="Y46" i="4"/>
  <c r="H47" i="4"/>
  <c r="I47" i="4"/>
  <c r="L47" i="4"/>
  <c r="M47" i="4"/>
  <c r="N47" i="4"/>
  <c r="O47" i="4"/>
  <c r="P47" i="4"/>
  <c r="Q47" i="4"/>
  <c r="T47" i="4"/>
  <c r="U47" i="4"/>
  <c r="V47" i="4"/>
  <c r="W47" i="4"/>
  <c r="X47" i="4"/>
  <c r="Y47" i="4"/>
  <c r="H48" i="4"/>
  <c r="I48" i="4"/>
  <c r="L48" i="4"/>
  <c r="M48" i="4"/>
  <c r="N48" i="4"/>
  <c r="O48" i="4"/>
  <c r="P48" i="4" s="1"/>
  <c r="Q48" i="4" s="1"/>
  <c r="T48" i="4"/>
  <c r="U48" i="4"/>
  <c r="V48" i="4"/>
  <c r="W48" i="4"/>
  <c r="X48" i="4" s="1"/>
  <c r="Y48" i="4" s="1"/>
  <c r="H49" i="4"/>
  <c r="I49" i="4"/>
  <c r="L49" i="4"/>
  <c r="M49" i="4"/>
  <c r="N49" i="4"/>
  <c r="O49" i="4"/>
  <c r="P49" i="4"/>
  <c r="Q49" i="4"/>
  <c r="T49" i="4"/>
  <c r="U49" i="4"/>
  <c r="V49" i="4"/>
  <c r="W49" i="4"/>
  <c r="X49" i="4"/>
  <c r="Y49" i="4"/>
  <c r="H50" i="4"/>
  <c r="I50" i="4"/>
  <c r="L50" i="4"/>
  <c r="M50" i="4"/>
  <c r="N50" i="4"/>
  <c r="O50" i="4"/>
  <c r="P50" i="4"/>
  <c r="Q50" i="4"/>
  <c r="T50" i="4"/>
  <c r="U50" i="4"/>
  <c r="V50" i="4"/>
  <c r="W50" i="4"/>
  <c r="X50" i="4"/>
  <c r="Y50" i="4"/>
  <c r="H51" i="4"/>
  <c r="I51" i="4"/>
  <c r="L51" i="4"/>
  <c r="M51" i="4"/>
  <c r="N51" i="4"/>
  <c r="O51" i="4"/>
  <c r="P51" i="4" s="1"/>
  <c r="Q51" i="4" s="1"/>
  <c r="T51" i="4"/>
  <c r="U51" i="4"/>
  <c r="V51" i="4"/>
  <c r="W51" i="4"/>
  <c r="X51" i="4" s="1"/>
  <c r="Y51" i="4" s="1"/>
  <c r="H52" i="4"/>
  <c r="I52" i="4"/>
  <c r="L52" i="4"/>
  <c r="M52" i="4"/>
  <c r="N52" i="4"/>
  <c r="O52" i="4"/>
  <c r="P52" i="4"/>
  <c r="Q52" i="4"/>
  <c r="T52" i="4"/>
  <c r="U52" i="4"/>
  <c r="V52" i="4"/>
  <c r="W52" i="4"/>
  <c r="X52" i="4"/>
  <c r="Y52" i="4"/>
  <c r="H53" i="4"/>
  <c r="I53" i="4"/>
  <c r="L53" i="4"/>
  <c r="M53" i="4"/>
  <c r="N53" i="4"/>
  <c r="O53" i="4"/>
  <c r="P53" i="4"/>
  <c r="Q53" i="4"/>
  <c r="T53" i="4"/>
  <c r="U53" i="4"/>
  <c r="V53" i="4"/>
  <c r="W53" i="4"/>
  <c r="X53" i="4"/>
  <c r="Y53" i="4"/>
  <c r="H54" i="4"/>
  <c r="I54" i="4"/>
  <c r="L54" i="4"/>
  <c r="M54" i="4"/>
  <c r="N54" i="4"/>
  <c r="O54" i="4"/>
  <c r="P54" i="4" s="1"/>
  <c r="Q54" i="4" s="1"/>
  <c r="T54" i="4"/>
  <c r="U54" i="4"/>
  <c r="V54" i="4"/>
  <c r="W54" i="4"/>
  <c r="X54" i="4" s="1"/>
  <c r="Y54" i="4" s="1"/>
  <c r="H55" i="4"/>
  <c r="I55" i="4"/>
  <c r="L55" i="4"/>
  <c r="M55" i="4"/>
  <c r="N55" i="4"/>
  <c r="O55" i="4"/>
  <c r="P55" i="4"/>
  <c r="Q55" i="4"/>
  <c r="T55" i="4"/>
  <c r="U55" i="4"/>
  <c r="V55" i="4"/>
  <c r="W55" i="4"/>
  <c r="X55" i="4"/>
  <c r="Y55" i="4"/>
  <c r="H56" i="4"/>
  <c r="I56" i="4"/>
  <c r="L56" i="4"/>
  <c r="M56" i="4"/>
  <c r="N56" i="4"/>
  <c r="O56" i="4"/>
  <c r="P56" i="4"/>
  <c r="Q56" i="4"/>
  <c r="T56" i="4"/>
  <c r="U56" i="4"/>
  <c r="V56" i="4"/>
  <c r="W56" i="4"/>
  <c r="X56" i="4"/>
  <c r="Y56" i="4"/>
  <c r="H57" i="4"/>
  <c r="I57" i="4"/>
  <c r="L57" i="4"/>
  <c r="M57" i="4"/>
  <c r="N57" i="4"/>
  <c r="O57" i="4"/>
  <c r="P57" i="4" s="1"/>
  <c r="Q57" i="4" s="1"/>
  <c r="T57" i="4"/>
  <c r="U57" i="4"/>
  <c r="V57" i="4"/>
  <c r="W57" i="4"/>
  <c r="X57" i="4" s="1"/>
  <c r="Y57" i="4" s="1"/>
  <c r="H58" i="4"/>
  <c r="I58" i="4"/>
  <c r="L58" i="4"/>
  <c r="M58" i="4"/>
  <c r="N58" i="4"/>
  <c r="O58" i="4"/>
  <c r="P58" i="4"/>
  <c r="Q58" i="4"/>
  <c r="T58" i="4"/>
  <c r="U58" i="4"/>
  <c r="V58" i="4"/>
  <c r="W58" i="4"/>
  <c r="X58" i="4"/>
  <c r="Y58" i="4"/>
  <c r="H59" i="4"/>
  <c r="I59" i="4"/>
  <c r="L59" i="4"/>
  <c r="M59" i="4"/>
  <c r="N59" i="4"/>
  <c r="O59" i="4"/>
  <c r="P59" i="4"/>
  <c r="Q59" i="4"/>
  <c r="T59" i="4"/>
  <c r="U59" i="4"/>
  <c r="V59" i="4"/>
  <c r="W59" i="4"/>
  <c r="X59" i="4"/>
  <c r="Y59" i="4"/>
  <c r="H60" i="4"/>
  <c r="I60" i="4"/>
  <c r="L60" i="4"/>
  <c r="M60" i="4"/>
  <c r="N60" i="4"/>
  <c r="O60" i="4"/>
  <c r="P60" i="4" s="1"/>
  <c r="Q60" i="4" s="1"/>
  <c r="T60" i="4"/>
  <c r="U60" i="4"/>
  <c r="V60" i="4"/>
  <c r="W60" i="4"/>
  <c r="X60" i="4" s="1"/>
  <c r="Y60" i="4" s="1"/>
  <c r="H61" i="4"/>
  <c r="I61" i="4"/>
  <c r="L61" i="4"/>
  <c r="M61" i="4"/>
  <c r="N61" i="4"/>
  <c r="O61" i="4"/>
  <c r="P61" i="4"/>
  <c r="Q61" i="4"/>
  <c r="T61" i="4"/>
  <c r="U61" i="4"/>
  <c r="V61" i="4"/>
  <c r="W61" i="4"/>
  <c r="X61" i="4"/>
  <c r="Y61" i="4"/>
  <c r="H62" i="4"/>
  <c r="I62" i="4"/>
  <c r="L62" i="4"/>
  <c r="M62" i="4"/>
  <c r="N62" i="4"/>
  <c r="O62" i="4"/>
  <c r="P62" i="4"/>
  <c r="Q62" i="4"/>
  <c r="T62" i="4"/>
  <c r="U62" i="4"/>
  <c r="V62" i="4"/>
  <c r="W62" i="4"/>
  <c r="X62" i="4"/>
  <c r="Y62" i="4"/>
  <c r="H63" i="4"/>
  <c r="I63" i="4"/>
  <c r="L63" i="4"/>
  <c r="M63" i="4"/>
  <c r="N63" i="4"/>
  <c r="O63" i="4"/>
  <c r="P63" i="4" s="1"/>
  <c r="Q63" i="4" s="1"/>
  <c r="T63" i="4"/>
  <c r="U63" i="4"/>
  <c r="V63" i="4"/>
  <c r="W63" i="4"/>
  <c r="X63" i="4" s="1"/>
  <c r="Y63" i="4" s="1"/>
  <c r="H64" i="4"/>
  <c r="I64" i="4"/>
  <c r="L64" i="4"/>
  <c r="M64" i="4"/>
  <c r="N64" i="4"/>
  <c r="O64" i="4"/>
  <c r="P64" i="4"/>
  <c r="Q64" i="4"/>
  <c r="T64" i="4"/>
  <c r="U64" i="4"/>
  <c r="V64" i="4"/>
  <c r="W64" i="4"/>
  <c r="X64" i="4"/>
  <c r="Y64" i="4"/>
  <c r="H65" i="4"/>
  <c r="I65" i="4"/>
  <c r="L65" i="4"/>
  <c r="M65" i="4"/>
  <c r="N65" i="4"/>
  <c r="O65" i="4"/>
  <c r="P65" i="4"/>
  <c r="Q65" i="4"/>
  <c r="T65" i="4"/>
  <c r="U65" i="4"/>
  <c r="V65" i="4"/>
  <c r="W65" i="4"/>
  <c r="X65" i="4"/>
  <c r="Y65" i="4"/>
  <c r="H66" i="4"/>
  <c r="I66" i="4"/>
  <c r="L66" i="4"/>
  <c r="M66" i="4"/>
  <c r="N66" i="4"/>
  <c r="O66" i="4"/>
  <c r="P66" i="4" s="1"/>
  <c r="Q66" i="4" s="1"/>
  <c r="T66" i="4"/>
  <c r="U66" i="4"/>
  <c r="V66" i="4"/>
  <c r="W66" i="4"/>
  <c r="X66" i="4" s="1"/>
  <c r="Y66" i="4" s="1"/>
  <c r="H67" i="4"/>
  <c r="I67" i="4"/>
  <c r="L67" i="4"/>
  <c r="M67" i="4"/>
  <c r="N67" i="4"/>
  <c r="O67" i="4"/>
  <c r="P67" i="4"/>
  <c r="Q67" i="4"/>
  <c r="T67" i="4"/>
  <c r="U67" i="4"/>
  <c r="V67" i="4"/>
  <c r="W67" i="4"/>
  <c r="X67" i="4"/>
  <c r="Y67" i="4"/>
  <c r="H68" i="4"/>
  <c r="I68" i="4"/>
  <c r="L68" i="4"/>
  <c r="M68" i="4"/>
  <c r="N68" i="4"/>
  <c r="O68" i="4"/>
  <c r="P68" i="4"/>
  <c r="Q68" i="4"/>
  <c r="T68" i="4"/>
  <c r="U68" i="4"/>
  <c r="V68" i="4"/>
  <c r="W68" i="4"/>
  <c r="X68" i="4"/>
  <c r="Y68" i="4"/>
  <c r="H69" i="4"/>
  <c r="I69" i="4"/>
  <c r="L69" i="4"/>
  <c r="M69" i="4"/>
  <c r="N69" i="4"/>
  <c r="O69" i="4"/>
  <c r="P69" i="4" s="1"/>
  <c r="Q69" i="4" s="1"/>
  <c r="T69" i="4"/>
  <c r="U69" i="4"/>
  <c r="V69" i="4"/>
  <c r="W69" i="4"/>
  <c r="X69" i="4" s="1"/>
  <c r="Y69" i="4" s="1"/>
  <c r="H70" i="4"/>
  <c r="I70" i="4"/>
  <c r="L70" i="4"/>
  <c r="M70" i="4"/>
  <c r="N70" i="4"/>
  <c r="O70" i="4"/>
  <c r="P70" i="4"/>
  <c r="Q70" i="4"/>
  <c r="T70" i="4"/>
  <c r="U70" i="4"/>
  <c r="V70" i="4"/>
  <c r="W70" i="4"/>
  <c r="X70" i="4"/>
  <c r="Y70" i="4"/>
  <c r="H71" i="4"/>
  <c r="I71" i="4"/>
  <c r="L71" i="4"/>
  <c r="M71" i="4"/>
  <c r="N71" i="4"/>
  <c r="O71" i="4"/>
  <c r="P71" i="4"/>
  <c r="Q71" i="4"/>
  <c r="T71" i="4"/>
  <c r="U71" i="4"/>
  <c r="V71" i="4"/>
  <c r="W71" i="4"/>
  <c r="X71" i="4"/>
  <c r="Y71" i="4"/>
  <c r="H72" i="4"/>
  <c r="I72" i="4"/>
  <c r="L72" i="4"/>
  <c r="M72" i="4"/>
  <c r="N72" i="4"/>
  <c r="O72" i="4"/>
  <c r="P72" i="4" s="1"/>
  <c r="Q72" i="4" s="1"/>
  <c r="T72" i="4"/>
  <c r="U72" i="4"/>
  <c r="V72" i="4"/>
  <c r="W72" i="4"/>
  <c r="X72" i="4" s="1"/>
  <c r="Y72" i="4" s="1"/>
  <c r="H73" i="4"/>
  <c r="I73" i="4"/>
  <c r="L73" i="4"/>
  <c r="M73" i="4"/>
  <c r="N73" i="4"/>
  <c r="O73" i="4"/>
  <c r="P73" i="4"/>
  <c r="Q73" i="4"/>
  <c r="T73" i="4"/>
  <c r="U73" i="4"/>
  <c r="V73" i="4"/>
  <c r="W73" i="4"/>
  <c r="X73" i="4"/>
  <c r="Y73" i="4"/>
  <c r="H74" i="4"/>
  <c r="I74" i="4"/>
  <c r="L74" i="4"/>
  <c r="M74" i="4"/>
  <c r="N74" i="4"/>
  <c r="O74" i="4"/>
  <c r="P74" i="4"/>
  <c r="Q74" i="4"/>
  <c r="T74" i="4"/>
  <c r="U74" i="4"/>
  <c r="V74" i="4"/>
  <c r="W74" i="4"/>
  <c r="X74" i="4"/>
  <c r="Y74" i="4"/>
  <c r="H75" i="4"/>
  <c r="I75" i="4"/>
  <c r="L75" i="4"/>
  <c r="M75" i="4"/>
  <c r="N75" i="4"/>
  <c r="O75" i="4"/>
  <c r="P75" i="4" s="1"/>
  <c r="Q75" i="4" s="1"/>
  <c r="T75" i="4"/>
  <c r="U75" i="4"/>
  <c r="V75" i="4"/>
  <c r="W75" i="4"/>
  <c r="X75" i="4" s="1"/>
  <c r="Y75" i="4" s="1"/>
  <c r="H76" i="4"/>
  <c r="I76" i="4"/>
  <c r="L76" i="4"/>
  <c r="M76" i="4"/>
  <c r="N76" i="4"/>
  <c r="O76" i="4"/>
  <c r="P76" i="4"/>
  <c r="Q76" i="4"/>
  <c r="T76" i="4"/>
  <c r="U76" i="4"/>
  <c r="V76" i="4"/>
  <c r="W76" i="4"/>
  <c r="X76" i="4"/>
  <c r="Y76" i="4"/>
  <c r="H77" i="4"/>
  <c r="I77" i="4"/>
  <c r="L77" i="4"/>
  <c r="M77" i="4"/>
  <c r="N77" i="4"/>
  <c r="O77" i="4"/>
  <c r="P77" i="4"/>
  <c r="Q77" i="4"/>
  <c r="T77" i="4"/>
  <c r="U77" i="4"/>
  <c r="V77" i="4"/>
  <c r="W77" i="4"/>
  <c r="X77" i="4"/>
  <c r="Y77" i="4"/>
  <c r="H78" i="4"/>
  <c r="I78" i="4"/>
  <c r="L78" i="4"/>
  <c r="M78" i="4"/>
  <c r="N78" i="4"/>
  <c r="O78" i="4"/>
  <c r="P78" i="4" s="1"/>
  <c r="Q78" i="4" s="1"/>
  <c r="T78" i="4"/>
  <c r="U78" i="4"/>
  <c r="V78" i="4"/>
  <c r="W78" i="4"/>
  <c r="X78" i="4" s="1"/>
  <c r="Y78" i="4" s="1"/>
  <c r="H79" i="4"/>
  <c r="I79" i="4"/>
  <c r="L79" i="4"/>
  <c r="M79" i="4"/>
  <c r="N79" i="4"/>
  <c r="O79" i="4"/>
  <c r="P79" i="4"/>
  <c r="Q79" i="4"/>
  <c r="T79" i="4"/>
  <c r="U79" i="4"/>
  <c r="V79" i="4"/>
  <c r="W79" i="4"/>
  <c r="X79" i="4"/>
  <c r="Y79" i="4"/>
  <c r="H80" i="4"/>
  <c r="I80" i="4"/>
  <c r="L80" i="4"/>
  <c r="M80" i="4"/>
  <c r="N80" i="4"/>
  <c r="O80" i="4"/>
  <c r="P80" i="4"/>
  <c r="Q80" i="4"/>
  <c r="T80" i="4"/>
  <c r="U80" i="4"/>
  <c r="V80" i="4"/>
  <c r="W80" i="4"/>
  <c r="X80" i="4"/>
  <c r="Y80" i="4"/>
  <c r="H81" i="4"/>
  <c r="I81" i="4"/>
  <c r="L81" i="4"/>
  <c r="M81" i="4"/>
  <c r="N81" i="4"/>
  <c r="O81" i="4"/>
  <c r="P81" i="4" s="1"/>
  <c r="Q81" i="4" s="1"/>
  <c r="T81" i="4"/>
  <c r="U81" i="4"/>
  <c r="V81" i="4"/>
  <c r="W81" i="4"/>
  <c r="X81" i="4" s="1"/>
  <c r="Y81" i="4" s="1"/>
  <c r="H82" i="4"/>
  <c r="I82" i="4"/>
  <c r="L82" i="4"/>
  <c r="M82" i="4"/>
  <c r="N82" i="4"/>
  <c r="O82" i="4"/>
  <c r="P82" i="4"/>
  <c r="Q82" i="4"/>
  <c r="T82" i="4"/>
  <c r="U82" i="4"/>
  <c r="V82" i="4"/>
  <c r="W82" i="4"/>
  <c r="X82" i="4"/>
  <c r="Y82" i="4"/>
  <c r="H83" i="4"/>
  <c r="I83" i="4"/>
  <c r="L83" i="4"/>
  <c r="M83" i="4"/>
  <c r="N83" i="4"/>
  <c r="O83" i="4"/>
  <c r="P83" i="4"/>
  <c r="Q83" i="4"/>
  <c r="T83" i="4"/>
  <c r="U83" i="4"/>
  <c r="V83" i="4"/>
  <c r="W83" i="4"/>
  <c r="X83" i="4"/>
  <c r="Y83" i="4"/>
  <c r="H84" i="4"/>
  <c r="I84" i="4"/>
  <c r="L84" i="4"/>
  <c r="M84" i="4"/>
  <c r="N84" i="4"/>
  <c r="O84" i="4"/>
  <c r="P84" i="4" s="1"/>
  <c r="Q84" i="4" s="1"/>
  <c r="T84" i="4"/>
  <c r="U84" i="4"/>
  <c r="V84" i="4"/>
  <c r="W84" i="4"/>
  <c r="X84" i="4" s="1"/>
  <c r="Y84" i="4" s="1"/>
  <c r="H85" i="4"/>
  <c r="I85" i="4"/>
  <c r="L85" i="4"/>
  <c r="M85" i="4"/>
  <c r="N85" i="4"/>
  <c r="O85" i="4"/>
  <c r="P85" i="4"/>
  <c r="Q85" i="4"/>
  <c r="T85" i="4"/>
  <c r="U85" i="4"/>
  <c r="V85" i="4"/>
  <c r="W85" i="4"/>
  <c r="X85" i="4"/>
  <c r="Y85" i="4"/>
  <c r="H86" i="4"/>
  <c r="I86" i="4"/>
  <c r="L86" i="4"/>
  <c r="M86" i="4"/>
  <c r="N86" i="4"/>
  <c r="O86" i="4"/>
  <c r="P86" i="4"/>
  <c r="Q86" i="4"/>
  <c r="T86" i="4"/>
  <c r="U86" i="4"/>
  <c r="V86" i="4"/>
  <c r="W86" i="4"/>
  <c r="X86" i="4"/>
  <c r="Y86" i="4"/>
  <c r="H87" i="4"/>
  <c r="I87" i="4"/>
  <c r="L87" i="4"/>
  <c r="M87" i="4"/>
  <c r="N87" i="4"/>
  <c r="O87" i="4"/>
  <c r="P87" i="4" s="1"/>
  <c r="Q87" i="4" s="1"/>
  <c r="T87" i="4"/>
  <c r="U87" i="4"/>
  <c r="V87" i="4"/>
  <c r="W87" i="4"/>
  <c r="X87" i="4" s="1"/>
  <c r="Y87" i="4" s="1"/>
  <c r="H88" i="4"/>
  <c r="I88" i="4"/>
  <c r="L88" i="4"/>
  <c r="M88" i="4"/>
  <c r="N88" i="4"/>
  <c r="O88" i="4"/>
  <c r="P88" i="4"/>
  <c r="Q88" i="4"/>
  <c r="T88" i="4"/>
  <c r="U88" i="4"/>
  <c r="V88" i="4"/>
  <c r="W88" i="4"/>
  <c r="X88" i="4"/>
  <c r="Y88" i="4"/>
  <c r="H89" i="4"/>
  <c r="I89" i="4"/>
  <c r="L89" i="4"/>
  <c r="M89" i="4" s="1"/>
  <c r="N89" i="4"/>
  <c r="O89" i="4"/>
  <c r="P89" i="4"/>
  <c r="Q89" i="4"/>
  <c r="T89" i="4"/>
  <c r="U89" i="4"/>
  <c r="V89" i="4"/>
  <c r="W89" i="4"/>
  <c r="X89" i="4"/>
  <c r="Y89" i="4"/>
  <c r="H90" i="4"/>
  <c r="I90" i="4" s="1"/>
  <c r="L90" i="4"/>
  <c r="M90" i="4"/>
  <c r="N90" i="4"/>
  <c r="O90" i="4"/>
  <c r="P90" i="4" s="1"/>
  <c r="Q90" i="4" s="1"/>
  <c r="T90" i="4"/>
  <c r="U90" i="4"/>
  <c r="V90" i="4"/>
  <c r="W90" i="4"/>
  <c r="X90" i="4" s="1"/>
  <c r="Y90" i="4" s="1"/>
  <c r="H91" i="4"/>
  <c r="I91" i="4"/>
  <c r="L91" i="4"/>
  <c r="M91" i="4"/>
  <c r="N91" i="4"/>
  <c r="O91" i="4"/>
  <c r="P91" i="4"/>
  <c r="Q91" i="4"/>
  <c r="T91" i="4"/>
  <c r="U91" i="4"/>
  <c r="V91" i="4"/>
  <c r="W91" i="4"/>
  <c r="X91" i="4"/>
  <c r="Y91" i="4"/>
  <c r="H92" i="4"/>
  <c r="I92" i="4"/>
  <c r="L92" i="4"/>
  <c r="M92" i="4"/>
  <c r="N92" i="4"/>
  <c r="O92" i="4"/>
  <c r="P92" i="4"/>
  <c r="Q92" i="4"/>
  <c r="T92" i="4"/>
  <c r="U92" i="4" s="1"/>
  <c r="V92" i="4"/>
  <c r="W92" i="4"/>
  <c r="X92" i="4"/>
  <c r="Y92" i="4"/>
  <c r="H93" i="4"/>
  <c r="I93" i="4"/>
  <c r="L93" i="4"/>
  <c r="M93" i="4"/>
  <c r="N93" i="4"/>
  <c r="O93" i="4"/>
  <c r="P93" i="4" s="1"/>
  <c r="Q93" i="4" s="1"/>
  <c r="T93" i="4"/>
  <c r="U93" i="4"/>
  <c r="V93" i="4"/>
  <c r="W93" i="4"/>
  <c r="X93" i="4" s="1"/>
  <c r="Y93" i="4" s="1"/>
  <c r="H94" i="4"/>
  <c r="I94" i="4"/>
  <c r="L94" i="4"/>
  <c r="M94" i="4"/>
  <c r="N94" i="4"/>
  <c r="O94" i="4"/>
  <c r="P94" i="4"/>
  <c r="Q94" i="4"/>
  <c r="T94" i="4"/>
  <c r="U94" i="4"/>
  <c r="V94" i="4"/>
  <c r="W94" i="4"/>
  <c r="X94" i="4"/>
  <c r="Y94" i="4"/>
  <c r="G16" i="3" l="1"/>
  <c r="D10" i="3"/>
  <c r="D11" i="3"/>
  <c r="K17" i="2"/>
  <c r="M17" i="2" s="1"/>
  <c r="L26" i="2" s="1"/>
  <c r="O26" i="2" s="1"/>
  <c r="B17" i="2"/>
  <c r="D17" i="2"/>
  <c r="C26" i="2" s="1"/>
  <c r="F25" i="2"/>
  <c r="C25" i="2"/>
  <c r="B25" i="2"/>
  <c r="B26" i="2"/>
  <c r="A4" i="3"/>
  <c r="C5" i="3"/>
  <c r="D17" i="3" s="1"/>
  <c r="D5" i="3"/>
  <c r="B14" i="3"/>
  <c r="B17" i="3"/>
  <c r="D28" i="3" s="1"/>
  <c r="D25" i="3"/>
  <c r="D6" i="2"/>
  <c r="M6" i="2"/>
  <c r="D7" i="2"/>
  <c r="M7" i="2"/>
  <c r="D8" i="2"/>
  <c r="F18" i="2" s="1"/>
  <c r="M8" i="2"/>
  <c r="D9" i="2"/>
  <c r="D16" i="2"/>
  <c r="M16" i="2"/>
  <c r="L25" i="2" s="1"/>
  <c r="O25" i="2" s="1"/>
  <c r="D18" i="2"/>
  <c r="M18" i="2"/>
  <c r="O18" i="2" s="1"/>
  <c r="F24" i="2"/>
  <c r="O24" i="2"/>
  <c r="D31" i="2"/>
  <c r="F31" i="2"/>
  <c r="M31" i="2"/>
  <c r="O31" i="2" s="1"/>
  <c r="D32" i="2"/>
  <c r="F32" i="2"/>
  <c r="M32" i="2"/>
  <c r="O32" i="2"/>
  <c r="D33" i="2"/>
  <c r="F33" i="2" s="1"/>
  <c r="M33" i="2"/>
  <c r="O33" i="2" s="1"/>
  <c r="D34" i="2"/>
  <c r="F34" i="2"/>
  <c r="M34" i="2"/>
  <c r="O34" i="2" s="1"/>
  <c r="M35" i="2"/>
  <c r="O35" i="2"/>
  <c r="D14" i="3" l="1"/>
  <c r="G14" i="3" s="1"/>
  <c r="G17" i="3" s="1"/>
  <c r="G15" i="3"/>
  <c r="O37" i="2"/>
  <c r="O17" i="2"/>
  <c r="F16" i="2"/>
  <c r="F17" i="2"/>
  <c r="F20" i="2"/>
  <c r="O16" i="2"/>
  <c r="F26" i="2"/>
  <c r="O20" i="2" l="1"/>
  <c r="O39" i="2" s="1"/>
  <c r="O41" i="2" s="1"/>
  <c r="F36" i="2"/>
  <c r="F38" i="2" s="1"/>
  <c r="F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MIGUEL ZUÑIGA GARCIA</author>
    <author>CHRISTIAN EMMANUEL LUNA HERNANDEZ</author>
  </authors>
  <commentList>
    <comment ref="C12" authorId="0" shapeId="0" xr:uid="{4EF8AFC0-60A8-4082-96FB-4F9569722E39}">
      <text>
        <r>
          <rPr>
            <b/>
            <sz val="9"/>
            <color indexed="81"/>
            <rFont val="Tahoma"/>
            <family val="2"/>
          </rPr>
          <t>LOTE 01
FECHA DE ENVIO</t>
        </r>
        <r>
          <rPr>
            <sz val="9"/>
            <color indexed="81"/>
            <rFont val="Tahoma"/>
            <family val="2"/>
          </rPr>
          <t xml:space="preserve">
Revisión:N/a
Remuestreo:N/a
Liberación:21/02/2026
</t>
        </r>
      </text>
    </comment>
    <comment ref="J12" authorId="0" shapeId="0" xr:uid="{CAA349EE-299F-449E-A84E-AF1B92BF6C0C}">
      <text>
        <r>
          <rPr>
            <b/>
            <sz val="9"/>
            <color indexed="81"/>
            <rFont val="Tahoma"/>
            <family val="2"/>
          </rPr>
          <t xml:space="preserve">LOTE 01
</t>
        </r>
        <r>
          <rPr>
            <sz val="9"/>
            <color indexed="81"/>
            <rFont val="Tahoma"/>
            <family val="2"/>
          </rPr>
          <t xml:space="preserve">Original:1,201
Testigo:1,196
Sobre Plateado:1,246
</t>
        </r>
      </text>
    </comment>
    <comment ref="R12" authorId="0" shapeId="0" xr:uid="{521602A0-9367-437F-815F-B70B0F052E5B}">
      <text>
        <r>
          <rPr>
            <b/>
            <sz val="9"/>
            <color indexed="81"/>
            <rFont val="Tahoma"/>
            <family val="2"/>
          </rPr>
          <t xml:space="preserve">LOTE 01
</t>
        </r>
        <r>
          <rPr>
            <sz val="9"/>
            <color indexed="81"/>
            <rFont val="Tahoma"/>
            <family val="2"/>
          </rPr>
          <t xml:space="preserve">Original:536,705
Testigo:543,285
Sobre Plateado: 558,750
</t>
        </r>
      </text>
    </comment>
    <comment ref="C13" authorId="0" shapeId="0" xr:uid="{0D24D016-978E-42D2-AEFC-6150C21900A6}">
      <text>
        <r>
          <rPr>
            <b/>
            <sz val="9"/>
            <color indexed="81"/>
            <rFont val="Tahoma"/>
            <family val="2"/>
          </rPr>
          <t xml:space="preserve">LOTE 02
FECHA DE ENVIO:
</t>
        </r>
        <r>
          <rPr>
            <sz val="9"/>
            <color indexed="81"/>
            <rFont val="Tahoma"/>
            <family val="2"/>
          </rPr>
          <t xml:space="preserve">Revision:27/02/2026
Remuestreo:N/A
Liberacion:20/03/2026
</t>
        </r>
      </text>
    </comment>
    <comment ref="J13" authorId="0" shapeId="0" xr:uid="{58EF4B1C-84A0-49A0-A763-B5479C2FCB72}">
      <text>
        <r>
          <rPr>
            <b/>
            <sz val="9"/>
            <color indexed="81"/>
            <rFont val="Tahoma"/>
            <family val="2"/>
          </rPr>
          <t>LOTE 02</t>
        </r>
        <r>
          <rPr>
            <sz val="9"/>
            <color indexed="81"/>
            <rFont val="Tahoma"/>
            <family val="2"/>
          </rPr>
          <t xml:space="preserve">
Original:1,202
Testigo:1,214
Sobre Plateado:1,122
</t>
        </r>
      </text>
    </comment>
    <comment ref="R13" authorId="0" shapeId="0" xr:uid="{95A1E7E1-848C-47F2-98BF-BB42F9C46D47}">
      <text>
        <r>
          <rPr>
            <b/>
            <sz val="9"/>
            <color indexed="81"/>
            <rFont val="Tahoma"/>
            <family val="2"/>
          </rPr>
          <t xml:space="preserve">LOTE 02
</t>
        </r>
        <r>
          <rPr>
            <sz val="9"/>
            <color indexed="81"/>
            <rFont val="Tahoma"/>
            <family val="2"/>
          </rPr>
          <t xml:space="preserve">Original:537,750
Testigo:540,337
Sobre Plateado:517,531
</t>
        </r>
      </text>
    </comment>
    <comment ref="C14" authorId="0" shapeId="0" xr:uid="{1FDEC422-7D46-4782-9E1C-2F23A879AF92}">
      <text>
        <r>
          <rPr>
            <b/>
            <sz val="9"/>
            <color indexed="81"/>
            <rFont val="Tahoma"/>
            <family val="2"/>
          </rPr>
          <t xml:space="preserve">LOTE 03
FECHA DE ENVIO:
</t>
        </r>
        <r>
          <rPr>
            <sz val="9"/>
            <color indexed="81"/>
            <rFont val="Tahoma"/>
            <family val="2"/>
          </rPr>
          <t>Revision:07/03/2026
Remuestreo:N/A
Liberacion:20/03/2026</t>
        </r>
      </text>
    </comment>
    <comment ref="J14" authorId="0" shapeId="0" xr:uid="{7BE766D2-12B8-4C8A-B528-846B42465613}">
      <text>
        <r>
          <rPr>
            <b/>
            <sz val="9"/>
            <color indexed="81"/>
            <rFont val="Tahoma"/>
            <family val="2"/>
          </rPr>
          <t xml:space="preserve">LOTE 03
</t>
        </r>
        <r>
          <rPr>
            <sz val="9"/>
            <color indexed="81"/>
            <rFont val="Tahoma"/>
            <family val="2"/>
          </rPr>
          <t>Original:1,084
Testigo: 1,117
Sobre Plateado:1,229</t>
        </r>
      </text>
    </comment>
    <comment ref="R14" authorId="0" shapeId="0" xr:uid="{AD09238A-AA4E-4A56-B8B9-3EE4FBF80529}">
      <text>
        <r>
          <rPr>
            <b/>
            <sz val="9"/>
            <color indexed="81"/>
            <rFont val="Tahoma"/>
            <family val="2"/>
          </rPr>
          <t xml:space="preserve">LOTE 03
</t>
        </r>
        <r>
          <rPr>
            <sz val="9"/>
            <color indexed="81"/>
            <rFont val="Tahoma"/>
            <family val="2"/>
          </rPr>
          <t xml:space="preserve">Original: 492,600
Testigo:490,044
Sobre Plateado: 541,887
</t>
        </r>
      </text>
    </comment>
    <comment ref="C15" authorId="0" shapeId="0" xr:uid="{E09B91DC-4702-4FA1-A56E-5124B71F09CB}">
      <text>
        <r>
          <rPr>
            <b/>
            <sz val="9"/>
            <color indexed="81"/>
            <rFont val="Tahoma"/>
            <family val="2"/>
          </rPr>
          <t xml:space="preserve">LOTE 04
FECHA DE ENVIO:
</t>
        </r>
        <r>
          <rPr>
            <sz val="9"/>
            <color indexed="81"/>
            <rFont val="Tahoma"/>
            <family val="2"/>
          </rPr>
          <t xml:space="preserve">Revision:N/A
Remuestreo:N/A
Liberacion:27/02/2026
</t>
        </r>
      </text>
    </comment>
    <comment ref="C16" authorId="0" shapeId="0" xr:uid="{E386EB58-7B4E-4C69-8F2B-C7BDCBD11B1A}">
      <text>
        <r>
          <rPr>
            <b/>
            <sz val="9"/>
            <color indexed="81"/>
            <rFont val="Tahoma"/>
            <family val="2"/>
          </rPr>
          <t xml:space="preserve">LOTE 05
FECHA DE ENVIO:
</t>
        </r>
        <r>
          <rPr>
            <sz val="9"/>
            <color indexed="81"/>
            <rFont val="Tahoma"/>
            <family val="2"/>
          </rPr>
          <t xml:space="preserve">Revision:07/03/2026
Remuestreo:N/A
Liberacion:20/03/2026
</t>
        </r>
      </text>
    </comment>
    <comment ref="J16" authorId="0" shapeId="0" xr:uid="{B0958507-5288-4C2A-83F6-230E34541F81}">
      <text>
        <r>
          <rPr>
            <b/>
            <sz val="9"/>
            <color indexed="81"/>
            <rFont val="Tahoma"/>
            <family val="2"/>
          </rPr>
          <t xml:space="preserve">LOTE 05
</t>
        </r>
        <r>
          <rPr>
            <sz val="9"/>
            <color indexed="81"/>
            <rFont val="Tahoma"/>
            <family val="2"/>
          </rPr>
          <t>Original:1,144
Testigo:1,180
Sobre Plateado:1,181</t>
        </r>
      </text>
    </comment>
    <comment ref="R16" authorId="0" shapeId="0" xr:uid="{69693760-2961-4A48-BC86-708F778CCE29}">
      <text>
        <r>
          <rPr>
            <b/>
            <sz val="9"/>
            <color indexed="81"/>
            <rFont val="Tahoma"/>
            <family val="2"/>
          </rPr>
          <t xml:space="preserve">LOTE 05
</t>
        </r>
        <r>
          <rPr>
            <sz val="9"/>
            <color indexed="81"/>
            <rFont val="Tahoma"/>
            <family val="2"/>
          </rPr>
          <t xml:space="preserve">Original: 497,273
Testigo:524,747
Sobre Plateado: 524,747
</t>
        </r>
      </text>
    </comment>
    <comment ref="C17" authorId="0" shapeId="0" xr:uid="{39AF87DD-C86C-422B-8951-7F97BD9F18BE}">
      <text>
        <r>
          <rPr>
            <b/>
            <sz val="9"/>
            <color indexed="81"/>
            <rFont val="Tahoma"/>
            <family val="2"/>
          </rPr>
          <t xml:space="preserve">LOTE 06
FECHA DE ENVIO:
</t>
        </r>
        <r>
          <rPr>
            <sz val="9"/>
            <color indexed="81"/>
            <rFont val="Tahoma"/>
            <family val="2"/>
          </rPr>
          <t>Revision:N/A
Remuestreo:N/A
Liberacion:27/02/2026</t>
        </r>
      </text>
    </comment>
    <comment ref="C18" authorId="0" shapeId="0" xr:uid="{32EE6FD3-E017-423B-9BD6-D4FB1D34765C}">
      <text>
        <r>
          <rPr>
            <b/>
            <sz val="9"/>
            <color indexed="81"/>
            <rFont val="Tahoma"/>
            <family val="2"/>
          </rPr>
          <t xml:space="preserve">LOTE 07
FECHA DE ENVIO:
</t>
        </r>
        <r>
          <rPr>
            <sz val="9"/>
            <color indexed="81"/>
            <rFont val="Tahoma"/>
            <family val="2"/>
          </rPr>
          <t>Revision:07/03/2026
Remuestreo:N/A
Liberacion:20/03/2026</t>
        </r>
      </text>
    </comment>
    <comment ref="D18" authorId="0" shapeId="0" xr:uid="{CBC13FFB-338A-45A8-887F-416A8A37347F}">
      <text>
        <r>
          <rPr>
            <b/>
            <sz val="9"/>
            <color indexed="81"/>
            <rFont val="Tahoma"/>
            <family val="2"/>
          </rPr>
          <t xml:space="preserve">Se tiene error en la captura del peso en mina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D84025-2229-4773-9A93-E2F037F0C3EA}">
      <text>
        <r>
          <rPr>
            <b/>
            <sz val="9"/>
            <color indexed="81"/>
            <rFont val="Tahoma"/>
            <family val="2"/>
          </rPr>
          <t xml:space="preserve">LOTE 07
</t>
        </r>
        <r>
          <rPr>
            <sz val="9"/>
            <color indexed="81"/>
            <rFont val="Tahoma"/>
            <family val="2"/>
          </rPr>
          <t xml:space="preserve">Original: 920
Testigo:933
Sobre Plateado:896
</t>
        </r>
      </text>
    </comment>
    <comment ref="R18" authorId="0" shapeId="0" xr:uid="{6B1A1317-2E14-4060-8899-89008F7D59AF}">
      <text>
        <r>
          <rPr>
            <b/>
            <sz val="9"/>
            <color indexed="81"/>
            <rFont val="Tahoma"/>
            <family val="2"/>
          </rPr>
          <t xml:space="preserve">LOTE 07
</t>
        </r>
        <r>
          <rPr>
            <sz val="9"/>
            <color indexed="81"/>
            <rFont val="Tahoma"/>
            <family val="2"/>
          </rPr>
          <t>Original: 502,627
Testigo:496,134
Sobre Plateado: 521,235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 shapeId="0" xr:uid="{D0990B07-339C-4876-BCF2-C2257DDFC5D1}">
      <text>
        <r>
          <rPr>
            <b/>
            <sz val="9"/>
            <color indexed="81"/>
            <rFont val="Tahoma"/>
            <family val="2"/>
          </rPr>
          <t xml:space="preserve">LOTE 08
FECHA DE ENVIO:
</t>
        </r>
        <r>
          <rPr>
            <sz val="9"/>
            <color indexed="81"/>
            <rFont val="Tahoma"/>
            <family val="2"/>
          </rPr>
          <t xml:space="preserve">Revision:07/03/2026
Remuestreo:N/A
Liberacion:20/03/2026
</t>
        </r>
      </text>
    </comment>
    <comment ref="D19" authorId="0" shapeId="0" xr:uid="{BAF5B1DA-E0C2-465A-8B93-C19DFC1A8CFF}">
      <text>
        <r>
          <rPr>
            <b/>
            <sz val="9"/>
            <color indexed="81"/>
            <rFont val="Tahoma"/>
            <family val="2"/>
          </rPr>
          <t xml:space="preserve">Se tiene error en la captura del peso en mina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0" shapeId="0" xr:uid="{9783D614-FA0E-433C-9972-1B29A99CAB53}">
      <text>
        <r>
          <rPr>
            <b/>
            <sz val="9"/>
            <color indexed="81"/>
            <rFont val="Tahoma"/>
            <family val="2"/>
          </rPr>
          <t xml:space="preserve">LOTE 08
</t>
        </r>
        <r>
          <rPr>
            <sz val="9"/>
            <color indexed="81"/>
            <rFont val="Tahoma"/>
            <family val="2"/>
          </rPr>
          <t>Original: 914
Testigo:950
Sobre Plateado:874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9" authorId="0" shapeId="0" xr:uid="{707B97E7-4024-4173-980A-C708C514E1E7}">
      <text>
        <r>
          <rPr>
            <b/>
            <sz val="9"/>
            <color indexed="81"/>
            <rFont val="Tahoma"/>
            <family val="2"/>
          </rPr>
          <t>LOTE 08</t>
        </r>
        <r>
          <rPr>
            <sz val="9"/>
            <color indexed="81"/>
            <rFont val="Tahoma"/>
            <family val="2"/>
          </rPr>
          <t xml:space="preserve">
Original: 497,252
Testigo:501,713
Sobre Plateado: 521,789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9035F8A3-68E6-4093-8182-D13D580874A6}">
      <text>
        <r>
          <rPr>
            <b/>
            <sz val="9"/>
            <color indexed="81"/>
            <rFont val="Tahoma"/>
            <family val="2"/>
          </rPr>
          <t xml:space="preserve">LOTE 09
FECHA DE ENVIO:
</t>
        </r>
        <r>
          <rPr>
            <sz val="9"/>
            <color indexed="81"/>
            <rFont val="Tahoma"/>
            <family val="2"/>
          </rPr>
          <t xml:space="preserve">Revision:N/A
Remuestreo:N/A
Liberacion:31/03/2026
</t>
        </r>
      </text>
    </comment>
    <comment ref="J20" authorId="0" shapeId="0" xr:uid="{69498B87-15A1-40AC-8FF7-E5DAB2C0212D}">
      <text>
        <r>
          <rPr>
            <b/>
            <sz val="9"/>
            <color indexed="81"/>
            <rFont val="Tahoma"/>
            <family val="2"/>
          </rPr>
          <t>LOTE 09</t>
        </r>
        <r>
          <rPr>
            <sz val="9"/>
            <color indexed="81"/>
            <rFont val="Tahoma"/>
            <family val="2"/>
          </rPr>
          <t xml:space="preserve">
Original:840
Testigo:815
Sobre Plateado:835
</t>
        </r>
      </text>
    </comment>
    <comment ref="R20" authorId="0" shapeId="0" xr:uid="{79E868D0-35C8-45AB-943E-173B3726FA86}">
      <text>
        <r>
          <rPr>
            <b/>
            <sz val="9"/>
            <color indexed="81"/>
            <rFont val="Tahoma"/>
            <family val="2"/>
          </rPr>
          <t>LOTE 09
Original:</t>
        </r>
      </text>
    </comment>
    <comment ref="C21" authorId="0" shapeId="0" xr:uid="{ACC8ECC7-0FE5-475A-82B6-1A488BA863A8}">
      <text>
        <r>
          <rPr>
            <b/>
            <sz val="9"/>
            <color indexed="81"/>
            <rFont val="Tahoma"/>
            <family val="2"/>
          </rPr>
          <t xml:space="preserve">LOTE 10
FECHA DE ENVIO:
</t>
        </r>
        <r>
          <rPr>
            <sz val="9"/>
            <color indexed="81"/>
            <rFont val="Tahoma"/>
            <family val="2"/>
          </rPr>
          <t xml:space="preserve">Revision:N/A
Remuestreo:N/A
Liberacion:31/03/2026
</t>
        </r>
      </text>
    </comment>
    <comment ref="C22" authorId="0" shapeId="0" xr:uid="{3694B80D-EBBB-4232-B1EC-51F1E67FA883}">
      <text>
        <r>
          <rPr>
            <b/>
            <sz val="9"/>
            <color indexed="81"/>
            <rFont val="Tahoma"/>
            <family val="2"/>
          </rPr>
          <t xml:space="preserve">LOTE 11
FECHA DE ENVIO:
</t>
        </r>
        <r>
          <rPr>
            <sz val="9"/>
            <color indexed="81"/>
            <rFont val="Tahoma"/>
            <family val="2"/>
          </rPr>
          <t xml:space="preserve">Revision:N/A
Remuestreo:N/A
Liberacion:31/03/2026
</t>
        </r>
      </text>
    </comment>
    <comment ref="C23" authorId="0" shapeId="0" xr:uid="{A34AC558-767F-42DC-8E4C-1430BA7B8854}">
      <text>
        <r>
          <rPr>
            <b/>
            <sz val="9"/>
            <color indexed="81"/>
            <rFont val="Tahoma"/>
            <family val="2"/>
          </rPr>
          <t xml:space="preserve">LOTE 12
FECHA DE ENVIO:
</t>
        </r>
        <r>
          <rPr>
            <sz val="9"/>
            <color indexed="81"/>
            <rFont val="Tahoma"/>
            <family val="2"/>
          </rPr>
          <t xml:space="preserve">Revision:N/A
Remuestreo:N/A
Liberacion:31/03/2026
</t>
        </r>
      </text>
    </comment>
    <comment ref="C24" authorId="0" shapeId="0" xr:uid="{180FAE04-72CC-4D95-AC8B-48FB864FFE02}">
      <text>
        <r>
          <rPr>
            <b/>
            <sz val="9"/>
            <color indexed="81"/>
            <rFont val="Tahoma"/>
            <family val="2"/>
          </rPr>
          <t xml:space="preserve">LOTE 13
FECHA DE ENVIO:
</t>
        </r>
        <r>
          <rPr>
            <sz val="9"/>
            <color indexed="81"/>
            <rFont val="Tahoma"/>
            <family val="2"/>
          </rPr>
          <t>Revision:17/04/2026
Remuestreo:
Liberacion: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D0C053F3-C51D-4067-9493-50C9B04C9F5B}">
      <text>
        <r>
          <rPr>
            <b/>
            <sz val="9"/>
            <color indexed="81"/>
            <rFont val="Tahoma"/>
            <family val="2"/>
          </rPr>
          <t>LOTE: 13</t>
        </r>
        <r>
          <rPr>
            <sz val="9"/>
            <color indexed="81"/>
            <rFont val="Tahoma"/>
            <family val="2"/>
          </rPr>
          <t xml:space="preserve">
Original:758
Testigo:709
Sobre plateado: 613
</t>
        </r>
      </text>
    </comment>
    <comment ref="R24" authorId="0" shapeId="0" xr:uid="{0A76DE72-4DCA-452F-9971-46BE7C423C28}">
      <text>
        <r>
          <rPr>
            <b/>
            <sz val="9"/>
            <color indexed="81"/>
            <rFont val="Tahoma"/>
            <family val="2"/>
          </rPr>
          <t xml:space="preserve">LOTE: 13
</t>
        </r>
        <r>
          <rPr>
            <sz val="9"/>
            <color indexed="81"/>
            <rFont val="Tahoma"/>
            <family val="2"/>
          </rPr>
          <t>Original:419,992
Testigo:396,171
Sobre plateado:427,774</t>
        </r>
      </text>
    </comment>
    <comment ref="C25" authorId="0" shapeId="0" xr:uid="{1D68D3B0-5E83-4393-B596-401C1952D716}">
      <text>
        <r>
          <rPr>
            <b/>
            <sz val="9"/>
            <color indexed="81"/>
            <rFont val="Tahoma"/>
            <family val="2"/>
          </rPr>
          <t xml:space="preserve">LOTE 14
FECHA DE ENVIO:
</t>
        </r>
        <r>
          <rPr>
            <sz val="9"/>
            <color indexed="81"/>
            <rFont val="Tahoma"/>
            <family val="2"/>
          </rPr>
          <t xml:space="preserve">Revision:17/04/2026
Remuestreo:N/a
Liberacion:11/05/2026
</t>
        </r>
      </text>
    </comment>
    <comment ref="J25" authorId="0" shapeId="0" xr:uid="{0448231B-A8AB-40E3-A3F5-4BFFA965D68D}">
      <text>
        <r>
          <rPr>
            <b/>
            <sz val="9"/>
            <color indexed="81"/>
            <rFont val="Tahoma"/>
            <family val="2"/>
          </rPr>
          <t xml:space="preserve">LOTE: 14
</t>
        </r>
        <r>
          <rPr>
            <sz val="9"/>
            <color indexed="81"/>
            <rFont val="Tahoma"/>
            <family val="2"/>
          </rPr>
          <t>Original:750
Testigo:783
Sobre plateado:736</t>
        </r>
      </text>
    </comment>
    <comment ref="R25" authorId="0" shapeId="0" xr:uid="{117A1347-629F-4B18-8775-C7A09F858668}">
      <text>
        <r>
          <rPr>
            <sz val="9"/>
            <color indexed="81"/>
            <rFont val="Tahoma"/>
            <family val="2"/>
          </rPr>
          <t xml:space="preserve">LOTE: 14
Original:421,172
Testigo:414,849
Sobre plateado:434,921
</t>
        </r>
      </text>
    </comment>
    <comment ref="C26" authorId="0" shapeId="0" xr:uid="{08757CA4-E09F-44F8-9B64-DF0491358751}">
      <text>
        <r>
          <rPr>
            <b/>
            <sz val="9"/>
            <color indexed="81"/>
            <rFont val="Tahoma"/>
            <family val="2"/>
          </rPr>
          <t xml:space="preserve">LOTE 15
FECHA DE ENVIO:
</t>
        </r>
        <r>
          <rPr>
            <sz val="9"/>
            <color indexed="81"/>
            <rFont val="Tahoma"/>
            <family val="2"/>
          </rPr>
          <t xml:space="preserve">Revision:17/04/2026
Remuestreo:N/a
Liberacion:11/05/2026
</t>
        </r>
      </text>
    </comment>
    <comment ref="J26" authorId="0" shapeId="0" xr:uid="{01E38AAF-FBE2-4A7E-907A-A96E0045FAE9}">
      <text>
        <r>
          <rPr>
            <b/>
            <sz val="9"/>
            <color indexed="81"/>
            <rFont val="Tahoma"/>
            <family val="2"/>
          </rPr>
          <t xml:space="preserve">LOTE: 15
</t>
        </r>
        <r>
          <rPr>
            <sz val="9"/>
            <color indexed="81"/>
            <rFont val="Tahoma"/>
            <family val="2"/>
          </rPr>
          <t>Original:690
Testigo:785
Sobre plateado:719</t>
        </r>
      </text>
    </comment>
    <comment ref="R26" authorId="0" shapeId="0" xr:uid="{8244B873-E84A-4CAE-9232-FFABA9592820}">
      <text>
        <r>
          <rPr>
            <b/>
            <sz val="9"/>
            <color indexed="81"/>
            <rFont val="Tahoma"/>
            <family val="2"/>
          </rPr>
          <t xml:space="preserve">LOTE: 15
</t>
        </r>
        <r>
          <rPr>
            <sz val="9"/>
            <color indexed="81"/>
            <rFont val="Tahoma"/>
            <family val="2"/>
          </rPr>
          <t xml:space="preserve">Original:411,608
Testigo:415,140
Sobre plateado:422,359
</t>
        </r>
      </text>
    </comment>
    <comment ref="C27" authorId="0" shapeId="0" xr:uid="{294DAFE8-6762-4D6E-A116-3E0F2702BC60}">
      <text>
        <r>
          <rPr>
            <b/>
            <sz val="9"/>
            <color indexed="81"/>
            <rFont val="Tahoma"/>
            <family val="2"/>
          </rPr>
          <t xml:space="preserve">LOTE 16
FECHA DE ENVIO:
</t>
        </r>
        <r>
          <rPr>
            <sz val="9"/>
            <color indexed="81"/>
            <rFont val="Tahoma"/>
            <family val="2"/>
          </rPr>
          <t xml:space="preserve">Revision:17/04/2026
Remuestreo:N/a
Liberacion:11/05/2026
</t>
        </r>
      </text>
    </comment>
    <comment ref="J27" authorId="0" shapeId="0" xr:uid="{F8CA240A-BCFB-4F57-AD52-0352349E7624}">
      <text>
        <r>
          <rPr>
            <b/>
            <sz val="9"/>
            <color indexed="81"/>
            <rFont val="Tahoma"/>
            <family val="2"/>
          </rPr>
          <t xml:space="preserve">LOTE: 16
</t>
        </r>
        <r>
          <rPr>
            <sz val="9"/>
            <color indexed="81"/>
            <rFont val="Tahoma"/>
            <family val="2"/>
          </rPr>
          <t xml:space="preserve">Original:708
Testigo:747
Sobre plateado:721
</t>
        </r>
      </text>
    </comment>
    <comment ref="R27" authorId="0" shapeId="0" xr:uid="{197A6147-E8B3-4F60-A3B5-4DA4D130F05F}">
      <text>
        <r>
          <rPr>
            <b/>
            <sz val="9"/>
            <color indexed="81"/>
            <rFont val="Tahoma"/>
            <family val="2"/>
          </rPr>
          <t xml:space="preserve">LOTE: 16
</t>
        </r>
        <r>
          <rPr>
            <sz val="9"/>
            <color indexed="81"/>
            <rFont val="Tahoma"/>
            <family val="2"/>
          </rPr>
          <t>Original:418,991
Testigo:413,014
Sobre plateado:448,625</t>
        </r>
      </text>
    </comment>
    <comment ref="C28" authorId="0" shapeId="0" xr:uid="{FF577432-C35C-4425-94C2-696562EAE74E}">
      <text>
        <r>
          <rPr>
            <b/>
            <sz val="9"/>
            <color indexed="81"/>
            <rFont val="Tahoma"/>
            <family val="2"/>
          </rPr>
          <t xml:space="preserve">LOTE 17
FECHA DE ENVIO:
</t>
        </r>
        <r>
          <rPr>
            <sz val="9"/>
            <color indexed="81"/>
            <rFont val="Tahoma"/>
            <family val="2"/>
          </rPr>
          <t xml:space="preserve">Revision:17/04/2026
Remuestreo:N/a
Liberacion:11/05/2026
</t>
        </r>
      </text>
    </comment>
    <comment ref="J28" authorId="0" shapeId="0" xr:uid="{CB3AE2FF-6173-4896-AA21-FCA34A37B312}">
      <text>
        <r>
          <rPr>
            <b/>
            <sz val="9"/>
            <color indexed="81"/>
            <rFont val="Tahoma"/>
            <family val="2"/>
          </rPr>
          <t xml:space="preserve">LOTE: 17
</t>
        </r>
        <r>
          <rPr>
            <sz val="9"/>
            <color indexed="81"/>
            <rFont val="Tahoma"/>
            <family val="2"/>
          </rPr>
          <t>Original:955
Testigo:786
Sobre plateado:982</t>
        </r>
      </text>
    </comment>
    <comment ref="R28" authorId="0" shapeId="0" xr:uid="{40A10E84-AB74-4218-955B-154180A29E2A}">
      <text>
        <r>
          <rPr>
            <b/>
            <sz val="9"/>
            <color indexed="81"/>
            <rFont val="Tahoma"/>
            <family val="2"/>
          </rPr>
          <t xml:space="preserve">LOTE: 17
</t>
        </r>
        <r>
          <rPr>
            <sz val="9"/>
            <color indexed="81"/>
            <rFont val="Tahoma"/>
            <family val="2"/>
          </rPr>
          <t xml:space="preserve">Original:507,106
Testigo:425,480
Sobre plateado:540,971
</t>
        </r>
      </text>
    </comment>
    <comment ref="C29" authorId="0" shapeId="0" xr:uid="{98348719-2B84-4396-A9A3-D49A07654426}">
      <text>
        <r>
          <rPr>
            <b/>
            <sz val="9"/>
            <color indexed="81"/>
            <rFont val="Tahoma"/>
            <family val="2"/>
          </rPr>
          <t xml:space="preserve">LOTE 18
FECHA DE ENVIO:
</t>
        </r>
        <r>
          <rPr>
            <sz val="9"/>
            <color indexed="81"/>
            <rFont val="Tahoma"/>
            <family val="2"/>
          </rPr>
          <t xml:space="preserve">Revision:17/04/2026
Remuestreo:N/a
Liberacion:11/05/2026
</t>
        </r>
      </text>
    </comment>
    <comment ref="J29" authorId="0" shapeId="0" xr:uid="{0AFB5683-8497-43CA-B74B-93C3FFFE0C28}">
      <text>
        <r>
          <rPr>
            <b/>
            <sz val="9"/>
            <color indexed="81"/>
            <rFont val="Tahoma"/>
            <family val="2"/>
          </rPr>
          <t xml:space="preserve">LOTE: 18
</t>
        </r>
        <r>
          <rPr>
            <sz val="9"/>
            <color indexed="81"/>
            <rFont val="Tahoma"/>
            <family val="2"/>
          </rPr>
          <t>Original:982
Testigo:718
Sobre plateado:969</t>
        </r>
      </text>
    </comment>
    <comment ref="R29" authorId="0" shapeId="0" xr:uid="{385FBCCB-7E5A-437D-9264-5DBA0252FBDD}">
      <text>
        <r>
          <rPr>
            <b/>
            <sz val="9"/>
            <color indexed="81"/>
            <rFont val="Tahoma"/>
            <family val="2"/>
          </rPr>
          <t xml:space="preserve">LOTE: 18
</t>
        </r>
        <r>
          <rPr>
            <sz val="9"/>
            <color indexed="81"/>
            <rFont val="Tahoma"/>
            <family val="2"/>
          </rPr>
          <t>Original:521,193
Testigo:425,736
Sobre plateado:556,079</t>
        </r>
      </text>
    </comment>
    <comment ref="C30" authorId="0" shapeId="0" xr:uid="{6505DC17-8BE3-41A4-BA26-2C065C9F212B}">
      <text>
        <r>
          <rPr>
            <b/>
            <sz val="9"/>
            <color indexed="81"/>
            <rFont val="Tahoma"/>
            <family val="2"/>
          </rPr>
          <t xml:space="preserve">LOTE 19
FECHA DE ENVIO:
</t>
        </r>
        <r>
          <rPr>
            <sz val="9"/>
            <color indexed="81"/>
            <rFont val="Tahoma"/>
            <family val="2"/>
          </rPr>
          <t xml:space="preserve">Revision:17/04/2026
Remuestreo:N/a
Liberacion:11/05/2026
</t>
        </r>
      </text>
    </comment>
    <comment ref="J30" authorId="0" shapeId="0" xr:uid="{8A4BA4F1-F2E1-4B1C-8664-4AA32DB15C8F}">
      <text>
        <r>
          <rPr>
            <b/>
            <sz val="9"/>
            <color indexed="81"/>
            <rFont val="Tahoma"/>
            <family val="2"/>
          </rPr>
          <t xml:space="preserve">LOTE: 19
</t>
        </r>
        <r>
          <rPr>
            <sz val="9"/>
            <color indexed="81"/>
            <rFont val="Tahoma"/>
            <family val="2"/>
          </rPr>
          <t xml:space="preserve">Original:728
Testigo:976
Sobre plateado:758
</t>
        </r>
      </text>
    </comment>
    <comment ref="R30" authorId="0" shapeId="0" xr:uid="{CFCAE591-236E-488C-9B16-5FBF3403EE10}">
      <text>
        <r>
          <rPr>
            <b/>
            <sz val="9"/>
            <color indexed="81"/>
            <rFont val="Tahoma"/>
            <family val="2"/>
          </rPr>
          <t xml:space="preserve">LOTE: 19
</t>
        </r>
        <r>
          <rPr>
            <sz val="9"/>
            <color indexed="81"/>
            <rFont val="Tahoma"/>
            <family val="2"/>
          </rPr>
          <t xml:space="preserve">Original: 422,710
Testigo: 520,127
Sobre plateado: 445,430
</t>
        </r>
      </text>
    </comment>
    <comment ref="C31" authorId="0" shapeId="0" xr:uid="{8BACAD59-154C-4D01-B89C-DCEA4596775D}">
      <text>
        <r>
          <rPr>
            <b/>
            <sz val="9"/>
            <color indexed="81"/>
            <rFont val="Tahoma"/>
            <family val="2"/>
          </rPr>
          <t xml:space="preserve">LOTE 20
FECHA DE ENVIO:
</t>
        </r>
        <r>
          <rPr>
            <sz val="9"/>
            <color indexed="81"/>
            <rFont val="Tahoma"/>
            <family val="2"/>
          </rPr>
          <t xml:space="preserve">Revision:17/04/2026
Remuestreo: n/a
Liberacion:11/05/2026
</t>
        </r>
      </text>
    </comment>
    <comment ref="J31" authorId="0" shapeId="0" xr:uid="{86CDCCF4-0E6F-4D27-8B0B-0DAF01E4299F}">
      <text>
        <r>
          <rPr>
            <b/>
            <sz val="9"/>
            <color indexed="81"/>
            <rFont val="Tahoma"/>
            <family val="2"/>
          </rPr>
          <t xml:space="preserve">LOTE: 20
</t>
        </r>
        <r>
          <rPr>
            <sz val="9"/>
            <color indexed="81"/>
            <rFont val="Tahoma"/>
            <family val="2"/>
          </rPr>
          <t xml:space="preserve">Original:825
Testigo: 945
Sobre plateado:797
</t>
        </r>
      </text>
    </comment>
    <comment ref="R31" authorId="0" shapeId="0" xr:uid="{09068EAC-A2D9-47AF-987D-FAEB15D550AB}">
      <text>
        <r>
          <rPr>
            <b/>
            <sz val="9"/>
            <color indexed="81"/>
            <rFont val="Tahoma"/>
            <family val="2"/>
          </rPr>
          <t xml:space="preserve">LOTE: 20
</t>
        </r>
        <r>
          <rPr>
            <sz val="9"/>
            <color indexed="81"/>
            <rFont val="Tahoma"/>
            <family val="2"/>
          </rPr>
          <t xml:space="preserve">Original: 425,025
Testigo:503,697
Sobre plateado: 428,663
</t>
        </r>
      </text>
    </comment>
    <comment ref="C32" authorId="0" shapeId="0" xr:uid="{AF2720AB-FAA7-47A8-9F16-0F9072896C77}">
      <text>
        <r>
          <rPr>
            <b/>
            <sz val="9"/>
            <color indexed="81"/>
            <rFont val="Tahoma"/>
            <family val="2"/>
          </rPr>
          <t xml:space="preserve">LOTE 21
FECHA DE ENVIO:
</t>
        </r>
        <r>
          <rPr>
            <sz val="9"/>
            <color indexed="81"/>
            <rFont val="Tahoma"/>
            <family val="2"/>
          </rPr>
          <t>Revision: n/a
Remuestreo: n/a
Liberacion:11/05/2026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3" authorId="0" shapeId="0" xr:uid="{AED631D8-5D65-40E7-B974-06575A9FEE6F}">
      <text>
        <r>
          <rPr>
            <b/>
            <sz val="9"/>
            <color indexed="81"/>
            <rFont val="Tahoma"/>
            <family val="2"/>
          </rPr>
          <t xml:space="preserve">LOTE 22
FECHA DE ENVIO:
</t>
        </r>
        <r>
          <rPr>
            <sz val="9"/>
            <color indexed="81"/>
            <rFont val="Tahoma"/>
            <family val="2"/>
          </rPr>
          <t xml:space="preserve">Revision: n/a
Remuestreo: n/a
Liberacion:11/05/2026
</t>
        </r>
      </text>
    </comment>
    <comment ref="C34" authorId="0" shapeId="0" xr:uid="{F8BC2E4D-9557-46EC-BB0D-3BC565F51CB7}">
      <text>
        <r>
          <rPr>
            <b/>
            <sz val="9"/>
            <color indexed="81"/>
            <rFont val="Tahoma"/>
            <family val="2"/>
          </rPr>
          <t xml:space="preserve">LOTE 23
FECHA DE ENVIO:
</t>
        </r>
        <r>
          <rPr>
            <sz val="9"/>
            <color indexed="81"/>
            <rFont val="Tahoma"/>
            <family val="2"/>
          </rPr>
          <t>Revision: n/a
Remuestreo: n/a
Liberacion:15/05/2026</t>
        </r>
      </text>
    </comment>
    <comment ref="C35" authorId="0" shapeId="0" xr:uid="{6E6BD222-685E-4E9E-9245-C4422DEA4313}">
      <text>
        <r>
          <rPr>
            <b/>
            <sz val="9"/>
            <color indexed="81"/>
            <rFont val="Tahoma"/>
            <family val="2"/>
          </rPr>
          <t xml:space="preserve">LOTE 24
FECHA DE ENVIO:
</t>
        </r>
        <r>
          <rPr>
            <sz val="9"/>
            <color indexed="81"/>
            <rFont val="Tahoma"/>
            <family val="2"/>
          </rPr>
          <t xml:space="preserve">Revision: n/a
Remuestreo: n/a
Liberacion:11/05/2026
</t>
        </r>
      </text>
    </comment>
    <comment ref="C36" authorId="0" shapeId="0" xr:uid="{BBA87474-D48E-4894-B569-A5F6012EE109}">
      <text>
        <r>
          <rPr>
            <b/>
            <sz val="9"/>
            <color indexed="81"/>
            <rFont val="Tahoma"/>
            <family val="2"/>
          </rPr>
          <t xml:space="preserve">LOTE 25
FECHA DE ENVIO:
</t>
        </r>
        <r>
          <rPr>
            <sz val="9"/>
            <color indexed="81"/>
            <rFont val="Tahoma"/>
            <family val="2"/>
          </rPr>
          <t xml:space="preserve">Revision: n/a
Remuestreo: n/a
Liberacion:15/05/2026
</t>
        </r>
      </text>
    </comment>
    <comment ref="C37" authorId="0" shapeId="0" xr:uid="{764AD69E-A0F6-4D10-AEF4-924146F489E1}">
      <text>
        <r>
          <rPr>
            <b/>
            <sz val="9"/>
            <color indexed="81"/>
            <rFont val="Tahoma"/>
            <family val="2"/>
          </rPr>
          <t xml:space="preserve">LOTE 26
FECHA DE ENVIO:
</t>
        </r>
        <r>
          <rPr>
            <sz val="9"/>
            <color indexed="81"/>
            <rFont val="Tahoma"/>
            <family val="2"/>
          </rPr>
          <t>Revision: n/a
Remuestreo: n/a
Liberacion:26/05/2026</t>
        </r>
      </text>
    </comment>
    <comment ref="C38" authorId="0" shapeId="0" xr:uid="{1A165AB0-E9E0-45E5-B63C-724523B1E9C7}">
      <text>
        <r>
          <rPr>
            <b/>
            <sz val="9"/>
            <color indexed="81"/>
            <rFont val="Tahoma"/>
            <family val="2"/>
          </rPr>
          <t xml:space="preserve">LOTE 27
FECHA DE ENVIO:
</t>
        </r>
        <r>
          <rPr>
            <sz val="9"/>
            <color indexed="81"/>
            <rFont val="Tahoma"/>
            <family val="2"/>
          </rPr>
          <t xml:space="preserve">Revision: n/a
Remuestreo: n/a
Liberacion:26/05/2026
</t>
        </r>
      </text>
    </comment>
    <comment ref="C39" authorId="0" shapeId="0" xr:uid="{FA941E30-E8CE-40E3-8AE1-727056AD026A}">
      <text>
        <r>
          <rPr>
            <b/>
            <sz val="9"/>
            <color indexed="81"/>
            <rFont val="Tahoma"/>
            <family val="2"/>
          </rPr>
          <t xml:space="preserve">LOTE 29
FECHA DE ENVIO:
</t>
        </r>
        <r>
          <rPr>
            <sz val="9"/>
            <color indexed="81"/>
            <rFont val="Tahoma"/>
            <family val="2"/>
          </rPr>
          <t xml:space="preserve">Revision: N/a
Remuestreo: N/a
Liberacion:30/05/2026
</t>
        </r>
      </text>
    </comment>
    <comment ref="C40" authorId="0" shapeId="0" xr:uid="{7EDA74E7-C8B0-4DB9-84BC-4E92F3EC02E3}">
      <text>
        <r>
          <rPr>
            <b/>
            <sz val="9"/>
            <color indexed="81"/>
            <rFont val="Tahoma"/>
            <family val="2"/>
          </rPr>
          <t xml:space="preserve">LOTE 30
FECHA DE ENVIO:
</t>
        </r>
        <r>
          <rPr>
            <sz val="9"/>
            <color indexed="81"/>
            <rFont val="Tahoma"/>
            <family val="2"/>
          </rPr>
          <t xml:space="preserve">Revision: N/a
Remuestreo: N/a
Liberacion:30/05/2026
</t>
        </r>
      </text>
    </comment>
    <comment ref="C41" authorId="0" shapeId="0" xr:uid="{1328A3CB-A0E2-4BD8-8EE4-580A0E3D4455}">
      <text>
        <r>
          <rPr>
            <b/>
            <sz val="9"/>
            <color indexed="81"/>
            <rFont val="Tahoma"/>
            <family val="2"/>
          </rPr>
          <t xml:space="preserve">LOTE 28
FECHA DE ENVIO:
</t>
        </r>
        <r>
          <rPr>
            <sz val="9"/>
            <color indexed="81"/>
            <rFont val="Tahoma"/>
            <family val="2"/>
          </rPr>
          <t xml:space="preserve">Revision: N/a
Remuestreo: N/a
Liberacion:30/05/2026
</t>
        </r>
      </text>
    </comment>
    <comment ref="C42" authorId="0" shapeId="0" xr:uid="{134087F6-FD15-41FC-B33F-6FAA84A2FC1B}">
      <text>
        <r>
          <rPr>
            <b/>
            <sz val="9"/>
            <color indexed="81"/>
            <rFont val="Tahoma"/>
            <family val="2"/>
          </rPr>
          <t xml:space="preserve">LOTE 31
FECHA DE ENVIO:
</t>
        </r>
        <r>
          <rPr>
            <sz val="9"/>
            <color indexed="81"/>
            <rFont val="Tahoma"/>
            <family val="2"/>
          </rPr>
          <t xml:space="preserve">Revision: N/a
Remuestreo: N/a
Liberacion:30/05/2026
</t>
        </r>
      </text>
    </comment>
    <comment ref="C43" authorId="0" shapeId="0" xr:uid="{9BEB0CB7-08A0-49EB-BBED-48454F7195D8}">
      <text>
        <r>
          <rPr>
            <b/>
            <sz val="9"/>
            <color indexed="81"/>
            <rFont val="Tahoma"/>
            <family val="2"/>
          </rPr>
          <t xml:space="preserve">LOTE 32
FECHA DE ENVIO:
</t>
        </r>
        <r>
          <rPr>
            <sz val="9"/>
            <color indexed="81"/>
            <rFont val="Tahoma"/>
            <family val="2"/>
          </rPr>
          <t xml:space="preserve">Revision: N/a
Remuestreo: N/a
Liberacion:12/06/2026
</t>
        </r>
      </text>
    </comment>
    <comment ref="C44" authorId="0" shapeId="0" xr:uid="{A4391370-7EB6-4CD7-8592-DC1C5338E46A}">
      <text>
        <r>
          <rPr>
            <b/>
            <sz val="9"/>
            <color indexed="81"/>
            <rFont val="Tahoma"/>
            <family val="2"/>
          </rPr>
          <t xml:space="preserve">LOTE 33
FECHA DE ENVIO:
</t>
        </r>
        <r>
          <rPr>
            <sz val="9"/>
            <color indexed="81"/>
            <rFont val="Tahoma"/>
            <family val="2"/>
          </rPr>
          <t>Revision: N/a
Remuestreo: N/a
Liberacion:24/06/2026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5" authorId="0" shapeId="0" xr:uid="{1E42388B-B294-4B55-B579-203E48295A3E}">
      <text>
        <r>
          <rPr>
            <b/>
            <sz val="9"/>
            <color indexed="81"/>
            <rFont val="Tahoma"/>
            <family val="2"/>
          </rPr>
          <t xml:space="preserve">LOTE 34
FECHA DE ENVIO:
</t>
        </r>
        <r>
          <rPr>
            <sz val="9"/>
            <color indexed="81"/>
            <rFont val="Tahoma"/>
            <family val="2"/>
          </rPr>
          <t xml:space="preserve">Revision: N/a
Remuestreo: N/a
Liberacion:24/06/2026
</t>
        </r>
      </text>
    </comment>
    <comment ref="C46" authorId="0" shapeId="0" xr:uid="{32676AAA-E4AB-4A31-959A-0CD68EDE9563}">
      <text>
        <r>
          <rPr>
            <b/>
            <sz val="9"/>
            <color indexed="81"/>
            <rFont val="Tahoma"/>
            <family val="2"/>
          </rPr>
          <t xml:space="preserve">LOTE 35
FECHA DE ENVIO:
</t>
        </r>
        <r>
          <rPr>
            <sz val="9"/>
            <color indexed="81"/>
            <rFont val="Tahoma"/>
            <family val="2"/>
          </rPr>
          <t xml:space="preserve">Revision: N/a
Remuestreo: N/a
Liberacion:24/06/2026
</t>
        </r>
      </text>
    </comment>
    <comment ref="C47" authorId="0" shapeId="0" xr:uid="{58D1CB05-EE9A-4A1B-9E55-1F3A6EF19B67}">
      <text>
        <r>
          <rPr>
            <b/>
            <sz val="9"/>
            <color indexed="81"/>
            <rFont val="Tahoma"/>
            <family val="2"/>
          </rPr>
          <t xml:space="preserve">LOTE 36
FECHA DE ENVIO:
</t>
        </r>
        <r>
          <rPr>
            <sz val="9"/>
            <color indexed="81"/>
            <rFont val="Tahoma"/>
            <family val="2"/>
          </rPr>
          <t>Revision: N/a
Remuestreo: N/a
Liberacion:09/07/2026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8" authorId="0" shapeId="0" xr:uid="{E5E6F018-5F02-4F45-96CA-97F2F93068A1}">
      <text>
        <r>
          <rPr>
            <b/>
            <sz val="9"/>
            <color indexed="81"/>
            <rFont val="Tahoma"/>
            <family val="2"/>
          </rPr>
          <t xml:space="preserve">LOTE 37
FECHA DE ENVIO:
</t>
        </r>
        <r>
          <rPr>
            <sz val="9"/>
            <color indexed="81"/>
            <rFont val="Tahoma"/>
            <family val="2"/>
          </rPr>
          <t>Revision: N/a
Remuestreo: N/a
Liberacion:09/07/2026</t>
        </r>
      </text>
    </comment>
    <comment ref="C49" authorId="0" shapeId="0" xr:uid="{AC8CD594-D0F5-4ACF-8F37-EC6891796764}">
      <text>
        <r>
          <rPr>
            <b/>
            <sz val="9"/>
            <color indexed="81"/>
            <rFont val="Tahoma"/>
            <family val="2"/>
          </rPr>
          <t xml:space="preserve">Error en peso del tambo #2, se capturo mal desde mina embarques 
</t>
        </r>
        <r>
          <rPr>
            <sz val="9"/>
            <color indexed="81"/>
            <rFont val="Tahoma"/>
            <family val="2"/>
          </rPr>
          <t>LOTE 38
FECHA DE ENVIO:
Revision: N/a
Remuestreo: N/a
Liberacion:09/07/2026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50" authorId="0" shapeId="0" xr:uid="{2559497C-060E-48D9-9227-A1C9BEE2C9BE}">
      <text>
        <r>
          <rPr>
            <b/>
            <sz val="9"/>
            <color indexed="81"/>
            <rFont val="Tahoma"/>
            <family val="2"/>
          </rPr>
          <t>LOTE 39
FECHA DE ENVIO</t>
        </r>
        <r>
          <rPr>
            <sz val="9"/>
            <color indexed="81"/>
            <rFont val="Tahoma"/>
            <family val="2"/>
          </rPr>
          <t xml:space="preserve">
Revision: N/A
Remuestreo:N/A 
Liberacion:29/07/2026
</t>
        </r>
      </text>
    </comment>
    <comment ref="C51" authorId="0" shapeId="0" xr:uid="{595D28C5-CB23-4DD4-9020-2E0195970A2F}">
      <text>
        <r>
          <rPr>
            <b/>
            <sz val="9"/>
            <color indexed="81"/>
            <rFont val="Tahoma"/>
            <family val="2"/>
          </rPr>
          <t xml:space="preserve">LOTE 40
FECHA DE ENVIO
</t>
        </r>
        <r>
          <rPr>
            <sz val="9"/>
            <color indexed="81"/>
            <rFont val="Tahoma"/>
            <family val="2"/>
          </rPr>
          <t>Revision: N/A
Remuestreo:N/A 
Liberacion:04/08/2026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2" authorId="0" shapeId="0" xr:uid="{8A2C9060-D5E1-4E34-A40A-46E5E3142C27}">
      <text>
        <r>
          <rPr>
            <b/>
            <sz val="9"/>
            <color indexed="81"/>
            <rFont val="Tahoma"/>
            <family val="2"/>
          </rPr>
          <t xml:space="preserve">LOTE 41
FECHA DE ENVIO
</t>
        </r>
        <r>
          <rPr>
            <sz val="9"/>
            <color indexed="81"/>
            <rFont val="Tahoma"/>
            <family val="2"/>
          </rPr>
          <t xml:space="preserve">Revision: N/A
Remuestreo:N/A 
Liberacion:04/08/2026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" authorId="0" shapeId="0" xr:uid="{9F64E142-5463-445D-8FBD-1D415E7C0FEE}">
      <text>
        <r>
          <rPr>
            <b/>
            <sz val="9"/>
            <color indexed="81"/>
            <rFont val="Tahoma"/>
            <family val="2"/>
          </rPr>
          <t>LOTE 42
FECHA DE ENVIO</t>
        </r>
        <r>
          <rPr>
            <sz val="9"/>
            <color indexed="81"/>
            <rFont val="Tahoma"/>
            <family val="2"/>
          </rPr>
          <t xml:space="preserve">
Revision: N/A
Remuestreo:N/A 
Liberacion:19/08/2026
</t>
        </r>
      </text>
    </comment>
    <comment ref="C54" authorId="0" shapeId="0" xr:uid="{2FCB372E-6DD0-41C7-9217-9255DD71D4E3}">
      <text>
        <r>
          <rPr>
            <b/>
            <sz val="9"/>
            <color indexed="81"/>
            <rFont val="Tahoma"/>
            <family val="2"/>
          </rPr>
          <t xml:space="preserve">LOTE 43
FECHA DE ENVIO
</t>
        </r>
        <r>
          <rPr>
            <sz val="9"/>
            <color indexed="81"/>
            <rFont val="Tahoma"/>
            <family val="2"/>
          </rPr>
          <t>Revisión: N/A
1-Remuestreo:N/A
Liberación:14/08/2026</t>
        </r>
      </text>
    </comment>
    <comment ref="C55" authorId="0" shapeId="0" xr:uid="{E2DA113B-B3F1-4306-94BD-13A4D6419DCA}">
      <text>
        <r>
          <rPr>
            <b/>
            <sz val="9"/>
            <color indexed="81"/>
            <rFont val="Tahoma"/>
            <family val="2"/>
          </rPr>
          <t>LOTE 44
FECHA DE ENVIO</t>
        </r>
        <r>
          <rPr>
            <sz val="9"/>
            <color indexed="81"/>
            <rFont val="Tahoma"/>
            <family val="2"/>
          </rPr>
          <t xml:space="preserve">
Revisión: N/A
1-Remuestreo:N/A
Liberación:14/08/2026
</t>
        </r>
      </text>
    </comment>
    <comment ref="C56" authorId="0" shapeId="0" xr:uid="{6371DFBA-BF69-4EF2-90AF-9F81386EF523}">
      <text>
        <r>
          <rPr>
            <b/>
            <sz val="9"/>
            <color indexed="81"/>
            <rFont val="Tahoma"/>
            <family val="2"/>
          </rPr>
          <t>LOTE 45
FECHA DE ENVIO</t>
        </r>
        <r>
          <rPr>
            <sz val="9"/>
            <color indexed="81"/>
            <rFont val="Tahoma"/>
            <family val="2"/>
          </rPr>
          <t xml:space="preserve">
Revisión: N/A
1-Remuestreo:N/A
Liberación:14/08/2026
</t>
        </r>
      </text>
    </comment>
    <comment ref="C57" authorId="0" shapeId="0" xr:uid="{A358E2A8-8F81-4E51-9AC3-0BA675FEC690}">
      <text>
        <r>
          <rPr>
            <b/>
            <sz val="9"/>
            <color indexed="81"/>
            <rFont val="Tahoma"/>
            <family val="2"/>
          </rPr>
          <t xml:space="preserve">LOTE 46
FECHA DE ENVIO
</t>
        </r>
        <r>
          <rPr>
            <sz val="9"/>
            <color indexed="81"/>
            <rFont val="Tahoma"/>
            <family val="2"/>
          </rPr>
          <t>Revision: N/A
Remuestreo:N/A 
Liberacion:19/08/2026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8" authorId="0" shapeId="0" xr:uid="{CD6296E8-0DBB-41B6-99A7-4097A7524DF3}">
      <text>
        <r>
          <rPr>
            <b/>
            <sz val="9"/>
            <color indexed="81"/>
            <rFont val="Tahoma"/>
            <family val="2"/>
          </rPr>
          <t xml:space="preserve">LOTE 47
FECHA DE ENVIO
</t>
        </r>
        <r>
          <rPr>
            <sz val="9"/>
            <color indexed="81"/>
            <rFont val="Tahoma"/>
            <family val="2"/>
          </rPr>
          <t>Revision: N/A
Remuestreo:N/A 
Liberacion:19/08/2026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0" shapeId="0" xr:uid="{9A6764D5-6356-4E9E-B3EB-8EB7B234911A}">
      <text>
        <r>
          <rPr>
            <b/>
            <sz val="9"/>
            <color indexed="81"/>
            <rFont val="Tahoma"/>
            <family val="2"/>
          </rPr>
          <t xml:space="preserve">LOTE 49
FECHA DE ENVIO
</t>
        </r>
        <r>
          <rPr>
            <sz val="9"/>
            <color indexed="81"/>
            <rFont val="Tahoma"/>
            <family val="2"/>
          </rPr>
          <t>Revision: 01/09/2026
Remuestreo: 
Liberacion: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0" authorId="0" shapeId="0" xr:uid="{9493A66C-3F52-4187-AACD-FB0F179C168C}">
      <text>
        <r>
          <rPr>
            <b/>
            <sz val="9"/>
            <color indexed="81"/>
            <rFont val="Tahoma"/>
            <family val="2"/>
          </rPr>
          <t xml:space="preserve">LOTE: 49
</t>
        </r>
        <r>
          <rPr>
            <sz val="9"/>
            <color indexed="81"/>
            <rFont val="Tahoma"/>
            <family val="2"/>
          </rPr>
          <t xml:space="preserve">Original: 730
Testigo: 737
Sobre plateado:
</t>
        </r>
      </text>
    </comment>
    <comment ref="R60" authorId="0" shapeId="0" xr:uid="{D72A6AEF-A018-4AF1-AF3C-EB5F7C68C178}">
      <text>
        <r>
          <rPr>
            <b/>
            <sz val="9"/>
            <color indexed="81"/>
            <rFont val="Tahoma"/>
            <family val="2"/>
          </rPr>
          <t xml:space="preserve">LOTE: 49
</t>
        </r>
        <r>
          <rPr>
            <sz val="9"/>
            <color indexed="81"/>
            <rFont val="Tahoma"/>
            <family val="2"/>
          </rPr>
          <t xml:space="preserve">Original: 443,886
Testigo: 443,201
Sobre plateado:
</t>
        </r>
      </text>
    </comment>
    <comment ref="C61" authorId="0" shapeId="0" xr:uid="{D548636E-51C8-434B-B40D-A712A4DF8E07}">
      <text>
        <r>
          <rPr>
            <b/>
            <sz val="9"/>
            <color indexed="81"/>
            <rFont val="Tahoma"/>
            <family val="2"/>
          </rPr>
          <t xml:space="preserve">LOTE 50
FECHA DE ENVIO
</t>
        </r>
        <r>
          <rPr>
            <sz val="9"/>
            <color indexed="81"/>
            <rFont val="Tahoma"/>
            <family val="2"/>
          </rPr>
          <t>Revision: 01/09/2026
Remuestreo: 
Liberacion:</t>
        </r>
      </text>
    </comment>
    <comment ref="J61" authorId="0" shapeId="0" xr:uid="{EFFD060A-105F-4EDB-8BA6-0B369150F5D4}">
      <text>
        <r>
          <rPr>
            <b/>
            <sz val="9"/>
            <color indexed="81"/>
            <rFont val="Tahoma"/>
            <family val="2"/>
          </rPr>
          <t xml:space="preserve">LOTE: 50
</t>
        </r>
        <r>
          <rPr>
            <sz val="9"/>
            <color indexed="81"/>
            <rFont val="Tahoma"/>
            <family val="2"/>
          </rPr>
          <t>Original: 781
Testigo: 779
Sobre plateado:</t>
        </r>
      </text>
    </comment>
    <comment ref="R61" authorId="0" shapeId="0" xr:uid="{21EFBCA5-4042-4734-BFB4-283B2B28E991}">
      <text>
        <r>
          <rPr>
            <b/>
            <sz val="9"/>
            <color indexed="81"/>
            <rFont val="Tahoma"/>
            <family val="2"/>
          </rPr>
          <t xml:space="preserve">LOTE: 50
</t>
        </r>
        <r>
          <rPr>
            <sz val="9"/>
            <color indexed="81"/>
            <rFont val="Tahoma"/>
            <family val="2"/>
          </rPr>
          <t xml:space="preserve">Original: 480,888
Testigo: 481,952 
Sobre plateado:
</t>
        </r>
      </text>
    </comment>
    <comment ref="C63" authorId="1" shapeId="0" xr:uid="{9789B3BE-3D56-4A3F-A550-F5E3BFDC8F84}">
      <text>
        <r>
          <rPr>
            <sz val="9"/>
            <color indexed="81"/>
            <rFont val="Tahoma"/>
            <family val="2"/>
          </rPr>
          <t xml:space="preserve">FECHA DE ENVIO: 
Revisión; 17-09-26 
</t>
        </r>
      </text>
    </comment>
    <comment ref="C65" authorId="1" shapeId="0" xr:uid="{CAABCAAC-004C-4F4B-BDF8-FF8A2A414552}">
      <text>
        <r>
          <rPr>
            <sz val="9"/>
            <color indexed="81"/>
            <rFont val="Tahoma"/>
            <family val="2"/>
          </rPr>
          <t xml:space="preserve">FECHA DE ENVIO: 
REVISIÓN: 17-09-26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MIGUEL ZUÑIGA GARCIA</author>
    <author>CHRISTIAN EMMANUEL LUNA HERNANDEZ</author>
  </authors>
  <commentList>
    <comment ref="C13" authorId="0" shapeId="0" xr:uid="{D594CC0E-6AE9-42B2-91A4-4259406B5615}">
      <text>
        <r>
          <rPr>
            <b/>
            <sz val="9"/>
            <color indexed="81"/>
            <rFont val="Tahoma"/>
            <family val="2"/>
          </rPr>
          <t xml:space="preserve">LOTE 01
FECHA DE ENVIO:
</t>
        </r>
        <r>
          <rPr>
            <sz val="9"/>
            <color indexed="81"/>
            <rFont val="Tahoma"/>
            <family val="2"/>
          </rPr>
          <t xml:space="preserve">Revisión:N/A
Remuestreo:N/A
Liberación:06/02/2026
</t>
        </r>
      </text>
    </comment>
    <comment ref="C14" authorId="0" shapeId="0" xr:uid="{4749102F-52B6-4C62-83DE-F3A47825B0B5}">
      <text>
        <r>
          <rPr>
            <b/>
            <sz val="9"/>
            <color indexed="81"/>
            <rFont val="Tahoma"/>
            <family val="2"/>
          </rPr>
          <t xml:space="preserve">LOTE 02
FECHA DE ENVIO:
</t>
        </r>
        <r>
          <rPr>
            <sz val="9"/>
            <color indexed="81"/>
            <rFont val="Tahoma"/>
            <family val="2"/>
          </rPr>
          <t xml:space="preserve">Revisión:N/A
Remuestreo:N/A
Liberación:06/02/2026
</t>
        </r>
      </text>
    </comment>
    <comment ref="C15" authorId="0" shapeId="0" xr:uid="{660C99E3-78D5-4161-8A69-81A5650C655C}">
      <text>
        <r>
          <rPr>
            <b/>
            <sz val="9"/>
            <color indexed="81"/>
            <rFont val="Tahoma"/>
            <family val="2"/>
          </rPr>
          <t>LOTE 03
FECHA DE ENVIO:</t>
        </r>
        <r>
          <rPr>
            <sz val="9"/>
            <color indexed="81"/>
            <rFont val="Tahoma"/>
            <family val="2"/>
          </rPr>
          <t xml:space="preserve">
Revisión:N/A
Remuestreo:N/A
Liberación:07/02/2026
</t>
        </r>
      </text>
    </comment>
    <comment ref="C16" authorId="0" shapeId="0" xr:uid="{BD864673-40CE-44BD-8FD6-195F06ECA4B8}">
      <text>
        <r>
          <rPr>
            <b/>
            <sz val="9"/>
            <color indexed="81"/>
            <rFont val="Tahoma"/>
            <family val="2"/>
          </rPr>
          <t xml:space="preserve">LOTE 04
FECHA DE ENVIO:
</t>
        </r>
        <r>
          <rPr>
            <sz val="9"/>
            <color indexed="81"/>
            <rFont val="Tahoma"/>
            <family val="2"/>
          </rPr>
          <t>Revisión:N/A
Remuestreo:N/A
Liberación:21/02/2026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" authorId="0" shapeId="0" xr:uid="{8104B02B-AEB5-47E3-A159-474E0EDEF2D3}">
      <text>
        <r>
          <rPr>
            <b/>
            <sz val="9"/>
            <color indexed="81"/>
            <rFont val="Tahoma"/>
            <family val="2"/>
          </rPr>
          <t xml:space="preserve">LOTE 05
FECHA DE ENVIO:
</t>
        </r>
        <r>
          <rPr>
            <sz val="9"/>
            <color indexed="81"/>
            <rFont val="Tahoma"/>
            <family val="2"/>
          </rPr>
          <t xml:space="preserve">Revisión:N/A
Remuestreo:N/A
Liberación:21/02/2026
</t>
        </r>
      </text>
    </comment>
    <comment ref="C18" authorId="0" shapeId="0" xr:uid="{3C628C8D-7ED8-45E5-9505-6F693A159CB4}">
      <text>
        <r>
          <rPr>
            <b/>
            <sz val="9"/>
            <color indexed="81"/>
            <rFont val="Tahoma"/>
            <family val="2"/>
          </rPr>
          <t>LOTE 06
FECHA DE ENVIO:</t>
        </r>
        <r>
          <rPr>
            <sz val="9"/>
            <color indexed="81"/>
            <rFont val="Tahoma"/>
            <family val="2"/>
          </rPr>
          <t xml:space="preserve">
Revisión:26/02/2026
Remuestreo:20/03/2026
Liberacion:23/07/2026
</t>
        </r>
      </text>
    </comment>
    <comment ref="I18" authorId="0" shapeId="0" xr:uid="{BB2E3F2A-4E21-48CA-BB41-E28C023152D0}">
      <text>
        <r>
          <rPr>
            <b/>
            <sz val="9"/>
            <color indexed="81"/>
            <rFont val="Tahoma"/>
            <family val="2"/>
          </rPr>
          <t>LOTE 06</t>
        </r>
        <r>
          <rPr>
            <sz val="9"/>
            <color indexed="81"/>
            <rFont val="Tahoma"/>
            <family val="2"/>
          </rPr>
          <t xml:space="preserve">
Original: 5,512
Testigo: 5,497
Sobre plateado:5,310
</t>
        </r>
      </text>
    </comment>
    <comment ref="J18" authorId="0" shapeId="0" xr:uid="{9F61048A-4F46-434B-8350-2E12CB6E12FA}">
      <text>
        <r>
          <rPr>
            <b/>
            <sz val="9"/>
            <color indexed="81"/>
            <rFont val="Tahoma"/>
            <family val="2"/>
          </rPr>
          <t>LOTE 06</t>
        </r>
        <r>
          <rPr>
            <sz val="9"/>
            <color indexed="81"/>
            <rFont val="Tahoma"/>
            <family val="2"/>
          </rPr>
          <t xml:space="preserve">
Original: 5,304
1-Rem: 5,552
</t>
        </r>
      </text>
    </comment>
    <comment ref="Q18" authorId="0" shapeId="0" xr:uid="{4FE5D472-C754-4191-BF80-CB18D484DEB7}">
      <text>
        <r>
          <rPr>
            <b/>
            <sz val="9"/>
            <color indexed="81"/>
            <rFont val="Tahoma"/>
            <family val="2"/>
          </rPr>
          <t xml:space="preserve">LOTE 06
</t>
        </r>
        <r>
          <rPr>
            <sz val="9"/>
            <color indexed="81"/>
            <rFont val="Tahoma"/>
            <family val="2"/>
          </rPr>
          <t xml:space="preserve">Original: 834,288
Testigo:830,470
Sobre plateado: 804,117
</t>
        </r>
      </text>
    </comment>
    <comment ref="R18" authorId="0" shapeId="0" xr:uid="{B0B90734-F9B4-45F8-8F18-4781781CA38D}">
      <text>
        <r>
          <rPr>
            <b/>
            <sz val="9"/>
            <color indexed="81"/>
            <rFont val="Tahoma"/>
            <family val="2"/>
          </rPr>
          <t xml:space="preserve">LOTE 06
</t>
        </r>
        <r>
          <rPr>
            <sz val="9"/>
            <color indexed="81"/>
            <rFont val="Tahoma"/>
            <family val="2"/>
          </rPr>
          <t>Original: 806,646
1-Rem: 832,713</t>
        </r>
      </text>
    </comment>
    <comment ref="C19" authorId="0" shapeId="0" xr:uid="{771922B7-0D89-4F4F-9EFB-4557529A7E5F}">
      <text>
        <r>
          <rPr>
            <b/>
            <sz val="9"/>
            <color indexed="81"/>
            <rFont val="Tahoma"/>
            <family val="2"/>
          </rPr>
          <t>LOTE 07
FECHA DE ENVIO:</t>
        </r>
        <r>
          <rPr>
            <sz val="9"/>
            <color indexed="81"/>
            <rFont val="Tahoma"/>
            <family val="2"/>
          </rPr>
          <t xml:space="preserve">
Revisión:N/A
Remuestreo:N/A
Liberacion:07/03/2026
</t>
        </r>
      </text>
    </comment>
    <comment ref="C20" authorId="0" shapeId="0" xr:uid="{E39262C8-7C44-4403-A0E1-9FEF91F6EB2B}">
      <text>
        <r>
          <rPr>
            <b/>
            <sz val="9"/>
            <color indexed="81"/>
            <rFont val="Tahoma"/>
            <family val="2"/>
          </rPr>
          <t xml:space="preserve">LOTE 08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1" authorId="0" shapeId="0" xr:uid="{D72A48FB-B17A-4410-9001-A5393B364FCC}">
      <text>
        <r>
          <rPr>
            <b/>
            <sz val="9"/>
            <color indexed="81"/>
            <rFont val="Tahoma"/>
            <family val="2"/>
          </rPr>
          <t xml:space="preserve">LOTE 09
FECHA DE ENVIO:
</t>
        </r>
        <r>
          <rPr>
            <sz val="9"/>
            <color indexed="81"/>
            <rFont val="Tahoma"/>
            <family val="2"/>
          </rPr>
          <t xml:space="preserve">Revisión:07/03/2026
Remuestreo:20/03/2026
Liberacion:23/07/2026
</t>
        </r>
      </text>
    </comment>
    <comment ref="I21" authorId="0" shapeId="0" xr:uid="{EDFBA532-9AFB-4637-8E35-98ADB24D82CC}">
      <text>
        <r>
          <rPr>
            <b/>
            <sz val="9"/>
            <color indexed="81"/>
            <rFont val="Tahoma"/>
            <family val="2"/>
          </rPr>
          <t xml:space="preserve">LOTE 09
</t>
        </r>
        <r>
          <rPr>
            <sz val="9"/>
            <color indexed="81"/>
            <rFont val="Tahoma"/>
            <family val="2"/>
          </rPr>
          <t xml:space="preserve">Original: 4,706
Testigo: 4,662
Sobre plateado: 4,492
</t>
        </r>
      </text>
    </comment>
    <comment ref="J21" authorId="0" shapeId="0" xr:uid="{63F7A1AA-5105-418E-9659-949AF66FDC1F}">
      <text>
        <r>
          <rPr>
            <b/>
            <sz val="9"/>
            <color indexed="81"/>
            <rFont val="Tahoma"/>
            <family val="2"/>
          </rPr>
          <t>LOTE 09</t>
        </r>
        <r>
          <rPr>
            <sz val="9"/>
            <color indexed="81"/>
            <rFont val="Tahoma"/>
            <family val="2"/>
          </rPr>
          <t xml:space="preserve">
Original:4,486
1-Rem:4,707
</t>
        </r>
      </text>
    </comment>
    <comment ref="Q21" authorId="0" shapeId="0" xr:uid="{09E56C80-2EB4-4CB7-B445-736BF0D7D545}">
      <text>
        <r>
          <rPr>
            <b/>
            <sz val="9"/>
            <color indexed="81"/>
            <rFont val="Tahoma"/>
            <family val="2"/>
          </rPr>
          <t xml:space="preserve">LOTE 09
</t>
        </r>
        <r>
          <rPr>
            <sz val="9"/>
            <color indexed="81"/>
            <rFont val="Tahoma"/>
            <family val="2"/>
          </rPr>
          <t>Original: 804,594
Testigo: 806,801
Sobre plateado:774, 473</t>
        </r>
      </text>
    </comment>
    <comment ref="R21" authorId="0" shapeId="0" xr:uid="{9141D364-04B9-4E26-85E5-FE8494A71579}">
      <text>
        <r>
          <rPr>
            <b/>
            <sz val="9"/>
            <color indexed="81"/>
            <rFont val="Tahoma"/>
            <family val="2"/>
          </rPr>
          <t xml:space="preserve">LOTE 09
</t>
        </r>
        <r>
          <rPr>
            <sz val="9"/>
            <color indexed="81"/>
            <rFont val="Tahoma"/>
            <family val="2"/>
          </rPr>
          <t>Original:777,499
1-Rem:803,185</t>
        </r>
      </text>
    </comment>
    <comment ref="C22" authorId="0" shapeId="0" xr:uid="{FD018A70-5B33-4189-9957-CADDC7264D1E}">
      <text>
        <r>
          <rPr>
            <b/>
            <sz val="9"/>
            <color indexed="81"/>
            <rFont val="Tahoma"/>
            <family val="2"/>
          </rPr>
          <t xml:space="preserve">LOTE 10
FEHCA DE ENVIO
</t>
        </r>
        <r>
          <rPr>
            <sz val="9"/>
            <color indexed="81"/>
            <rFont val="Tahoma"/>
            <family val="2"/>
          </rPr>
          <t xml:space="preserve">Revisión:26/02/2026
Remuestreo:20/03/2026
Liberacion:23/07/2026
</t>
        </r>
      </text>
    </comment>
    <comment ref="I22" authorId="0" shapeId="0" xr:uid="{90F639C6-D176-4633-9520-322636D1A4C0}">
      <text>
        <r>
          <rPr>
            <b/>
            <sz val="9"/>
            <color indexed="81"/>
            <rFont val="Tahoma"/>
            <family val="2"/>
          </rPr>
          <t xml:space="preserve">LOTE 10
</t>
        </r>
        <r>
          <rPr>
            <sz val="9"/>
            <color indexed="81"/>
            <rFont val="Tahoma"/>
            <family val="2"/>
          </rPr>
          <t xml:space="preserve">Original: 4,478
Testigo: 4,452
Sobre plateado:4,407
</t>
        </r>
      </text>
    </comment>
    <comment ref="J22" authorId="0" shapeId="0" xr:uid="{327D5617-6BDE-46BD-8E1D-D434EDFD7E9B}">
      <text>
        <r>
          <rPr>
            <b/>
            <sz val="9"/>
            <color indexed="81"/>
            <rFont val="Tahoma"/>
            <family val="2"/>
          </rPr>
          <t>LOTE 10</t>
        </r>
        <r>
          <rPr>
            <sz val="9"/>
            <color indexed="81"/>
            <rFont val="Tahoma"/>
            <family val="2"/>
          </rPr>
          <t xml:space="preserve">
Original: 3,973
1-Rem: 4,481
</t>
        </r>
      </text>
    </comment>
    <comment ref="Q22" authorId="0" shapeId="0" xr:uid="{251B131A-7728-476D-868B-0D16EEE74E30}">
      <text>
        <r>
          <rPr>
            <b/>
            <sz val="9"/>
            <color indexed="81"/>
            <rFont val="Tahoma"/>
            <family val="2"/>
          </rPr>
          <t xml:space="preserve">LOTE 10
</t>
        </r>
        <r>
          <rPr>
            <sz val="9"/>
            <color indexed="81"/>
            <rFont val="Tahoma"/>
            <family val="2"/>
          </rPr>
          <t>Original: 800,203
Testigo:795,707 
Sobre plateado:795,695</t>
        </r>
      </text>
    </comment>
    <comment ref="R22" authorId="0" shapeId="0" xr:uid="{94E7C469-8B5E-4635-8F53-BE4A29291440}">
      <text>
        <r>
          <rPr>
            <b/>
            <sz val="9"/>
            <color indexed="81"/>
            <rFont val="Tahoma"/>
            <family val="2"/>
          </rPr>
          <t>LOTE 10</t>
        </r>
        <r>
          <rPr>
            <sz val="9"/>
            <color indexed="81"/>
            <rFont val="Tahoma"/>
            <family val="2"/>
          </rPr>
          <t xml:space="preserve">
Original: 798,407
1-Rem: 797,870
</t>
        </r>
      </text>
    </comment>
    <comment ref="C23" authorId="0" shapeId="0" xr:uid="{60F82318-2274-4FBB-B490-C84A8D84CE5A}">
      <text>
        <r>
          <rPr>
            <b/>
            <sz val="9"/>
            <color indexed="81"/>
            <rFont val="Tahoma"/>
            <family val="2"/>
          </rPr>
          <t xml:space="preserve">LOTE 11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4" authorId="0" shapeId="0" xr:uid="{D235CBEA-D04B-43A8-932B-F9CC9296CAA2}">
      <text>
        <r>
          <rPr>
            <b/>
            <sz val="9"/>
            <color indexed="81"/>
            <rFont val="Tahoma"/>
            <family val="2"/>
          </rPr>
          <t xml:space="preserve">LOTE 12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5" authorId="0" shapeId="0" xr:uid="{B0B0DCA1-4DB4-4BA5-8174-FBBAB6728ECD}">
      <text>
        <r>
          <rPr>
            <b/>
            <sz val="9"/>
            <color indexed="81"/>
            <rFont val="Tahoma"/>
            <family val="2"/>
          </rPr>
          <t xml:space="preserve">LOTE 13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6" authorId="0" shapeId="0" xr:uid="{427769E7-5E6F-41A6-B065-30B1E4A4E5BC}">
      <text>
        <r>
          <rPr>
            <b/>
            <sz val="9"/>
            <color indexed="81"/>
            <rFont val="Tahoma"/>
            <family val="2"/>
          </rPr>
          <t xml:space="preserve">LOTE 14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7" authorId="0" shapeId="0" xr:uid="{ECCB83A1-FE94-47D1-A729-F8DD345B855A}">
      <text>
        <r>
          <rPr>
            <b/>
            <sz val="9"/>
            <color indexed="81"/>
            <rFont val="Tahoma"/>
            <family val="2"/>
          </rPr>
          <t xml:space="preserve">LOTE 15
FECHA DE ENVIO:
</t>
        </r>
        <r>
          <rPr>
            <sz val="9"/>
            <color indexed="81"/>
            <rFont val="Tahoma"/>
            <family val="2"/>
          </rPr>
          <t xml:space="preserve">Revisión:N/A
Remuestreo:N/A
Liberacion:07/03/2026
</t>
        </r>
      </text>
    </comment>
    <comment ref="C28" authorId="0" shapeId="0" xr:uid="{D5B4978A-97D6-4111-8730-A22766027D51}">
      <text>
        <r>
          <rPr>
            <b/>
            <sz val="9"/>
            <color indexed="81"/>
            <rFont val="Tahoma"/>
            <family val="2"/>
          </rPr>
          <t xml:space="preserve">LOTE 16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Liberacion:23/07/2026
</t>
        </r>
      </text>
    </comment>
    <comment ref="I28" authorId="0" shapeId="0" xr:uid="{DD91B681-945F-4352-891A-28A7200C4C9C}">
      <text>
        <r>
          <rPr>
            <b/>
            <sz val="9"/>
            <color indexed="81"/>
            <rFont val="Tahoma"/>
            <family val="2"/>
          </rPr>
          <t>LOTE 16</t>
        </r>
        <r>
          <rPr>
            <sz val="9"/>
            <color indexed="81"/>
            <rFont val="Tahoma"/>
            <family val="2"/>
          </rPr>
          <t xml:space="preserve">
Original: 5,140
Testigo: 5,121
Sobre plateado: 4,906</t>
        </r>
      </text>
    </comment>
    <comment ref="J28" authorId="0" shapeId="0" xr:uid="{99A91A94-21C0-48DE-BD31-56F7ED033E75}">
      <text>
        <r>
          <rPr>
            <b/>
            <sz val="9"/>
            <color indexed="81"/>
            <rFont val="Tahoma"/>
            <family val="2"/>
          </rPr>
          <t xml:space="preserve">LOTE 16
</t>
        </r>
        <r>
          <rPr>
            <sz val="9"/>
            <color indexed="81"/>
            <rFont val="Tahoma"/>
            <family val="2"/>
          </rPr>
          <t>Original: 4,963
1-Rem: 5,157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" authorId="0" shapeId="0" xr:uid="{A2A91B7E-70BD-4A50-97A8-F7ACC4AB1C84}">
      <text>
        <r>
          <rPr>
            <b/>
            <sz val="9"/>
            <color indexed="81"/>
            <rFont val="Tahoma"/>
            <family val="2"/>
          </rPr>
          <t xml:space="preserve">LOTE 16
</t>
        </r>
        <r>
          <rPr>
            <sz val="9"/>
            <color indexed="81"/>
            <rFont val="Tahoma"/>
            <family val="2"/>
          </rPr>
          <t xml:space="preserve">Original: 833,854
Testigo: 830,869
Sobre plateado: 804,885
</t>
        </r>
      </text>
    </comment>
    <comment ref="R28" authorId="0" shapeId="0" xr:uid="{6C2A662B-6784-4543-B0D3-FD90E06D095D}">
      <text>
        <r>
          <rPr>
            <b/>
            <sz val="9"/>
            <color indexed="81"/>
            <rFont val="Tahoma"/>
            <family val="2"/>
          </rPr>
          <t xml:space="preserve">LOTE 16
</t>
        </r>
        <r>
          <rPr>
            <sz val="9"/>
            <color indexed="81"/>
            <rFont val="Tahoma"/>
            <family val="2"/>
          </rPr>
          <t>Original: 805,898
1-Rem: 832,978</t>
        </r>
      </text>
    </comment>
    <comment ref="C29" authorId="0" shapeId="0" xr:uid="{2DB4B9CB-E59A-4FCD-83B7-A188B1B78521}">
      <text>
        <r>
          <rPr>
            <b/>
            <sz val="9"/>
            <color indexed="81"/>
            <rFont val="Tahoma"/>
            <family val="2"/>
          </rPr>
          <t xml:space="preserve">LOTE 17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Liberacion:09/07/2026
</t>
        </r>
      </text>
    </comment>
    <comment ref="I29" authorId="0" shapeId="0" xr:uid="{EEA082BA-976C-4B27-958B-D150E1AD7D60}">
      <text>
        <r>
          <rPr>
            <b/>
            <sz val="9"/>
            <color indexed="81"/>
            <rFont val="Tahoma"/>
            <family val="2"/>
          </rPr>
          <t>LOTE 17</t>
        </r>
        <r>
          <rPr>
            <sz val="9"/>
            <color indexed="81"/>
            <rFont val="Tahoma"/>
            <family val="2"/>
          </rPr>
          <t xml:space="preserve">
Original: 5,022
Testigo: 5,051
Sobre plateado: 4,782
</t>
        </r>
      </text>
    </comment>
    <comment ref="J29" authorId="0" shapeId="0" xr:uid="{B347F570-2F31-4C3C-A9DD-1124C2DB23DB}">
      <text>
        <r>
          <rPr>
            <b/>
            <sz val="9"/>
            <color indexed="81"/>
            <rFont val="Tahoma"/>
            <family val="2"/>
          </rPr>
          <t>LOTE 17</t>
        </r>
        <r>
          <rPr>
            <sz val="9"/>
            <color indexed="81"/>
            <rFont val="Tahoma"/>
            <family val="2"/>
          </rPr>
          <t xml:space="preserve">
Original:4,867
1-Rem:5,075
</t>
        </r>
      </text>
    </comment>
    <comment ref="Q29" authorId="0" shapeId="0" xr:uid="{D92FD2D1-F744-468F-B9D2-92932F6EFBD3}">
      <text>
        <r>
          <rPr>
            <b/>
            <sz val="9"/>
            <color indexed="81"/>
            <rFont val="Tahoma"/>
            <family val="2"/>
          </rPr>
          <t>LOTE 17</t>
        </r>
        <r>
          <rPr>
            <sz val="9"/>
            <color indexed="81"/>
            <rFont val="Tahoma"/>
            <family val="2"/>
          </rPr>
          <t xml:space="preserve">
Original: 856,727
Testigo:858,484
Sobre plateado:822,709</t>
        </r>
      </text>
    </comment>
    <comment ref="R29" authorId="0" shapeId="0" xr:uid="{EAE8BCC3-30E1-453C-8DA2-44463DABFDEE}">
      <text>
        <r>
          <rPr>
            <b/>
            <sz val="9"/>
            <color indexed="81"/>
            <rFont val="Tahoma"/>
            <family val="2"/>
          </rPr>
          <t xml:space="preserve">LOTE 17
</t>
        </r>
        <r>
          <rPr>
            <sz val="9"/>
            <color indexed="81"/>
            <rFont val="Tahoma"/>
            <family val="2"/>
          </rPr>
          <t xml:space="preserve">Original:822,563
1-Rem:858,536
</t>
        </r>
      </text>
    </comment>
    <comment ref="C30" authorId="0" shapeId="0" xr:uid="{08773DE8-2C72-4CFB-99F9-CEDFC927BD6C}">
      <text>
        <r>
          <rPr>
            <b/>
            <sz val="9"/>
            <color indexed="81"/>
            <rFont val="Tahoma"/>
            <family val="2"/>
          </rPr>
          <t xml:space="preserve">LOTE 18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Liberacion:09/07/2026
</t>
        </r>
      </text>
    </comment>
    <comment ref="I30" authorId="0" shapeId="0" xr:uid="{277A79DB-9AE9-4C56-B3C7-4A87290EAF76}">
      <text>
        <r>
          <rPr>
            <b/>
            <sz val="9"/>
            <color indexed="81"/>
            <rFont val="Tahoma"/>
            <family val="2"/>
          </rPr>
          <t xml:space="preserve">LOTE 18
</t>
        </r>
        <r>
          <rPr>
            <sz val="9"/>
            <color indexed="81"/>
            <rFont val="Tahoma"/>
            <family val="2"/>
          </rPr>
          <t xml:space="preserve">Original: 4,967
Testigo: 4,982
Sobre plateado: 4,807
</t>
        </r>
      </text>
    </comment>
    <comment ref="J30" authorId="0" shapeId="0" xr:uid="{72D897E4-A891-47C1-8738-8FDC47013A96}">
      <text>
        <r>
          <rPr>
            <b/>
            <sz val="9"/>
            <color indexed="81"/>
            <rFont val="Tahoma"/>
            <family val="2"/>
          </rPr>
          <t>LOTE 18</t>
        </r>
        <r>
          <rPr>
            <sz val="9"/>
            <color indexed="81"/>
            <rFont val="Tahoma"/>
            <family val="2"/>
          </rPr>
          <t xml:space="preserve">
Original: 4,833
1-Rem:5,108
</t>
        </r>
      </text>
    </comment>
    <comment ref="Q30" authorId="0" shapeId="0" xr:uid="{B63D0113-4858-465C-820C-80D2CBA81D23}">
      <text>
        <r>
          <rPr>
            <b/>
            <sz val="9"/>
            <color indexed="81"/>
            <rFont val="Tahoma"/>
            <family val="2"/>
          </rPr>
          <t xml:space="preserve">LOTE 18
</t>
        </r>
        <r>
          <rPr>
            <sz val="9"/>
            <color indexed="81"/>
            <rFont val="Tahoma"/>
            <family val="2"/>
          </rPr>
          <t xml:space="preserve">Original: 866,836
Testigo: 862,906
Sobre plateado:833,307
</t>
        </r>
      </text>
    </comment>
    <comment ref="R30" authorId="0" shapeId="0" xr:uid="{CD0E7363-A70E-4BCB-B0C1-3EA72A524EAF}">
      <text>
        <r>
          <rPr>
            <b/>
            <sz val="9"/>
            <color indexed="81"/>
            <rFont val="Tahoma"/>
            <family val="2"/>
          </rPr>
          <t xml:space="preserve">LOTE 18
</t>
        </r>
        <r>
          <rPr>
            <sz val="9"/>
            <color indexed="81"/>
            <rFont val="Tahoma"/>
            <family val="2"/>
          </rPr>
          <t xml:space="preserve">Original:832,251
1-Rem:868,360
</t>
        </r>
      </text>
    </comment>
    <comment ref="C31" authorId="0" shapeId="0" xr:uid="{6251D69F-06E5-47A6-9CC4-A0E2C3564958}">
      <text>
        <r>
          <rPr>
            <b/>
            <sz val="9"/>
            <color indexed="81"/>
            <rFont val="Tahoma"/>
            <family val="2"/>
          </rPr>
          <t>LOTE 19
FECHA DE ENVIO:</t>
        </r>
        <r>
          <rPr>
            <sz val="9"/>
            <color indexed="81"/>
            <rFont val="Tahoma"/>
            <family val="2"/>
          </rPr>
          <t xml:space="preserve">
Revisión:N/A
Remuestreo:N/A
Liberacion:25/03/2026
</t>
        </r>
      </text>
    </comment>
    <comment ref="C32" authorId="0" shapeId="0" xr:uid="{B1086E2F-AEAA-4BB4-B116-97F3D2003523}">
      <text>
        <r>
          <rPr>
            <b/>
            <sz val="9"/>
            <color indexed="81"/>
            <rFont val="Tahoma"/>
            <family val="2"/>
          </rPr>
          <t xml:space="preserve">LOTE 20
FECHA DE ENVIO:
</t>
        </r>
        <r>
          <rPr>
            <sz val="9"/>
            <color indexed="81"/>
            <rFont val="Tahoma"/>
            <family val="2"/>
          </rPr>
          <t xml:space="preserve">Revisión:14/03/2026
Remuestreo:16/04/2026
Liberacion:09/07/2026
</t>
        </r>
      </text>
    </comment>
    <comment ref="I32" authorId="0" shapeId="0" xr:uid="{26C25642-A05F-465A-986E-E7558CC0E18C}">
      <text>
        <r>
          <rPr>
            <b/>
            <sz val="9"/>
            <color indexed="81"/>
            <rFont val="Tahoma"/>
            <family val="2"/>
          </rPr>
          <t xml:space="preserve">LOTE 20
</t>
        </r>
        <r>
          <rPr>
            <sz val="9"/>
            <color indexed="81"/>
            <rFont val="Tahoma"/>
            <family val="2"/>
          </rPr>
          <t xml:space="preserve">Original: 3,652
Testigo: 3,626
Sobre plateado: 3,514
</t>
        </r>
      </text>
    </comment>
    <comment ref="J32" authorId="0" shapeId="0" xr:uid="{43914BB5-8653-4A48-8121-E535917D8E2B}">
      <text>
        <r>
          <rPr>
            <b/>
            <sz val="9"/>
            <color indexed="81"/>
            <rFont val="Tahoma"/>
            <family val="2"/>
          </rPr>
          <t>LOTE 20</t>
        </r>
        <r>
          <rPr>
            <sz val="9"/>
            <color indexed="81"/>
            <rFont val="Tahoma"/>
            <family val="2"/>
          </rPr>
          <t xml:space="preserve">
Original:3,548
1-Rem:3,585
</t>
        </r>
      </text>
    </comment>
    <comment ref="Q32" authorId="0" shapeId="0" xr:uid="{1363BA3A-9662-462E-99B2-505ACAF3EA46}">
      <text>
        <r>
          <rPr>
            <b/>
            <sz val="9"/>
            <color indexed="81"/>
            <rFont val="Tahoma"/>
            <family val="2"/>
          </rPr>
          <t xml:space="preserve">LOTE 20
</t>
        </r>
        <r>
          <rPr>
            <sz val="9"/>
            <color indexed="81"/>
            <rFont val="Tahoma"/>
            <family val="2"/>
          </rPr>
          <t xml:space="preserve">Original: 838,546
Testigo:838,027
Sobre plateado:829,455
</t>
        </r>
      </text>
    </comment>
    <comment ref="R32" authorId="0" shapeId="0" xr:uid="{77C46DA0-6A37-4575-8E5D-BA3F164035D3}">
      <text>
        <r>
          <rPr>
            <b/>
            <sz val="9"/>
            <color indexed="81"/>
            <rFont val="Tahoma"/>
            <family val="2"/>
          </rPr>
          <t xml:space="preserve">LOTE 20
</t>
        </r>
        <r>
          <rPr>
            <sz val="9"/>
            <color indexed="81"/>
            <rFont val="Tahoma"/>
            <family val="2"/>
          </rPr>
          <t xml:space="preserve">Original:827,692
1-Rem:831,853
</t>
        </r>
      </text>
    </comment>
    <comment ref="C33" authorId="0" shapeId="0" xr:uid="{DDEE64B5-5982-4D12-A86D-A7F82C3F9CCE}">
      <text>
        <r>
          <rPr>
            <b/>
            <sz val="9"/>
            <color indexed="81"/>
            <rFont val="Tahoma"/>
            <family val="2"/>
          </rPr>
          <t xml:space="preserve">LOTE 21
FECHA DE ENVIO:
</t>
        </r>
        <r>
          <rPr>
            <sz val="9"/>
            <color indexed="81"/>
            <rFont val="Tahoma"/>
            <family val="2"/>
          </rPr>
          <t xml:space="preserve">Revisión:25/03/2026
Remuestreo:31/03/2026
Liberacion:23/07/2026
</t>
        </r>
      </text>
    </comment>
    <comment ref="I33" authorId="0" shapeId="0" xr:uid="{CCACA0AA-5D17-4B96-B4D2-55675607293D}">
      <text>
        <r>
          <rPr>
            <b/>
            <sz val="9"/>
            <color indexed="81"/>
            <rFont val="Tahoma"/>
            <family val="2"/>
          </rPr>
          <t xml:space="preserve">LOTE 21
</t>
        </r>
        <r>
          <rPr>
            <sz val="9"/>
            <color indexed="81"/>
            <rFont val="Tahoma"/>
            <family val="2"/>
          </rPr>
          <t xml:space="preserve">Original: 4,434
Testigo: 4,413
Sobre plateado:4,314
</t>
        </r>
      </text>
    </comment>
    <comment ref="J33" authorId="0" shapeId="0" xr:uid="{0CF94B4E-1676-47B3-905D-F82AE09EE312}">
      <text>
        <r>
          <rPr>
            <b/>
            <sz val="9"/>
            <color indexed="81"/>
            <rFont val="Tahoma"/>
            <family val="2"/>
          </rPr>
          <t xml:space="preserve">LOTE 21
</t>
        </r>
        <r>
          <rPr>
            <sz val="9"/>
            <color indexed="81"/>
            <rFont val="Tahoma"/>
            <family val="2"/>
          </rPr>
          <t>Original: 4,338
1-Rem:4,344</t>
        </r>
      </text>
    </comment>
    <comment ref="Q33" authorId="0" shapeId="0" xr:uid="{EAB295D6-2274-4630-A7A2-E9B1AC775F71}">
      <text>
        <r>
          <rPr>
            <b/>
            <sz val="9"/>
            <color indexed="81"/>
            <rFont val="Tahoma"/>
            <family val="2"/>
          </rPr>
          <t xml:space="preserve">LOTE 21
</t>
        </r>
        <r>
          <rPr>
            <sz val="9"/>
            <color indexed="81"/>
            <rFont val="Tahoma"/>
            <family val="2"/>
          </rPr>
          <t>Original: 828,174
Testigo: 826,713
Sobre plateado:783,231</t>
        </r>
      </text>
    </comment>
    <comment ref="R33" authorId="0" shapeId="0" xr:uid="{A985C1A9-FCE2-41E1-AE8E-06C06A8CD0E4}">
      <text>
        <r>
          <rPr>
            <b/>
            <sz val="9"/>
            <color indexed="81"/>
            <rFont val="Tahoma"/>
            <family val="2"/>
          </rPr>
          <t>LOTE 21</t>
        </r>
        <r>
          <rPr>
            <sz val="9"/>
            <color indexed="81"/>
            <rFont val="Tahoma"/>
            <family val="2"/>
          </rPr>
          <t xml:space="preserve">
Original:787,214
1-Rem:790,048
</t>
        </r>
      </text>
    </comment>
    <comment ref="C34" authorId="0" shapeId="0" xr:uid="{51B2B50A-6877-46ED-BC9F-AEC9132B876E}">
      <text>
        <r>
          <rPr>
            <b/>
            <sz val="9"/>
            <color indexed="81"/>
            <rFont val="Tahoma"/>
            <family val="2"/>
          </rPr>
          <t xml:space="preserve">LOTE 22
FECHA DE ENVIO:
</t>
        </r>
        <r>
          <rPr>
            <sz val="9"/>
            <color indexed="81"/>
            <rFont val="Tahoma"/>
            <family val="2"/>
          </rPr>
          <t xml:space="preserve">Revisión:25/03/2026
Remuestreo:31/03/2026
Liberacion:09/07/2026
</t>
        </r>
      </text>
    </comment>
    <comment ref="I34" authorId="0" shapeId="0" xr:uid="{FECE41B5-C5E2-4219-AD10-06E42762A1B2}">
      <text>
        <r>
          <rPr>
            <b/>
            <sz val="9"/>
            <color indexed="81"/>
            <rFont val="Tahoma"/>
            <family val="2"/>
          </rPr>
          <t xml:space="preserve">LOTE 22
</t>
        </r>
        <r>
          <rPr>
            <sz val="9"/>
            <color indexed="81"/>
            <rFont val="Tahoma"/>
            <family val="2"/>
          </rPr>
          <t xml:space="preserve">Original: 4,553
Testigo: 4,529
Sobre plateado:4,215
</t>
        </r>
      </text>
    </comment>
    <comment ref="J34" authorId="0" shapeId="0" xr:uid="{13BC798D-1DAE-4783-A8E4-C83D58016330}">
      <text>
        <r>
          <rPr>
            <b/>
            <sz val="9"/>
            <color indexed="81"/>
            <rFont val="Tahoma"/>
            <family val="2"/>
          </rPr>
          <t>LOTE 22</t>
        </r>
        <r>
          <rPr>
            <sz val="9"/>
            <color indexed="81"/>
            <rFont val="Tahoma"/>
            <family val="2"/>
          </rPr>
          <t xml:space="preserve">
Original:4,238
1-Rem:4,471</t>
        </r>
      </text>
    </comment>
    <comment ref="Q34" authorId="0" shapeId="0" xr:uid="{CA41BBE1-148A-4281-A00D-8FDD4E31D5A7}">
      <text>
        <r>
          <rPr>
            <b/>
            <sz val="9"/>
            <color indexed="81"/>
            <rFont val="Tahoma"/>
            <family val="2"/>
          </rPr>
          <t xml:space="preserve">LOTE 22
</t>
        </r>
        <r>
          <rPr>
            <sz val="9"/>
            <color indexed="81"/>
            <rFont val="Tahoma"/>
            <family val="2"/>
          </rPr>
          <t xml:space="preserve">Original: 832,168
Testigo: 831,625
Sobre plateado:796,855
</t>
        </r>
      </text>
    </comment>
    <comment ref="R34" authorId="0" shapeId="0" xr:uid="{29E3A6F5-4552-4648-8ED2-B71067DF6FE0}">
      <text>
        <r>
          <rPr>
            <b/>
            <sz val="9"/>
            <color indexed="81"/>
            <rFont val="Tahoma"/>
            <family val="2"/>
          </rPr>
          <t xml:space="preserve">LOTE 22
</t>
        </r>
        <r>
          <rPr>
            <sz val="9"/>
            <color indexed="81"/>
            <rFont val="Tahoma"/>
            <family val="2"/>
          </rPr>
          <t xml:space="preserve">Original:800,400
1-Rem:827,910
</t>
        </r>
      </text>
    </comment>
    <comment ref="C35" authorId="0" shapeId="0" xr:uid="{5145903E-9205-44D5-87A6-0D833620B490}">
      <text>
        <r>
          <rPr>
            <b/>
            <sz val="9"/>
            <color indexed="81"/>
            <rFont val="Tahoma"/>
            <family val="2"/>
          </rPr>
          <t xml:space="preserve">LOTE 23
FECHA DE ENVIO:
</t>
        </r>
        <r>
          <rPr>
            <sz val="9"/>
            <color indexed="81"/>
            <rFont val="Tahoma"/>
            <family val="2"/>
          </rPr>
          <t xml:space="preserve">Revisión:25/03/2026
Remuestreo:31/03/2026
Liberacion:09/07/2026
</t>
        </r>
      </text>
    </comment>
    <comment ref="I35" authorId="0" shapeId="0" xr:uid="{2B3135B6-18B1-4BE4-9767-AFC3260E5251}">
      <text>
        <r>
          <rPr>
            <b/>
            <sz val="9"/>
            <color indexed="81"/>
            <rFont val="Tahoma"/>
            <family val="2"/>
          </rPr>
          <t xml:space="preserve">LOTE 23
</t>
        </r>
        <r>
          <rPr>
            <sz val="9"/>
            <color indexed="81"/>
            <rFont val="Tahoma"/>
            <family val="2"/>
          </rPr>
          <t xml:space="preserve">Original: 4,584
Testigo: 4,564
Sobre plateado:4,398
</t>
        </r>
      </text>
    </comment>
    <comment ref="J35" authorId="0" shapeId="0" xr:uid="{485ECBAA-F1D3-49AA-A4BC-B23F2E1D8768}">
      <text>
        <r>
          <rPr>
            <b/>
            <sz val="9"/>
            <color indexed="81"/>
            <rFont val="Tahoma"/>
            <family val="2"/>
          </rPr>
          <t xml:space="preserve">LOTE 23
</t>
        </r>
        <r>
          <rPr>
            <sz val="9"/>
            <color indexed="81"/>
            <rFont val="Tahoma"/>
            <family val="2"/>
          </rPr>
          <t xml:space="preserve">Original:4,427
1-Rem:4,419
</t>
        </r>
      </text>
    </comment>
    <comment ref="Q35" authorId="0" shapeId="0" xr:uid="{6004AAFA-8075-4666-A5BA-0BD70AB2BC32}">
      <text>
        <r>
          <rPr>
            <b/>
            <sz val="9"/>
            <color indexed="81"/>
            <rFont val="Tahoma"/>
            <family val="2"/>
          </rPr>
          <t xml:space="preserve">LOTE 23
</t>
        </r>
        <r>
          <rPr>
            <sz val="9"/>
            <color indexed="81"/>
            <rFont val="Tahoma"/>
            <family val="2"/>
          </rPr>
          <t xml:space="preserve">Original: 813,624
Testigo: 814,590
Sobre plateado:813,587
</t>
        </r>
      </text>
    </comment>
    <comment ref="R35" authorId="0" shapeId="0" xr:uid="{BA45AD9B-6B8F-4411-BE1B-95B25E8760E7}">
      <text>
        <r>
          <rPr>
            <b/>
            <sz val="9"/>
            <color indexed="81"/>
            <rFont val="Tahoma"/>
            <family val="2"/>
          </rPr>
          <t>LOTE 23</t>
        </r>
        <r>
          <rPr>
            <sz val="9"/>
            <color indexed="81"/>
            <rFont val="Tahoma"/>
            <family val="2"/>
          </rPr>
          <t xml:space="preserve">
Original:818,255
1-Rem:814,615
</t>
        </r>
      </text>
    </comment>
    <comment ref="C36" authorId="0" shapeId="0" xr:uid="{7D97D459-865E-4C51-A17D-046229676A25}">
      <text>
        <r>
          <rPr>
            <b/>
            <sz val="9"/>
            <color indexed="81"/>
            <rFont val="Tahoma"/>
            <family val="2"/>
          </rPr>
          <t xml:space="preserve">LOTE 24
FECHA DE ENVIO:
</t>
        </r>
        <r>
          <rPr>
            <sz val="9"/>
            <color indexed="81"/>
            <rFont val="Tahoma"/>
            <family val="2"/>
          </rPr>
          <t xml:space="preserve">Revisión:25/03/2026
1-Remuestreo:31/03/2026
2-Remuestreo:14/08/2026
Liberacion:
</t>
        </r>
      </text>
    </comment>
    <comment ref="I36" authorId="0" shapeId="0" xr:uid="{706F2818-4F37-4B18-A70E-E1A40A8C7BA6}">
      <text>
        <r>
          <rPr>
            <b/>
            <sz val="9"/>
            <color indexed="81"/>
            <rFont val="Tahoma"/>
            <family val="2"/>
          </rPr>
          <t xml:space="preserve">LOTE 24
</t>
        </r>
        <r>
          <rPr>
            <sz val="9"/>
            <color indexed="81"/>
            <rFont val="Tahoma"/>
            <family val="2"/>
          </rPr>
          <t>Original: 4,624
Testigo: 4,629
Sobre plateado:4,497</t>
        </r>
      </text>
    </comment>
    <comment ref="J36" authorId="0" shapeId="0" xr:uid="{35652254-1707-4317-854E-510FE442DFCB}">
      <text>
        <r>
          <rPr>
            <b/>
            <sz val="9"/>
            <color indexed="81"/>
            <rFont val="Tahoma"/>
            <family val="2"/>
          </rPr>
          <t>LOTE 24</t>
        </r>
        <r>
          <rPr>
            <sz val="9"/>
            <color indexed="81"/>
            <rFont val="Tahoma"/>
            <family val="2"/>
          </rPr>
          <t xml:space="preserve">
Original:4,518
1-Rem: 4,858</t>
        </r>
      </text>
    </comment>
    <comment ref="Q36" authorId="0" shapeId="0" xr:uid="{3F692A5D-B04C-48C4-9769-0D8A1E77291F}">
      <text>
        <r>
          <rPr>
            <b/>
            <sz val="9"/>
            <color indexed="81"/>
            <rFont val="Tahoma"/>
            <family val="2"/>
          </rPr>
          <t xml:space="preserve">LOTE 24
</t>
        </r>
        <r>
          <rPr>
            <sz val="9"/>
            <color indexed="81"/>
            <rFont val="Tahoma"/>
            <family val="2"/>
          </rPr>
          <t>Original: 782,490
Testigo: 782,355
Sobre plateado:756,202</t>
        </r>
      </text>
    </comment>
    <comment ref="R36" authorId="0" shapeId="0" xr:uid="{D7380F30-6C6A-460C-B857-3707E7C1D2B9}">
      <text>
        <r>
          <rPr>
            <b/>
            <sz val="9"/>
            <color indexed="81"/>
            <rFont val="Tahoma"/>
            <family val="2"/>
          </rPr>
          <t>LOTE 24</t>
        </r>
        <r>
          <rPr>
            <sz val="9"/>
            <color indexed="81"/>
            <rFont val="Tahoma"/>
            <family val="2"/>
          </rPr>
          <t xml:space="preserve">
Original:756,661
1-Rem: 744,779
</t>
        </r>
      </text>
    </comment>
    <comment ref="C37" authorId="0" shapeId="0" xr:uid="{CE14D33D-6A33-49EB-B9FE-8C25A693AFD7}">
      <text>
        <r>
          <rPr>
            <b/>
            <sz val="9"/>
            <color indexed="81"/>
            <rFont val="Tahoma"/>
            <family val="2"/>
          </rPr>
          <t xml:space="preserve">LOTE 25
FECHA DE ENVIO:
</t>
        </r>
        <r>
          <rPr>
            <sz val="9"/>
            <color indexed="81"/>
            <rFont val="Tahoma"/>
            <family val="2"/>
          </rPr>
          <t>Revisión:N/A
Remuestreo:N/A
Liberacion:31/03/2026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8" authorId="0" shapeId="0" xr:uid="{AEBCEBD5-3B56-4C05-B61F-CCFDDE8B9192}">
      <text>
        <r>
          <rPr>
            <b/>
            <sz val="9"/>
            <color indexed="81"/>
            <rFont val="Tahoma"/>
            <family val="2"/>
          </rPr>
          <t xml:space="preserve">LOTE 26
FECHA DE ENVIO:
</t>
        </r>
        <r>
          <rPr>
            <sz val="9"/>
            <color indexed="81"/>
            <rFont val="Tahoma"/>
            <family val="2"/>
          </rPr>
          <t xml:space="preserve">Revisión:N/A
Remuestreo:N/A
Liberacion:31/03/2026
</t>
        </r>
      </text>
    </comment>
    <comment ref="C39" authorId="0" shapeId="0" xr:uid="{96C6F744-86D9-4727-A244-C2C662CF061D}">
      <text>
        <r>
          <rPr>
            <b/>
            <sz val="9"/>
            <color indexed="81"/>
            <rFont val="Tahoma"/>
            <family val="2"/>
          </rPr>
          <t xml:space="preserve">LOTE 27
FECHA DE ENVIO:
</t>
        </r>
        <r>
          <rPr>
            <sz val="9"/>
            <color indexed="81"/>
            <rFont val="Tahoma"/>
            <family val="2"/>
          </rPr>
          <t xml:space="preserve">Revisión:31/03/2026
Remuestreo:16/04/2026
Liberacion:09/07/2026
</t>
        </r>
      </text>
    </comment>
    <comment ref="I39" authorId="0" shapeId="0" xr:uid="{ACA341B1-9CB9-4F47-AB84-3EF65BF2F0C7}">
      <text>
        <r>
          <rPr>
            <b/>
            <sz val="9"/>
            <color indexed="81"/>
            <rFont val="Tahoma"/>
            <family val="2"/>
          </rPr>
          <t>LOTE 27</t>
        </r>
        <r>
          <rPr>
            <sz val="9"/>
            <color indexed="81"/>
            <rFont val="Tahoma"/>
            <family val="2"/>
          </rPr>
          <t xml:space="preserve">
Original:5,143
Testigo:5,120
Sobre Plateado:5,017
</t>
        </r>
      </text>
    </comment>
    <comment ref="J39" authorId="0" shapeId="0" xr:uid="{F5AE45C0-D271-41D6-81F7-850FDE8C89E3}">
      <text>
        <r>
          <rPr>
            <b/>
            <sz val="9"/>
            <color indexed="81"/>
            <rFont val="Tahoma"/>
            <family val="2"/>
          </rPr>
          <t>LOTE 27</t>
        </r>
        <r>
          <rPr>
            <sz val="9"/>
            <color indexed="81"/>
            <rFont val="Tahoma"/>
            <family val="2"/>
          </rPr>
          <t xml:space="preserve">
Original:4,975
1-Rem:5,143
</t>
        </r>
      </text>
    </comment>
    <comment ref="Q39" authorId="0" shapeId="0" xr:uid="{83E3146C-FFEE-498E-A547-9BF97D18C446}">
      <text>
        <r>
          <rPr>
            <b/>
            <sz val="9"/>
            <color indexed="81"/>
            <rFont val="Tahoma"/>
            <family val="2"/>
          </rPr>
          <t xml:space="preserve">LOTE 27
</t>
        </r>
        <r>
          <rPr>
            <sz val="9"/>
            <color indexed="81"/>
            <rFont val="Tahoma"/>
            <family val="2"/>
          </rPr>
          <t xml:space="preserve">Original:841,782
Testigo: 840,809
Sobre Plateado:813,710
</t>
        </r>
      </text>
    </comment>
    <comment ref="R39" authorId="0" shapeId="0" xr:uid="{E6AE4E86-0A25-4B22-901D-AE0DCD272539}">
      <text>
        <r>
          <rPr>
            <sz val="9"/>
            <color indexed="81"/>
            <rFont val="Tahoma"/>
            <family val="2"/>
          </rPr>
          <t>LOTE 27
Original: 818,552 
1-Rem:843,893</t>
        </r>
      </text>
    </comment>
    <comment ref="C40" authorId="0" shapeId="0" xr:uid="{E4368034-3664-40E9-95D6-A17962E4B34D}">
      <text>
        <r>
          <rPr>
            <b/>
            <sz val="9"/>
            <color indexed="81"/>
            <rFont val="Tahoma"/>
            <family val="2"/>
          </rPr>
          <t xml:space="preserve">LOTE 28
FECHA DE ENVIO:
</t>
        </r>
        <r>
          <rPr>
            <sz val="9"/>
            <color indexed="81"/>
            <rFont val="Tahoma"/>
            <family val="2"/>
          </rPr>
          <t xml:space="preserve">Revisión:N/A
Remuestreo:N/A
Liberacion:31/03/2026
</t>
        </r>
      </text>
    </comment>
    <comment ref="C41" authorId="0" shapeId="0" xr:uid="{CCC37AA7-4AD6-4EBC-B480-F3F66BF93048}">
      <text>
        <r>
          <rPr>
            <b/>
            <sz val="9"/>
            <color indexed="81"/>
            <rFont val="Tahoma"/>
            <family val="2"/>
          </rPr>
          <t xml:space="preserve">LOTE 29
FECHA DE ENVIO:
</t>
        </r>
        <r>
          <rPr>
            <sz val="9"/>
            <color indexed="81"/>
            <rFont val="Tahoma"/>
            <family val="2"/>
          </rPr>
          <t xml:space="preserve">Revisión:31/03/2026
Remuestreo:16/04/2026
Liberacion:09/07/2026
</t>
        </r>
      </text>
    </comment>
    <comment ref="I41" authorId="0" shapeId="0" xr:uid="{AFAE95CF-6696-4828-B7AB-22A95C39ECEE}">
      <text>
        <r>
          <rPr>
            <b/>
            <sz val="9"/>
            <color indexed="81"/>
            <rFont val="Tahoma"/>
            <family val="2"/>
          </rPr>
          <t>LOTE 29</t>
        </r>
        <r>
          <rPr>
            <sz val="9"/>
            <color indexed="81"/>
            <rFont val="Tahoma"/>
            <family val="2"/>
          </rPr>
          <t xml:space="preserve">
Original:5,119
Testigo:5,116
Sobre Plateado:4,971
</t>
        </r>
      </text>
    </comment>
    <comment ref="J41" authorId="0" shapeId="0" xr:uid="{06C6F9AE-BAE7-4E25-9104-47FE3D41C098}">
      <text>
        <r>
          <rPr>
            <b/>
            <sz val="9"/>
            <color indexed="81"/>
            <rFont val="Tahoma"/>
            <family val="2"/>
          </rPr>
          <t>LOTE 29</t>
        </r>
        <r>
          <rPr>
            <sz val="9"/>
            <color indexed="81"/>
            <rFont val="Tahoma"/>
            <family val="2"/>
          </rPr>
          <t xml:space="preserve">
Original:5,014
1-Rem: 5,094</t>
        </r>
      </text>
    </comment>
    <comment ref="Q41" authorId="0" shapeId="0" xr:uid="{68D9D6C0-33E5-4912-8CC6-A2FD22C3DE4A}">
      <text>
        <r>
          <rPr>
            <b/>
            <sz val="9"/>
            <color indexed="81"/>
            <rFont val="Tahoma"/>
            <family val="2"/>
          </rPr>
          <t xml:space="preserve">LOTE 29
</t>
        </r>
        <r>
          <rPr>
            <sz val="9"/>
            <color indexed="81"/>
            <rFont val="Tahoma"/>
            <family val="2"/>
          </rPr>
          <t xml:space="preserve">Original:780,570
Testigo:779,879
Sobre Plateado: 759,183
</t>
        </r>
      </text>
    </comment>
    <comment ref="R41" authorId="0" shapeId="0" xr:uid="{23E09470-9CC1-4963-B2AC-041AD1CF0B6C}">
      <text>
        <r>
          <rPr>
            <b/>
            <sz val="9"/>
            <color indexed="81"/>
            <rFont val="Tahoma"/>
            <family val="2"/>
          </rPr>
          <t xml:space="preserve">LOTE 29
</t>
        </r>
        <r>
          <rPr>
            <sz val="9"/>
            <color indexed="81"/>
            <rFont val="Tahoma"/>
            <family val="2"/>
          </rPr>
          <t>Original: 763,091
1-Rem: 778,426</t>
        </r>
      </text>
    </comment>
    <comment ref="C42" authorId="0" shapeId="0" xr:uid="{A679A899-A519-425C-A530-8FF26A4396FD}">
      <text>
        <r>
          <rPr>
            <b/>
            <sz val="9"/>
            <color indexed="81"/>
            <rFont val="Tahoma"/>
            <family val="2"/>
          </rPr>
          <t xml:space="preserve">LOTE 30
FECHA DE ENVIO:
</t>
        </r>
        <r>
          <rPr>
            <sz val="9"/>
            <color indexed="81"/>
            <rFont val="Tahoma"/>
            <family val="2"/>
          </rPr>
          <t>Revisión:N/A
Remuestreo:N/A
Liberacion:31/03/2026</t>
        </r>
      </text>
    </comment>
    <comment ref="C43" authorId="0" shapeId="0" xr:uid="{4873C1F2-5129-4D69-B189-341F79B06A2F}">
      <text>
        <r>
          <rPr>
            <b/>
            <sz val="9"/>
            <color indexed="81"/>
            <rFont val="Tahoma"/>
            <family val="2"/>
          </rPr>
          <t xml:space="preserve">LOTE 31
FECHA DE ENVIO:
</t>
        </r>
        <r>
          <rPr>
            <sz val="9"/>
            <color indexed="81"/>
            <rFont val="Tahoma"/>
            <family val="2"/>
          </rPr>
          <t xml:space="preserve">Revisión:30/04/2026
Remuestreo:N/A
Liberacion:23/05/2026
</t>
        </r>
      </text>
    </comment>
    <comment ref="I43" authorId="0" shapeId="0" xr:uid="{76FED9C9-1036-4FEF-9366-1B559B0A29CF}">
      <text>
        <r>
          <rPr>
            <b/>
            <sz val="9"/>
            <color indexed="81"/>
            <rFont val="Tahoma"/>
            <family val="2"/>
          </rPr>
          <t>LOTE 31</t>
        </r>
        <r>
          <rPr>
            <sz val="9"/>
            <color indexed="81"/>
            <rFont val="Tahoma"/>
            <family val="2"/>
          </rPr>
          <t xml:space="preserve">
Original: 5,411
Testigo:5,500
Sobre Plateado:5,420
</t>
        </r>
      </text>
    </comment>
    <comment ref="Q43" authorId="0" shapeId="0" xr:uid="{23D49F4C-DEBC-47ED-91B7-9345DA8A5214}">
      <text>
        <r>
          <rPr>
            <b/>
            <sz val="9"/>
            <color indexed="81"/>
            <rFont val="Tahoma"/>
            <family val="2"/>
          </rPr>
          <t xml:space="preserve">LOTE 31
</t>
        </r>
        <r>
          <rPr>
            <sz val="9"/>
            <color indexed="81"/>
            <rFont val="Tahoma"/>
            <family val="2"/>
          </rPr>
          <t xml:space="preserve">Original:784,985
Testigo:786,372
Sobre Plateado:773,711
</t>
        </r>
      </text>
    </comment>
    <comment ref="C44" authorId="0" shapeId="0" xr:uid="{4702123E-6C4D-4836-8A66-866F60A1BDA6}">
      <text>
        <r>
          <rPr>
            <b/>
            <sz val="9"/>
            <color indexed="81"/>
            <rFont val="Tahoma"/>
            <family val="2"/>
          </rPr>
          <t xml:space="preserve">LOTE 32
FECHA DE ENVIO:
</t>
        </r>
        <r>
          <rPr>
            <sz val="9"/>
            <color indexed="81"/>
            <rFont val="Tahoma"/>
            <family val="2"/>
          </rPr>
          <t>Revisión:N/A
Remuestreo:N/A
Liberacion:30/04/2026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45" authorId="0" shapeId="0" xr:uid="{A1A22E16-C1E8-481B-BAF9-D4F4FF69E183}">
      <text>
        <r>
          <rPr>
            <b/>
            <sz val="9"/>
            <color indexed="81"/>
            <rFont val="Tahoma"/>
            <family val="2"/>
          </rPr>
          <t xml:space="preserve">LOTE 33
FECHA DE ENVIO:
</t>
        </r>
        <r>
          <rPr>
            <sz val="9"/>
            <color indexed="81"/>
            <rFont val="Tahoma"/>
            <family val="2"/>
          </rPr>
          <t>Revisión:N/A
Remuestreo:N/A
Liberacion:30/04/2026</t>
        </r>
      </text>
    </comment>
    <comment ref="C46" authorId="0" shapeId="0" xr:uid="{D81F2700-A247-45C3-8909-C1A392A9190C}">
      <text>
        <r>
          <rPr>
            <b/>
            <sz val="9"/>
            <color indexed="81"/>
            <rFont val="Tahoma"/>
            <family val="2"/>
          </rPr>
          <t xml:space="preserve">LOTE 34
FECHA DE ENVIO:
</t>
        </r>
        <r>
          <rPr>
            <sz val="9"/>
            <color indexed="81"/>
            <rFont val="Tahoma"/>
            <family val="2"/>
          </rPr>
          <t>Revisión:30/04/2026
Remuestreo:23/05/2026
Liberacion:09/07/2026</t>
        </r>
      </text>
    </comment>
    <comment ref="I46" authorId="0" shapeId="0" xr:uid="{7BA90936-C824-4E54-B791-E43AFA460B12}">
      <text>
        <r>
          <rPr>
            <b/>
            <sz val="9"/>
            <color indexed="81"/>
            <rFont val="Tahoma"/>
            <family val="2"/>
          </rPr>
          <t xml:space="preserve">LOTE 34
</t>
        </r>
        <r>
          <rPr>
            <sz val="9"/>
            <color indexed="81"/>
            <rFont val="Tahoma"/>
            <family val="2"/>
          </rPr>
          <t xml:space="preserve">Original: 4,381
Testigo:4,409
Sobre Plateado:4,260
</t>
        </r>
      </text>
    </comment>
    <comment ref="J46" authorId="0" shapeId="0" xr:uid="{2803AAA9-F7B9-4634-915C-1B53022C3F2A}">
      <text>
        <r>
          <rPr>
            <b/>
            <sz val="9"/>
            <color indexed="81"/>
            <rFont val="Tahoma"/>
            <family val="2"/>
          </rPr>
          <t>LOTE 34</t>
        </r>
        <r>
          <rPr>
            <sz val="9"/>
            <color indexed="81"/>
            <rFont val="Tahoma"/>
            <family val="2"/>
          </rPr>
          <t xml:space="preserve">
Original: 4,238
1-Rem: 4,357
</t>
        </r>
      </text>
    </comment>
    <comment ref="Q46" authorId="0" shapeId="0" xr:uid="{E8A3A806-3A11-421F-9170-9374B7AC743F}">
      <text>
        <r>
          <rPr>
            <b/>
            <sz val="9"/>
            <color indexed="81"/>
            <rFont val="Tahoma"/>
            <family val="2"/>
          </rPr>
          <t xml:space="preserve">LOTE 34
</t>
        </r>
        <r>
          <rPr>
            <sz val="9"/>
            <color indexed="81"/>
            <rFont val="Tahoma"/>
            <family val="2"/>
          </rPr>
          <t>Original: 702,454
Testigo: 706,192
Sobre Plateado: 684,695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6" authorId="0" shapeId="0" xr:uid="{EF0DADDE-6107-4250-9AFA-E3D3CC41BDF0}">
      <text>
        <r>
          <rPr>
            <b/>
            <sz val="9"/>
            <color indexed="81"/>
            <rFont val="Tahoma"/>
            <family val="2"/>
          </rPr>
          <t xml:space="preserve">LOTE 34
</t>
        </r>
        <r>
          <rPr>
            <sz val="9"/>
            <color indexed="81"/>
            <rFont val="Tahoma"/>
            <family val="2"/>
          </rPr>
          <t xml:space="preserve">Original: 686,034
1-Rem: 705,430
</t>
        </r>
      </text>
    </comment>
    <comment ref="C47" authorId="0" shapeId="0" xr:uid="{56A0FF0A-FC09-49F7-AC32-EFC9D99EBD4B}">
      <text>
        <r>
          <rPr>
            <b/>
            <sz val="9"/>
            <color indexed="81"/>
            <rFont val="Tahoma"/>
            <family val="2"/>
          </rPr>
          <t xml:space="preserve">LOTE 35
FECHA DE ENVIO:
</t>
        </r>
        <r>
          <rPr>
            <sz val="9"/>
            <color indexed="81"/>
            <rFont val="Tahoma"/>
            <family val="2"/>
          </rPr>
          <t xml:space="preserve">Revisión:30/04/2026
Remuestreo:N/A
Liberacion:23/05/2026
</t>
        </r>
      </text>
    </comment>
    <comment ref="I47" authorId="0" shapeId="0" xr:uid="{B910F987-B90D-47AB-B023-DA5D350D8DCE}">
      <text>
        <r>
          <rPr>
            <b/>
            <sz val="9"/>
            <color indexed="81"/>
            <rFont val="Tahoma"/>
            <family val="2"/>
          </rPr>
          <t xml:space="preserve">LOTE 35
</t>
        </r>
        <r>
          <rPr>
            <sz val="9"/>
            <color indexed="81"/>
            <rFont val="Tahoma"/>
            <family val="2"/>
          </rPr>
          <t>Original: 4,794
Testigo:4,836
Sobre Plateado:4,709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7" authorId="0" shapeId="0" xr:uid="{50B4B82E-DDF0-4A63-A817-64F10B12563B}">
      <text>
        <r>
          <rPr>
            <b/>
            <sz val="9"/>
            <color indexed="81"/>
            <rFont val="Tahoma"/>
            <family val="2"/>
          </rPr>
          <t xml:space="preserve">LOTE 35
</t>
        </r>
        <r>
          <rPr>
            <sz val="9"/>
            <color indexed="81"/>
            <rFont val="Tahoma"/>
            <family val="2"/>
          </rPr>
          <t xml:space="preserve">Original: 842,393
Testigo: 841,593
Sobre Plateado: 822,419
</t>
        </r>
      </text>
    </comment>
    <comment ref="C48" authorId="0" shapeId="0" xr:uid="{55A9494B-CF26-465D-8F7F-5AA2EA4DA287}">
      <text>
        <r>
          <rPr>
            <b/>
            <sz val="9"/>
            <color indexed="81"/>
            <rFont val="Tahoma"/>
            <family val="2"/>
          </rPr>
          <t xml:space="preserve">LOTE 36
FECHA DE ENVIO:
</t>
        </r>
        <r>
          <rPr>
            <sz val="9"/>
            <color indexed="81"/>
            <rFont val="Tahoma"/>
            <family val="2"/>
          </rPr>
          <t xml:space="preserve">Revisión:30/04/2026
Remuestreo:N/A
Liberacion:23/05/2026
</t>
        </r>
      </text>
    </comment>
    <comment ref="I48" authorId="0" shapeId="0" xr:uid="{24F6196D-EC1A-4A5A-B6A7-F73769F0E708}">
      <text>
        <r>
          <rPr>
            <b/>
            <sz val="9"/>
            <color indexed="81"/>
            <rFont val="Tahoma"/>
            <family val="2"/>
          </rPr>
          <t xml:space="preserve">LOTE 36
</t>
        </r>
        <r>
          <rPr>
            <sz val="9"/>
            <color indexed="81"/>
            <rFont val="Tahoma"/>
            <family val="2"/>
          </rPr>
          <t xml:space="preserve">Original: 4,721
Testigo:4,836
Sobre Plateado:
</t>
        </r>
      </text>
    </comment>
    <comment ref="Q48" authorId="0" shapeId="0" xr:uid="{EE17E66C-5F86-4BEE-A3AD-43E7F4B0CCD4}">
      <text>
        <r>
          <rPr>
            <b/>
            <sz val="9"/>
            <color indexed="81"/>
            <rFont val="Tahoma"/>
            <family val="2"/>
          </rPr>
          <t xml:space="preserve">LOTE 36
</t>
        </r>
        <r>
          <rPr>
            <sz val="9"/>
            <color indexed="81"/>
            <rFont val="Tahoma"/>
            <family val="2"/>
          </rPr>
          <t>Original: 863,147
Testigo:885,667
Sobre Plateado: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0" shapeId="0" xr:uid="{4DE5EA27-E588-4207-B9F3-501F52E0132F}">
      <text>
        <r>
          <rPr>
            <b/>
            <sz val="9"/>
            <color indexed="81"/>
            <rFont val="Tahoma"/>
            <family val="2"/>
          </rPr>
          <t xml:space="preserve">LOTE 37
FECHA DE ENVIO:
</t>
        </r>
        <r>
          <rPr>
            <sz val="9"/>
            <color indexed="81"/>
            <rFont val="Tahoma"/>
            <family val="2"/>
          </rPr>
          <t>Revisión:N/A
Remuestreo:N/A
Liberacion:21/04/2026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" authorId="0" shapeId="0" xr:uid="{C3555F7F-F104-417C-AE07-74BF14438BDA}">
      <text>
        <r>
          <rPr>
            <b/>
            <sz val="9"/>
            <color indexed="81"/>
            <rFont val="Tahoma"/>
            <family val="2"/>
          </rPr>
          <t xml:space="preserve">LOTE 38
FECHA DE ENVIO:
</t>
        </r>
        <r>
          <rPr>
            <sz val="9"/>
            <color indexed="81"/>
            <rFont val="Tahoma"/>
            <family val="2"/>
          </rPr>
          <t xml:space="preserve">Revisión:N/A
Remuestreo:N/A
Liberacion:21/04/2026
</t>
        </r>
      </text>
    </comment>
    <comment ref="C51" authorId="0" shapeId="0" xr:uid="{139BC740-C476-4DE2-9030-247C17409E2D}">
      <text>
        <r>
          <rPr>
            <b/>
            <sz val="9"/>
            <color indexed="81"/>
            <rFont val="Tahoma"/>
            <family val="2"/>
          </rPr>
          <t>LOTE 39
FECHA DE ENVIO</t>
        </r>
        <r>
          <rPr>
            <sz val="9"/>
            <color indexed="81"/>
            <rFont val="Tahoma"/>
            <family val="2"/>
          </rPr>
          <t xml:space="preserve">
Revisión: N/a
Remuestreo:N/a
Liberacion:11/05/2026</t>
        </r>
      </text>
    </comment>
    <comment ref="C52" authorId="0" shapeId="0" xr:uid="{BFC23272-CE53-484C-AC05-D2526F77347C}">
      <text>
        <r>
          <rPr>
            <b/>
            <sz val="9"/>
            <color indexed="81"/>
            <rFont val="Tahoma"/>
            <family val="2"/>
          </rPr>
          <t xml:space="preserve">LOTE 40
FECHA DE ENVIO:
</t>
        </r>
        <r>
          <rPr>
            <sz val="9"/>
            <color indexed="81"/>
            <rFont val="Tahoma"/>
            <family val="2"/>
          </rPr>
          <t xml:space="preserve">Revisión:N/A
Remuestreo:N/A
Liberacion:21/04/2026
</t>
        </r>
      </text>
    </comment>
    <comment ref="C53" authorId="0" shapeId="0" xr:uid="{EEAF5093-D5B3-4164-9E6D-3C4D4CFE6927}">
      <text>
        <r>
          <rPr>
            <b/>
            <sz val="9"/>
            <color indexed="81"/>
            <rFont val="Tahoma"/>
            <family val="2"/>
          </rPr>
          <t xml:space="preserve">LOTE 41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4" authorId="0" shapeId="0" xr:uid="{EEB2AC1B-1090-4ECA-BA0B-F384D2157B0F}">
      <text>
        <r>
          <rPr>
            <b/>
            <sz val="9"/>
            <color indexed="81"/>
            <rFont val="Tahoma"/>
            <family val="2"/>
          </rPr>
          <t xml:space="preserve">LOTE 42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5" authorId="0" shapeId="0" xr:uid="{566A1367-2D34-4FBB-ABEE-F7C6D334CFF9}">
      <text>
        <r>
          <rPr>
            <b/>
            <sz val="9"/>
            <color indexed="81"/>
            <rFont val="Tahoma"/>
            <family val="2"/>
          </rPr>
          <t xml:space="preserve">LOTE 43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6" authorId="0" shapeId="0" xr:uid="{1C68C5D3-E0D3-44BA-860F-D4E76D59155F}">
      <text>
        <r>
          <rPr>
            <b/>
            <sz val="9"/>
            <color indexed="81"/>
            <rFont val="Tahoma"/>
            <family val="2"/>
          </rPr>
          <t xml:space="preserve">LOTE 44
FECHA DE ENVIO
</t>
        </r>
        <r>
          <rPr>
            <sz val="9"/>
            <color indexed="81"/>
            <rFont val="Tahoma"/>
            <family val="2"/>
          </rPr>
          <t xml:space="preserve">Revisión: N/a
Remuestreo:N/a
Liberacion:11/05/2026
</t>
        </r>
      </text>
    </comment>
    <comment ref="C57" authorId="0" shapeId="0" xr:uid="{B93F3066-A1AA-4D3B-AA1E-CAD99B8D27D6}">
      <text>
        <r>
          <rPr>
            <b/>
            <sz val="9"/>
            <color indexed="81"/>
            <rFont val="Tahoma"/>
            <family val="2"/>
          </rPr>
          <t xml:space="preserve">LOTE 45
FECHA DE ENVIO
</t>
        </r>
        <r>
          <rPr>
            <sz val="9"/>
            <color indexed="81"/>
            <rFont val="Tahoma"/>
            <family val="2"/>
          </rPr>
          <t xml:space="preserve">Revisión: 15/05/2026
Remuestreo: 12/06/2026
Liberacion:04/08/2026
</t>
        </r>
      </text>
    </comment>
    <comment ref="I57" authorId="0" shapeId="0" xr:uid="{EA2E4DAE-C8C1-477F-A459-F69B3CECB368}">
      <text>
        <r>
          <rPr>
            <b/>
            <sz val="9"/>
            <color indexed="81"/>
            <rFont val="Tahoma"/>
            <family val="2"/>
          </rPr>
          <t>LOTE 45</t>
        </r>
        <r>
          <rPr>
            <sz val="9"/>
            <color indexed="81"/>
            <rFont val="Tahoma"/>
            <family val="2"/>
          </rPr>
          <t xml:space="preserve">
Original: 4,791
Testigo: 4,774
Sobre Plateado:4,593
</t>
        </r>
      </text>
    </comment>
    <comment ref="J57" authorId="0" shapeId="0" xr:uid="{C0DDDC8D-F4F7-4DFC-A991-280CCC906F0B}">
      <text>
        <r>
          <rPr>
            <b/>
            <sz val="9"/>
            <color indexed="81"/>
            <rFont val="Tahoma"/>
            <family val="2"/>
          </rPr>
          <t xml:space="preserve">LOTE 45
</t>
        </r>
        <r>
          <rPr>
            <sz val="9"/>
            <color indexed="81"/>
            <rFont val="Tahoma"/>
            <family val="2"/>
          </rPr>
          <t>Original: 4,641
1-Rem: 4,810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7" authorId="0" shapeId="0" xr:uid="{49AFEA17-2113-4E2A-9218-7BABF844B137}">
      <text>
        <r>
          <rPr>
            <b/>
            <sz val="9"/>
            <color indexed="81"/>
            <rFont val="Tahoma"/>
            <family val="2"/>
          </rPr>
          <t xml:space="preserve">LOTE 45
</t>
        </r>
        <r>
          <rPr>
            <sz val="9"/>
            <color indexed="81"/>
            <rFont val="Tahoma"/>
            <family val="2"/>
          </rPr>
          <t xml:space="preserve">Original: 853,954
Testigo: 852,207
Sobre Plateado: 824,968
</t>
        </r>
      </text>
    </comment>
    <comment ref="R57" authorId="0" shapeId="0" xr:uid="{0AACF3CE-13B6-4942-86FF-EBC65E775685}">
      <text>
        <r>
          <rPr>
            <b/>
            <sz val="9"/>
            <color indexed="81"/>
            <rFont val="Tahoma"/>
            <family val="2"/>
          </rPr>
          <t>LOTE 45</t>
        </r>
        <r>
          <rPr>
            <sz val="9"/>
            <color indexed="81"/>
            <rFont val="Tahoma"/>
            <family val="2"/>
          </rPr>
          <t xml:space="preserve">
Original: 826,672
1-Rem: 852,081
</t>
        </r>
      </text>
    </comment>
    <comment ref="C58" authorId="0" shapeId="0" xr:uid="{B1AB77CD-7DD2-4917-B217-ECCA929EB69B}">
      <text>
        <r>
          <rPr>
            <b/>
            <sz val="9"/>
            <color indexed="81"/>
            <rFont val="Tahoma"/>
            <family val="2"/>
          </rPr>
          <t xml:space="preserve">LOTE 46
FECHA DE ENVIO
</t>
        </r>
        <r>
          <rPr>
            <sz val="9"/>
            <color indexed="81"/>
            <rFont val="Tahoma"/>
            <family val="2"/>
          </rPr>
          <t>Revisión: N/a
Remuestreo:N/a
Liberacion:15/05/2026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9" authorId="0" shapeId="0" xr:uid="{21723952-1AE9-4CDB-B893-929A1419ABF7}">
      <text>
        <r>
          <rPr>
            <b/>
            <sz val="9"/>
            <color indexed="81"/>
            <rFont val="Tahoma"/>
            <family val="2"/>
          </rPr>
          <t xml:space="preserve">LOTE 47
FECHA DE ENVIO
</t>
        </r>
        <r>
          <rPr>
            <sz val="9"/>
            <color indexed="81"/>
            <rFont val="Tahoma"/>
            <family val="2"/>
          </rPr>
          <t xml:space="preserve">Revisión: N/a
Remuestreo:N/a
Liberacion:15/05/2026
</t>
        </r>
      </text>
    </comment>
    <comment ref="C60" authorId="0" shapeId="0" xr:uid="{DEB4F706-9BFE-4424-BA5E-C03954E96E33}">
      <text>
        <r>
          <rPr>
            <b/>
            <sz val="9"/>
            <color indexed="81"/>
            <rFont val="Tahoma"/>
            <family val="2"/>
          </rPr>
          <t xml:space="preserve">LOTE 48
FECHA DE ENVIO
</t>
        </r>
        <r>
          <rPr>
            <sz val="9"/>
            <color indexed="81"/>
            <rFont val="Tahoma"/>
            <family val="2"/>
          </rPr>
          <t>Revisión: N/a
Remuestreo:N/a
Liberacion:27/05/2026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" authorId="0" shapeId="0" xr:uid="{9B9CFD2E-9CC9-462C-B6F2-580F94C8CF73}">
      <text>
        <r>
          <rPr>
            <b/>
            <sz val="9"/>
            <color indexed="81"/>
            <rFont val="Tahoma"/>
            <family val="2"/>
          </rPr>
          <t xml:space="preserve">LOTE 49
FECHA DE ENVIO
</t>
        </r>
        <r>
          <rPr>
            <sz val="9"/>
            <color indexed="81"/>
            <rFont val="Tahoma"/>
            <family val="2"/>
          </rPr>
          <t xml:space="preserve">Revisión: N/a
Remuestreo:N/a
Liberacion:27/05/2026
</t>
        </r>
      </text>
    </comment>
    <comment ref="C62" authorId="0" shapeId="0" xr:uid="{7C558E07-968E-434B-8C78-29729A851B0E}">
      <text>
        <r>
          <rPr>
            <b/>
            <sz val="9"/>
            <color indexed="81"/>
            <rFont val="Tahoma"/>
            <family val="2"/>
          </rPr>
          <t xml:space="preserve">LOTE 50
FECHA DE ENVIO
</t>
        </r>
        <r>
          <rPr>
            <sz val="9"/>
            <color indexed="81"/>
            <rFont val="Tahoma"/>
            <family val="2"/>
          </rPr>
          <t xml:space="preserve">Revisión: N/a
Remuestreo:N/a
Liberacion:27/05/2026
</t>
        </r>
      </text>
    </comment>
    <comment ref="C63" authorId="0" shapeId="0" xr:uid="{65499A13-2040-453E-BFB5-8F2B9944938D}">
      <text>
        <r>
          <rPr>
            <b/>
            <sz val="9"/>
            <color indexed="81"/>
            <rFont val="Tahoma"/>
            <family val="2"/>
          </rPr>
          <t xml:space="preserve">LOTE 51
FECHA DE ENVIO
</t>
        </r>
        <r>
          <rPr>
            <sz val="9"/>
            <color indexed="81"/>
            <rFont val="Tahoma"/>
            <family val="2"/>
          </rPr>
          <t xml:space="preserve">Revisión: N/a
Remuestreo:N/a
Liberacion:27/05/2026
</t>
        </r>
      </text>
    </comment>
    <comment ref="C64" authorId="0" shapeId="0" xr:uid="{6BBEC0F4-97B3-40D1-B2DD-4117B65A8A2D}">
      <text>
        <r>
          <rPr>
            <b/>
            <sz val="9"/>
            <color indexed="81"/>
            <rFont val="Tahoma"/>
            <family val="2"/>
          </rPr>
          <t xml:space="preserve">LOTE 52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5" authorId="0" shapeId="0" xr:uid="{32CC3A92-EE9D-4583-A1ED-74CF404F8B9C}">
      <text>
        <r>
          <rPr>
            <b/>
            <sz val="9"/>
            <color indexed="81"/>
            <rFont val="Tahoma"/>
            <family val="2"/>
          </rPr>
          <t xml:space="preserve">LOTE 53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6" authorId="0" shapeId="0" xr:uid="{86B27E70-D4DA-4A97-9AFE-CB896D59EA3A}">
      <text>
        <r>
          <rPr>
            <b/>
            <sz val="9"/>
            <color indexed="81"/>
            <rFont val="Tahoma"/>
            <family val="2"/>
          </rPr>
          <t xml:space="preserve">LOTE 54
FECHA DE ENVIO
</t>
        </r>
        <r>
          <rPr>
            <sz val="9"/>
            <color indexed="81"/>
            <rFont val="Tahoma"/>
            <family val="2"/>
          </rPr>
          <t>Revisión: N/a
Remuestreo:N/a
Liberacion:24/06/2026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7" authorId="0" shapeId="0" xr:uid="{861C761E-D787-4986-822C-CBC5BB2DB2F7}">
      <text>
        <r>
          <rPr>
            <b/>
            <sz val="9"/>
            <color indexed="81"/>
            <rFont val="Tahoma"/>
            <family val="2"/>
          </rPr>
          <t xml:space="preserve">LOTE 55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8" authorId="0" shapeId="0" xr:uid="{BB73D672-42E9-4C82-B0F7-F90CA829E93B}">
      <text>
        <r>
          <rPr>
            <b/>
            <sz val="9"/>
            <color indexed="81"/>
            <rFont val="Tahoma"/>
            <family val="2"/>
          </rPr>
          <t xml:space="preserve">LOTE 56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69" authorId="0" shapeId="0" xr:uid="{1FC8E609-9ABA-4775-BB25-F5371648A495}">
      <text>
        <r>
          <rPr>
            <b/>
            <sz val="9"/>
            <color indexed="81"/>
            <rFont val="Tahoma"/>
            <family val="2"/>
          </rPr>
          <t xml:space="preserve">LOTE 57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70" authorId="0" shapeId="0" xr:uid="{16C9AD01-5111-4BD5-BD77-47A7E1A3F115}">
      <text>
        <r>
          <rPr>
            <b/>
            <sz val="9"/>
            <color indexed="81"/>
            <rFont val="Tahoma"/>
            <family val="2"/>
          </rPr>
          <t xml:space="preserve">LOTE 58
FECHA DE ENVIO
</t>
        </r>
        <r>
          <rPr>
            <sz val="9"/>
            <color indexed="81"/>
            <rFont val="Tahoma"/>
            <family val="2"/>
          </rPr>
          <t xml:space="preserve">Revisión: N/a
Remuestreo:N/a
Liberacion:12/06/2026
</t>
        </r>
      </text>
    </comment>
    <comment ref="C71" authorId="0" shapeId="0" xr:uid="{8915CD7D-8B9A-4363-85F3-A93381B33B9D}">
      <text>
        <r>
          <rPr>
            <b/>
            <sz val="9"/>
            <color indexed="81"/>
            <rFont val="Tahoma"/>
            <family val="2"/>
          </rPr>
          <t xml:space="preserve">LOTE 59
FECHA DE ENVIO
</t>
        </r>
        <r>
          <rPr>
            <sz val="9"/>
            <color indexed="81"/>
            <rFont val="Tahoma"/>
            <family val="2"/>
          </rPr>
          <t>Revisión: N/a
Remuestreo:N/a
Liberacion:12/06/2026</t>
        </r>
      </text>
    </comment>
    <comment ref="C72" authorId="0" shapeId="0" xr:uid="{2632C3E6-628B-4B38-9FAB-80C920B5BFAD}">
      <text>
        <r>
          <rPr>
            <b/>
            <sz val="9"/>
            <color indexed="81"/>
            <rFont val="Tahoma"/>
            <family val="2"/>
          </rPr>
          <t xml:space="preserve">LOTE 60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3" authorId="0" shapeId="0" xr:uid="{4A8DBB26-7A85-4E39-BECE-E78FA043B8AB}">
      <text>
        <r>
          <rPr>
            <b/>
            <sz val="9"/>
            <color indexed="81"/>
            <rFont val="Tahoma"/>
            <family val="2"/>
          </rPr>
          <t xml:space="preserve">LOTE 61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4" authorId="0" shapeId="0" xr:uid="{1BBC097D-0C0B-4583-BA0D-B386DFCDEA49}">
      <text>
        <r>
          <rPr>
            <b/>
            <sz val="9"/>
            <color indexed="81"/>
            <rFont val="Tahoma"/>
            <family val="2"/>
          </rPr>
          <t xml:space="preserve">LOTE 62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75" authorId="0" shapeId="0" xr:uid="{239E214F-9A7F-4979-9103-57B1CE188621}">
      <text>
        <r>
          <rPr>
            <b/>
            <sz val="9"/>
            <color indexed="81"/>
            <rFont val="Tahoma"/>
            <family val="2"/>
          </rPr>
          <t xml:space="preserve">LOTE 63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6" authorId="0" shapeId="0" xr:uid="{6555BDE1-9833-4209-8F45-CE308F9A7D0A}">
      <text>
        <r>
          <rPr>
            <b/>
            <sz val="9"/>
            <color indexed="81"/>
            <rFont val="Tahoma"/>
            <family val="2"/>
          </rPr>
          <t xml:space="preserve">LOTE 64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77" authorId="0" shapeId="0" xr:uid="{970FBEF2-2CFC-4DA6-91CF-5FD9B69B2C2A}">
      <text>
        <r>
          <rPr>
            <b/>
            <sz val="9"/>
            <color indexed="81"/>
            <rFont val="Tahoma"/>
            <family val="2"/>
          </rPr>
          <t xml:space="preserve">LOTE 65
FECHA DE ENVIO
</t>
        </r>
        <r>
          <rPr>
            <sz val="9"/>
            <color indexed="81"/>
            <rFont val="Tahoma"/>
            <family val="2"/>
          </rPr>
          <t xml:space="preserve">Revisión: N/a
Remuestreo:N/a
Liberacion:24/06/2026
</t>
        </r>
      </text>
    </comment>
    <comment ref="C78" authorId="0" shapeId="0" xr:uid="{1708604C-D13E-4492-B84F-6DA735DB334F}">
      <text>
        <r>
          <rPr>
            <b/>
            <sz val="9"/>
            <color indexed="81"/>
            <rFont val="Tahoma"/>
            <family val="2"/>
          </rPr>
          <t xml:space="preserve">LOTE 66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79" authorId="0" shapeId="0" xr:uid="{39C92245-CAC6-4113-A56F-ED9D65544293}">
      <text>
        <r>
          <rPr>
            <b/>
            <sz val="9"/>
            <color indexed="81"/>
            <rFont val="Tahoma"/>
            <family val="2"/>
          </rPr>
          <t xml:space="preserve">LOTE 67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80" authorId="0" shapeId="0" xr:uid="{0380D05C-3320-4686-A938-AC228AA84411}">
      <text>
        <r>
          <rPr>
            <b/>
            <sz val="9"/>
            <color indexed="81"/>
            <rFont val="Tahoma"/>
            <family val="2"/>
          </rPr>
          <t xml:space="preserve">LOTE 68
FECHA DE ENVIO
</t>
        </r>
        <r>
          <rPr>
            <sz val="9"/>
            <color indexed="81"/>
            <rFont val="Tahoma"/>
            <family val="2"/>
          </rPr>
          <t>Revisión: N/a
Remuestreo:N/a
Liberacion:09/07/2026</t>
        </r>
      </text>
    </comment>
    <comment ref="C81" authorId="0" shapeId="0" xr:uid="{9125056C-B888-4DD1-B867-C3E7852FEBA3}">
      <text>
        <r>
          <rPr>
            <b/>
            <sz val="9"/>
            <color indexed="81"/>
            <rFont val="Tahoma"/>
            <family val="2"/>
          </rPr>
          <t xml:space="preserve">LOTE 69
FECHA DE ENVIO
</t>
        </r>
        <r>
          <rPr>
            <sz val="9"/>
            <color indexed="81"/>
            <rFont val="Tahoma"/>
            <family val="2"/>
          </rPr>
          <t xml:space="preserve">Revisión: N/a
Remuestreo:N/a
Liberacion:09/07/2026
</t>
        </r>
      </text>
    </comment>
    <comment ref="C82" authorId="0" shapeId="0" xr:uid="{4487FE5E-3462-40D3-8167-F6CE8158BA46}">
      <text>
        <r>
          <rPr>
            <b/>
            <sz val="9"/>
            <color indexed="81"/>
            <rFont val="Tahoma"/>
            <family val="2"/>
          </rPr>
          <t>LOTE 70
FECHA DE ENVIO</t>
        </r>
        <r>
          <rPr>
            <sz val="9"/>
            <color indexed="81"/>
            <rFont val="Tahoma"/>
            <family val="2"/>
          </rPr>
          <t xml:space="preserve">
Revisión:N/A
Remuestreo:N/A
Liberación:23/07/2026
</t>
        </r>
      </text>
    </comment>
    <comment ref="C83" authorId="0" shapeId="0" xr:uid="{5D44325F-D513-40C8-AEC7-4A475689685F}">
      <text>
        <r>
          <rPr>
            <b/>
            <sz val="9"/>
            <color indexed="81"/>
            <rFont val="Tahoma"/>
            <family val="2"/>
          </rPr>
          <t>LOTE 71
FECHA DE ENVIO</t>
        </r>
        <r>
          <rPr>
            <sz val="9"/>
            <color indexed="81"/>
            <rFont val="Tahoma"/>
            <family val="2"/>
          </rPr>
          <t xml:space="preserve">
Revisión:N/A
1-Remuestreo:N/A
Liberación: 19/08/2026
</t>
        </r>
      </text>
    </comment>
    <comment ref="C84" authorId="0" shapeId="0" xr:uid="{861C4916-27E0-4845-8A22-9633E3F6B1C5}">
      <text>
        <r>
          <rPr>
            <b/>
            <sz val="9"/>
            <color indexed="81"/>
            <rFont val="Tahoma"/>
            <family val="2"/>
          </rPr>
          <t xml:space="preserve">LOTE 72
FECHA DE ENVIO
</t>
        </r>
        <r>
          <rPr>
            <sz val="9"/>
            <color indexed="81"/>
            <rFont val="Tahoma"/>
            <family val="2"/>
          </rPr>
          <t>Revisión: N/A
Remuestreo:N/A
Liberación:29/07/2026</t>
        </r>
      </text>
    </comment>
    <comment ref="C85" authorId="0" shapeId="0" xr:uid="{D9765152-0915-496F-8C69-D97E72B887C1}">
      <text>
        <r>
          <rPr>
            <b/>
            <sz val="9"/>
            <color indexed="81"/>
            <rFont val="Tahoma"/>
            <family val="2"/>
          </rPr>
          <t xml:space="preserve">LOTE 73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86" authorId="0" shapeId="0" xr:uid="{128C7C25-FCB4-4282-8989-1EFB5ECE8A74}">
      <text>
        <r>
          <rPr>
            <b/>
            <sz val="9"/>
            <color indexed="81"/>
            <rFont val="Tahoma"/>
            <family val="2"/>
          </rPr>
          <t xml:space="preserve">LOTE 74
FECHA DE ENVIO
</t>
        </r>
        <r>
          <rPr>
            <sz val="9"/>
            <color indexed="81"/>
            <rFont val="Tahoma"/>
            <family val="2"/>
          </rPr>
          <t xml:space="preserve">Revisión:29/07/2026
Remuestreo:
Liberación:
</t>
        </r>
      </text>
    </comment>
    <comment ref="C87" authorId="0" shapeId="0" xr:uid="{B103C68C-FDC5-43E9-90F6-41A791A33C28}">
      <text>
        <r>
          <rPr>
            <b/>
            <sz val="9"/>
            <color indexed="81"/>
            <rFont val="Tahoma"/>
            <family val="2"/>
          </rPr>
          <t xml:space="preserve">LOTE 75
FECHA DE ENVIO
</t>
        </r>
        <r>
          <rPr>
            <sz val="9"/>
            <color indexed="81"/>
            <rFont val="Tahoma"/>
            <family val="2"/>
          </rPr>
          <t>Revisión: N/A
Remuestreo:N/A
Liberación:29/07/2026</t>
        </r>
      </text>
    </comment>
    <comment ref="C88" authorId="0" shapeId="0" xr:uid="{C773C04C-2CCC-4DB0-934E-8A238DF7E678}">
      <text>
        <r>
          <rPr>
            <b/>
            <sz val="9"/>
            <color indexed="81"/>
            <rFont val="Tahoma"/>
            <family val="2"/>
          </rPr>
          <t xml:space="preserve">LOTE 76
FECHA DE ENVIO
</t>
        </r>
        <r>
          <rPr>
            <sz val="9"/>
            <color indexed="81"/>
            <rFont val="Tahoma"/>
            <family val="2"/>
          </rPr>
          <t xml:space="preserve">Revisión: N/A
Remuestreo:N/A
Liberación:29/07/2026
</t>
        </r>
      </text>
    </comment>
    <comment ref="C89" authorId="0" shapeId="0" xr:uid="{AFB10A20-A912-4275-8990-283DE63569F2}">
      <text>
        <r>
          <rPr>
            <b/>
            <sz val="9"/>
            <color indexed="81"/>
            <rFont val="Tahoma"/>
            <family val="2"/>
          </rPr>
          <t>LOTE 77
FECHA DE ENVIO</t>
        </r>
        <r>
          <rPr>
            <sz val="9"/>
            <color indexed="81"/>
            <rFont val="Tahoma"/>
            <family val="2"/>
          </rPr>
          <t xml:space="preserve">
Revisión: N/A
Remuestreo:N/A
Liberación:04/08/2026
</t>
        </r>
      </text>
    </comment>
    <comment ref="C90" authorId="0" shapeId="0" xr:uid="{C15EAC90-73D9-4ABA-8B43-ACB99741CC42}">
      <text>
        <r>
          <rPr>
            <b/>
            <sz val="9"/>
            <color indexed="81"/>
            <rFont val="Tahoma"/>
            <family val="2"/>
          </rPr>
          <t xml:space="preserve">LOTE 78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1" authorId="0" shapeId="0" xr:uid="{C67E3639-6A05-4046-884E-D7A09557617F}">
      <text>
        <r>
          <rPr>
            <b/>
            <sz val="9"/>
            <color indexed="81"/>
            <rFont val="Tahoma"/>
            <family val="2"/>
          </rPr>
          <t xml:space="preserve">LOTE 79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2" authorId="1" shapeId="0" xr:uid="{826E2EC5-DF65-4568-A5E7-9B8E25A404C5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
*Liquidado: 15-09-26</t>
        </r>
      </text>
    </comment>
    <comment ref="C93" authorId="0" shapeId="0" xr:uid="{731A30F3-5641-414B-8B2D-9A4A8894DD45}">
      <text>
        <r>
          <rPr>
            <b/>
            <sz val="9"/>
            <color indexed="81"/>
            <rFont val="Tahoma"/>
            <family val="2"/>
          </rPr>
          <t xml:space="preserve">LOTE 81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94" authorId="0" shapeId="0" xr:uid="{4EA1AF81-1028-4AE1-8EF3-C4BB5C1F73A8}">
      <text>
        <r>
          <rPr>
            <b/>
            <sz val="9"/>
            <color indexed="81"/>
            <rFont val="Tahoma"/>
            <family val="2"/>
          </rPr>
          <t xml:space="preserve">LOTE 82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95" authorId="1" shapeId="0" xr:uid="{1AD629F5-FF83-4869-980C-BFF85582E473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
*Liquidado:15-09-26</t>
        </r>
      </text>
    </comment>
    <comment ref="C96" authorId="0" shapeId="0" xr:uid="{CA82AD5F-699E-49CD-856D-D38EDFE45225}">
      <text>
        <r>
          <rPr>
            <b/>
            <sz val="9"/>
            <color indexed="81"/>
            <rFont val="Tahoma"/>
            <family val="2"/>
          </rPr>
          <t xml:space="preserve">LOTE 84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7" authorId="0" shapeId="0" xr:uid="{9E1AD261-2885-4953-BC40-7FDC3B96DC6F}">
      <text>
        <r>
          <rPr>
            <b/>
            <sz val="9"/>
            <color indexed="81"/>
            <rFont val="Tahoma"/>
            <family val="2"/>
          </rPr>
          <t xml:space="preserve">LOTE 85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8" authorId="0" shapeId="0" xr:uid="{3F31A71D-F021-401B-8303-2A84D91A1005}">
      <text>
        <r>
          <rPr>
            <b/>
            <sz val="9"/>
            <color indexed="81"/>
            <rFont val="Tahoma"/>
            <family val="2"/>
          </rPr>
          <t xml:space="preserve">LOTE 86
FECHA DE ENVIO
</t>
        </r>
        <r>
          <rPr>
            <sz val="9"/>
            <color indexed="81"/>
            <rFont val="Tahoma"/>
            <family val="2"/>
          </rPr>
          <t xml:space="preserve">Revisión: N/A
Remuestreo:N/A
Liberación:04/08/2026
</t>
        </r>
      </text>
    </comment>
    <comment ref="C99" authorId="0" shapeId="0" xr:uid="{88B47A9C-52B2-43DC-A88D-D22EFF47F80E}">
      <text>
        <r>
          <rPr>
            <b/>
            <sz val="9"/>
            <color indexed="81"/>
            <rFont val="Tahoma"/>
            <family val="2"/>
          </rPr>
          <t>LOTE 87
FECHA DE ENVIO</t>
        </r>
        <r>
          <rPr>
            <sz val="9"/>
            <color indexed="81"/>
            <rFont val="Tahoma"/>
            <family val="2"/>
          </rPr>
          <t xml:space="preserve">
Revisión: N/A
Remuestreo: N/A
Liberación:14/08/2026
</t>
        </r>
      </text>
    </comment>
    <comment ref="C100" authorId="0" shapeId="0" xr:uid="{610957C1-D271-423A-9079-506C1ABF26D7}">
      <text>
        <r>
          <rPr>
            <b/>
            <sz val="9"/>
            <color indexed="81"/>
            <rFont val="Tahoma"/>
            <family val="2"/>
          </rPr>
          <t xml:space="preserve">LOTE 88
FECHA DE ENVIO:
</t>
        </r>
        <r>
          <rPr>
            <sz val="9"/>
            <color indexed="81"/>
            <rFont val="Tahoma"/>
            <family val="2"/>
          </rPr>
          <t>Revisión: N/A
Remuestreo:14/08/2026
Liberación: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C101" authorId="0" shapeId="0" xr:uid="{60F8A5E7-4C76-4874-90E7-9B527C9A737D}">
      <text>
        <r>
          <rPr>
            <b/>
            <sz val="9"/>
            <color indexed="81"/>
            <rFont val="Tahoma"/>
            <family val="2"/>
          </rPr>
          <t xml:space="preserve">LOTE 89
FECHA DE ENVIO:
</t>
        </r>
        <r>
          <rPr>
            <sz val="9"/>
            <color indexed="81"/>
            <rFont val="Tahoma"/>
            <family val="2"/>
          </rPr>
          <t xml:space="preserve">Revisión: N/A
Remuestreo:14/08/2026
Liberación:
</t>
        </r>
      </text>
    </comment>
    <comment ref="C102" authorId="0" shapeId="0" xr:uid="{2E305E61-1FDF-4AAA-AA57-E1FB75659B9B}">
      <text>
        <r>
          <rPr>
            <b/>
            <sz val="9"/>
            <color indexed="81"/>
            <rFont val="Tahoma"/>
            <family val="2"/>
          </rPr>
          <t xml:space="preserve">LOTE 90
FECHA DE ENVIO
</t>
        </r>
        <r>
          <rPr>
            <sz val="9"/>
            <color indexed="81"/>
            <rFont val="Tahoma"/>
            <family val="2"/>
          </rPr>
          <t>Revisión: N/A
Remuestreo: N/A
Liberación:14/08/2026</t>
        </r>
      </text>
    </comment>
    <comment ref="C103" authorId="0" shapeId="0" xr:uid="{FF9FDE63-9BE7-44CA-98EF-E803852FCF54}">
      <text>
        <r>
          <rPr>
            <b/>
            <sz val="9"/>
            <color indexed="81"/>
            <rFont val="Tahoma"/>
            <family val="2"/>
          </rPr>
          <t>LOTE 91
FECHA DE ENVIO</t>
        </r>
        <r>
          <rPr>
            <sz val="9"/>
            <color indexed="81"/>
            <rFont val="Tahoma"/>
            <family val="2"/>
          </rPr>
          <t xml:space="preserve">
Revisión: N/A
Remuestreo: N/A
Liberación:14/08/2026
</t>
        </r>
      </text>
    </comment>
    <comment ref="C104" authorId="0" shapeId="0" xr:uid="{8F04AEC8-948B-4C02-A024-D0BF01B9CCE7}">
      <text>
        <r>
          <rPr>
            <b/>
            <sz val="9"/>
            <color indexed="81"/>
            <rFont val="Tahoma"/>
            <family val="2"/>
          </rPr>
          <t xml:space="preserve">LOTE 92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5" authorId="0" shapeId="0" xr:uid="{8EF3B4D7-6B3E-4569-9F9C-C5A532C100DC}">
      <text>
        <r>
          <rPr>
            <b/>
            <sz val="9"/>
            <color indexed="81"/>
            <rFont val="Tahoma"/>
            <family val="2"/>
          </rPr>
          <t xml:space="preserve">LOTE 93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6" authorId="0" shapeId="0" xr:uid="{B517AC6B-4F4F-4BE2-A06E-E33436D40FFB}">
      <text>
        <r>
          <rPr>
            <b/>
            <sz val="9"/>
            <color indexed="81"/>
            <rFont val="Tahoma"/>
            <family val="2"/>
          </rPr>
          <t xml:space="preserve">LOTE 94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7" authorId="0" shapeId="0" xr:uid="{960CFABC-3711-42B4-893E-69D7A14BDAF3}">
      <text>
        <r>
          <rPr>
            <b/>
            <sz val="9"/>
            <color indexed="81"/>
            <rFont val="Tahoma"/>
            <family val="2"/>
          </rPr>
          <t xml:space="preserve">LOTE 95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08" authorId="0" shapeId="0" xr:uid="{0FA58C4A-E313-45EB-B49E-80E3737EF2B6}">
      <text>
        <r>
          <rPr>
            <b/>
            <sz val="9"/>
            <color indexed="81"/>
            <rFont val="Tahoma"/>
            <family val="2"/>
          </rPr>
          <t xml:space="preserve">LOTE 96
FECHA DE ENVIO
</t>
        </r>
        <r>
          <rPr>
            <sz val="9"/>
            <color indexed="81"/>
            <rFont val="Tahoma"/>
            <family val="2"/>
          </rPr>
          <t xml:space="preserve">Revisión: N/A
Remuestreo: N/A
Liberación:14/08/2026
</t>
        </r>
      </text>
    </comment>
    <comment ref="C109" authorId="0" shapeId="0" xr:uid="{ED5B6974-8C4C-4C22-9158-19807DDF537F}">
      <text>
        <r>
          <rPr>
            <b/>
            <sz val="9"/>
            <color indexed="81"/>
            <rFont val="Tahoma"/>
            <family val="2"/>
          </rPr>
          <t>LOTE 97
FECHA DE ENVIO</t>
        </r>
        <r>
          <rPr>
            <sz val="9"/>
            <color indexed="81"/>
            <rFont val="Tahoma"/>
            <family val="2"/>
          </rPr>
          <t xml:space="preserve">
Revisión:N/A
1-Remuestreo:N/A
Liberación:18/08/2026
</t>
        </r>
      </text>
    </comment>
    <comment ref="C110" authorId="0" shapeId="0" xr:uid="{5C55D967-A35A-4D6A-9DC4-BEAFD9C42B32}">
      <text>
        <r>
          <rPr>
            <b/>
            <sz val="9"/>
            <color indexed="81"/>
            <rFont val="Tahoma"/>
            <family val="2"/>
          </rPr>
          <t xml:space="preserve">LOTE 98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Liberación:18/08/2026
</t>
        </r>
      </text>
    </comment>
    <comment ref="C111" authorId="0" shapeId="0" xr:uid="{109A19B6-A440-4CEC-B30E-9A0509972545}">
      <text>
        <r>
          <rPr>
            <b/>
            <sz val="9"/>
            <color indexed="81"/>
            <rFont val="Tahoma"/>
            <family val="2"/>
          </rPr>
          <t xml:space="preserve">LOTE 99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Liberación:18/08/2026
</t>
        </r>
      </text>
    </comment>
    <comment ref="C112" authorId="0" shapeId="0" xr:uid="{4979DD54-966C-49ED-B2B3-872E70093D6D}">
      <text>
        <r>
          <rPr>
            <b/>
            <sz val="9"/>
            <color indexed="81"/>
            <rFont val="Tahoma"/>
            <family val="2"/>
          </rPr>
          <t xml:space="preserve">LOTE 100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3" authorId="0" shapeId="0" xr:uid="{22280E63-D8B6-4EED-A56B-24A3CF0E6CB4}">
      <text>
        <r>
          <rPr>
            <b/>
            <sz val="9"/>
            <color indexed="81"/>
            <rFont val="Tahoma"/>
            <family val="2"/>
          </rPr>
          <t xml:space="preserve">LOTE 101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4" authorId="0" shapeId="0" xr:uid="{9C5432E7-AE63-4D9A-BCB4-6E0DC7F36B84}">
      <text>
        <r>
          <rPr>
            <b/>
            <sz val="9"/>
            <color indexed="81"/>
            <rFont val="Tahoma"/>
            <family val="2"/>
          </rPr>
          <t xml:space="preserve">LOTE 102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5" authorId="0" shapeId="0" xr:uid="{ED8C3785-3AB7-48D9-B734-59649D5399CD}">
      <text>
        <r>
          <rPr>
            <b/>
            <sz val="9"/>
            <color indexed="81"/>
            <rFont val="Tahoma"/>
            <family val="2"/>
          </rPr>
          <t xml:space="preserve">LOTE 103
FECHA DE ENVIO
</t>
        </r>
        <r>
          <rPr>
            <sz val="9"/>
            <color indexed="81"/>
            <rFont val="Tahoma"/>
            <family val="2"/>
          </rPr>
          <t xml:space="preserve">Revisión:N/A
1-Remuestreo:N/A
Liberación: 19/08/2026
</t>
        </r>
      </text>
    </comment>
    <comment ref="C116" authorId="1" shapeId="0" xr:uid="{1B06D294-73D3-4451-8217-481269C9D44C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15-09-26.</t>
        </r>
      </text>
    </comment>
    <comment ref="C119" authorId="1" shapeId="0" xr:uid="{7315E6DD-967A-459D-8CB3-DD9D6F1D7581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REVISIÓN: Se envia a GAC 07/09/2026
*Se solicita revisión con el Ing. Sergio el 07/09/26</t>
        </r>
      </text>
    </comment>
    <comment ref="C120" authorId="1" shapeId="0" xr:uid="{322A3A17-7F66-423E-A6F2-EE9C9CF2436B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</t>
        </r>
      </text>
    </comment>
    <comment ref="C121" authorId="1" shapeId="0" xr:uid="{A05BEF9F-EE2B-4975-955D-193C9D1A6413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*REVISIÓN: Se envia a GAC 07/09/2026
*Liberados por GAC 07-09-26</t>
        </r>
      </text>
    </comment>
    <comment ref="C122" authorId="1" shapeId="0" xr:uid="{7CE04705-BD73-4045-959C-8576156ED29C}">
      <text>
        <r>
          <rPr>
            <b/>
            <sz val="9"/>
            <color indexed="81"/>
            <rFont val="Tahoma"/>
            <family val="2"/>
          </rPr>
          <t>CHRISTIAN EMMANUEL LUNA HERNANDEZ:</t>
        </r>
        <r>
          <rPr>
            <sz val="9"/>
            <color indexed="81"/>
            <rFont val="Tahoma"/>
            <family val="2"/>
          </rPr>
          <t xml:space="preserve">
REVISIÓN: Se envia a GAC 07/09/2026
*Se solicita revisión con el Ing. Sergio el 07/09/26</t>
        </r>
      </text>
    </comment>
  </commentList>
</comments>
</file>

<file path=xl/sharedStrings.xml><?xml version="1.0" encoding="utf-8"?>
<sst xmlns="http://schemas.openxmlformats.org/spreadsheetml/2006/main" count="608" uniqueCount="443">
  <si>
    <t>Total Embarque</t>
  </si>
  <si>
    <t>Total dls/ton</t>
  </si>
  <si>
    <t>Total deducciones</t>
  </si>
  <si>
    <t>&gt;0.2%, $1/0.1%</t>
  </si>
  <si>
    <t>Cd:</t>
  </si>
  <si>
    <t>&gt;=0.1%, todo a $1.5/0.1%</t>
  </si>
  <si>
    <t>MgO:</t>
  </si>
  <si>
    <t>&gt;=0.02%, todo a $3/0.1%</t>
  </si>
  <si>
    <t>&gt;0.1%, $1/0.1%</t>
  </si>
  <si>
    <t>As:</t>
  </si>
  <si>
    <t>&gt; 5%, $2.5/1%; &gt;8%, $3.5/1%</t>
  </si>
  <si>
    <t>Zn:</t>
  </si>
  <si>
    <t>&gt;2%, $2/1%</t>
  </si>
  <si>
    <t>Ins:</t>
  </si>
  <si>
    <t>&gt; 0.3%, $2/0.1%</t>
  </si>
  <si>
    <t>Sb:</t>
  </si>
  <si>
    <t>&gt; 8%, $2/1%</t>
  </si>
  <si>
    <t>Fe:</t>
  </si>
  <si>
    <t>&gt; 0.3%, $3/0.1%</t>
  </si>
  <si>
    <t>dls/ton</t>
  </si>
  <si>
    <t>Castigo</t>
  </si>
  <si>
    <t>Condición</t>
  </si>
  <si>
    <t>Ensaye</t>
  </si>
  <si>
    <t>CASTIGOS:</t>
  </si>
  <si>
    <t>K/T</t>
  </si>
  <si>
    <t>Ref Ag dls/k</t>
  </si>
  <si>
    <t>Ref Ag dls/Kg</t>
  </si>
  <si>
    <t>G/T</t>
  </si>
  <si>
    <t>Ref Au dls/gr</t>
  </si>
  <si>
    <t>T.C. dls/ton</t>
  </si>
  <si>
    <t>Ens. Pagables</t>
  </si>
  <si>
    <t>Cuota</t>
  </si>
  <si>
    <t>DEDUCCIONES:</t>
  </si>
  <si>
    <t>Total pagos</t>
  </si>
  <si>
    <t>85% D.M. 8%</t>
  </si>
  <si>
    <t>Zn %:</t>
  </si>
  <si>
    <t>95% D.M. 3%</t>
  </si>
  <si>
    <t>Pb %:</t>
  </si>
  <si>
    <t>Ensaye -124.4 g/t, resto 70%</t>
  </si>
  <si>
    <t>Ag G/T:</t>
  </si>
  <si>
    <t>95% D.M. 50 G/T</t>
  </si>
  <si>
    <t>Ensaye -1.5 g/t, resto 65%</t>
  </si>
  <si>
    <t>Au G/T:</t>
  </si>
  <si>
    <t>95% D.M. 1 G/T</t>
  </si>
  <si>
    <t>Ensaye Pagable:</t>
  </si>
  <si>
    <t>Condición de pago:</t>
  </si>
  <si>
    <t>PAGOS:</t>
  </si>
  <si>
    <t>TMS:</t>
  </si>
  <si>
    <t>1cv dl/lb=</t>
  </si>
  <si>
    <t>Dls/Ton</t>
  </si>
  <si>
    <t>Zn Dls/Ton:</t>
  </si>
  <si>
    <t>* menos 1 cv dl/lb</t>
  </si>
  <si>
    <t>Pb Dls/Ton:</t>
  </si>
  <si>
    <t>Dls/Kg</t>
  </si>
  <si>
    <t>Ag Dls/Oz Comex 1st -Londo Fix:</t>
  </si>
  <si>
    <t>Dls/Gr</t>
  </si>
  <si>
    <t>Au Dls/Oz PM:</t>
  </si>
  <si>
    <t>COTIZACIONES</t>
  </si>
  <si>
    <t xml:space="preserve">FRESNILLO </t>
  </si>
  <si>
    <t>FRESNILLO</t>
  </si>
  <si>
    <t>COSTO POR KG</t>
  </si>
  <si>
    <t xml:space="preserve">PLATA </t>
  </si>
  <si>
    <t>COSTO POR GR</t>
  </si>
  <si>
    <t xml:space="preserve">ORO </t>
  </si>
  <si>
    <t xml:space="preserve">AFINACION DE METALES </t>
  </si>
  <si>
    <t>COSTO KG SECO</t>
  </si>
  <si>
    <t xml:space="preserve">CARGO POR TRATAMIENTO </t>
  </si>
  <si>
    <t xml:space="preserve">DEDUCCIONES </t>
  </si>
  <si>
    <t xml:space="preserve">97% DEL CONTENIDO </t>
  </si>
  <si>
    <t>VALOR NETO LOTE</t>
  </si>
  <si>
    <t xml:space="preserve">VALOR BRUTO </t>
  </si>
  <si>
    <t xml:space="preserve">TOTAL DEDUCCIONES </t>
  </si>
  <si>
    <t>98% DEL CONTENIDO</t>
  </si>
  <si>
    <t xml:space="preserve">TOTAL PAGABLES </t>
  </si>
  <si>
    <t>ORO</t>
  </si>
  <si>
    <t xml:space="preserve">PAGABLES </t>
  </si>
  <si>
    <t>PLATA</t>
  </si>
  <si>
    <t xml:space="preserve">FINALES </t>
  </si>
  <si>
    <t xml:space="preserve">METALICOS </t>
  </si>
  <si>
    <t>PLANTA</t>
  </si>
  <si>
    <t xml:space="preserve">ELEMENTO </t>
  </si>
  <si>
    <t xml:space="preserve">ENSAYES </t>
  </si>
  <si>
    <t>Au DLS / GR</t>
  </si>
  <si>
    <t>Ag DLS/ KG</t>
  </si>
  <si>
    <t>Au DLS / OZ</t>
  </si>
  <si>
    <t xml:space="preserve">Ag DLS / OZ </t>
  </si>
  <si>
    <t>PESO SECO KG</t>
  </si>
  <si>
    <t xml:space="preserve">COTIZACIONES </t>
  </si>
  <si>
    <t xml:space="preserve">HOJA DE LIQUIDACION </t>
  </si>
  <si>
    <t>TÉRMINOS 2026 PEÑOLES - CONCENTRADO DE PLOMO</t>
  </si>
  <si>
    <t>TÉRMINOS 2026 PEÑOLES - CONCENTRADO DE ZINC</t>
  </si>
  <si>
    <t>T</t>
  </si>
  <si>
    <t xml:space="preserve">HOJA DE LIQUIDACIÓN </t>
  </si>
  <si>
    <t>PROV570826</t>
  </si>
  <si>
    <t>A20260561</t>
  </si>
  <si>
    <t>PROV550826</t>
  </si>
  <si>
    <t>A20260560</t>
  </si>
  <si>
    <t>PROV540826</t>
  </si>
  <si>
    <t>A20260559</t>
  </si>
  <si>
    <t>PROV530826</t>
  </si>
  <si>
    <t>A20260558</t>
  </si>
  <si>
    <t>PROV520826</t>
  </si>
  <si>
    <t>A20260532</t>
  </si>
  <si>
    <t>PROV510826</t>
  </si>
  <si>
    <t>A20260531</t>
  </si>
  <si>
    <t>PROV500826</t>
  </si>
  <si>
    <t>A20260530</t>
  </si>
  <si>
    <t>PROV490826</t>
  </si>
  <si>
    <t>A20260529</t>
  </si>
  <si>
    <t>PROV480726</t>
  </si>
  <si>
    <t>A20260500</t>
  </si>
  <si>
    <t>PROV470726</t>
  </si>
  <si>
    <t>A20260499</t>
  </si>
  <si>
    <t>PROV460726</t>
  </si>
  <si>
    <t>A20260498</t>
  </si>
  <si>
    <t>PROV450726</t>
  </si>
  <si>
    <t>A20260497</t>
  </si>
  <si>
    <t>PROV440726</t>
  </si>
  <si>
    <t>A20260471</t>
  </si>
  <si>
    <t>PROV430726</t>
  </si>
  <si>
    <t>A20260470</t>
  </si>
  <si>
    <t>PROV420726</t>
  </si>
  <si>
    <t>A20260469</t>
  </si>
  <si>
    <t>PROV400626</t>
  </si>
  <si>
    <t>A20260445</t>
  </si>
  <si>
    <t>PROV390626</t>
  </si>
  <si>
    <t>A20260444</t>
  </si>
  <si>
    <t>PROV380626</t>
  </si>
  <si>
    <t>A20260430</t>
  </si>
  <si>
    <t>PROV370626</t>
  </si>
  <si>
    <t>A20260429</t>
  </si>
  <si>
    <t>PROV350626</t>
  </si>
  <si>
    <t>A20260401</t>
  </si>
  <si>
    <t>PROV340626</t>
  </si>
  <si>
    <t>A20260400</t>
  </si>
  <si>
    <t>PROV300526</t>
  </si>
  <si>
    <t>A20260338</t>
  </si>
  <si>
    <t>38</t>
  </si>
  <si>
    <t>PROV290526</t>
  </si>
  <si>
    <t>A20260337</t>
  </si>
  <si>
    <t>37</t>
  </si>
  <si>
    <t>PROV280526</t>
  </si>
  <si>
    <t>A20260336</t>
  </si>
  <si>
    <t>36</t>
  </si>
  <si>
    <t>PROV270526</t>
  </si>
  <si>
    <t>A20260312</t>
  </si>
  <si>
    <t>35</t>
  </si>
  <si>
    <t>PROV260526</t>
  </si>
  <si>
    <t>A20260311</t>
  </si>
  <si>
    <t>34</t>
  </si>
  <si>
    <t>PROV250526</t>
  </si>
  <si>
    <t>A20260310</t>
  </si>
  <si>
    <t>33</t>
  </si>
  <si>
    <t>PROV240426</t>
  </si>
  <si>
    <t>A20260291</t>
  </si>
  <si>
    <t>32</t>
  </si>
  <si>
    <t>PROV230426</t>
  </si>
  <si>
    <t>A20260290</t>
  </si>
  <si>
    <t>31</t>
  </si>
  <si>
    <t>PROV220426</t>
  </si>
  <si>
    <t>A20260289</t>
  </si>
  <si>
    <t>28</t>
  </si>
  <si>
    <t>PROV210426</t>
  </si>
  <si>
    <t>A20260277</t>
  </si>
  <si>
    <t>30</t>
  </si>
  <si>
    <t>PROV200426</t>
  </si>
  <si>
    <t>A20260276</t>
  </si>
  <si>
    <t>PROV190426</t>
  </si>
  <si>
    <t>A20260275</t>
  </si>
  <si>
    <t>27</t>
  </si>
  <si>
    <t>PROV180426</t>
  </si>
  <si>
    <t>A20260274</t>
  </si>
  <si>
    <t>26</t>
  </si>
  <si>
    <t>PROV150326</t>
  </si>
  <si>
    <t>A20260225</t>
  </si>
  <si>
    <t>25</t>
  </si>
  <si>
    <t>PROV140326</t>
  </si>
  <si>
    <t>A20260224</t>
  </si>
  <si>
    <t>24</t>
  </si>
  <si>
    <t>PROV130326</t>
  </si>
  <si>
    <t>A20260223</t>
  </si>
  <si>
    <t>23</t>
  </si>
  <si>
    <t>PROV120326</t>
  </si>
  <si>
    <t>A20260194</t>
  </si>
  <si>
    <t>PROV110326</t>
  </si>
  <si>
    <t>A20260193</t>
  </si>
  <si>
    <t>21</t>
  </si>
  <si>
    <t>Con valores testigo las diferencias aumentan en ambos elementos Au-Ag</t>
  </si>
  <si>
    <t>PROV100326</t>
  </si>
  <si>
    <t>A20260192</t>
  </si>
  <si>
    <t>20</t>
  </si>
  <si>
    <t>PROV090326</t>
  </si>
  <si>
    <t>A20260178</t>
  </si>
  <si>
    <t>19</t>
  </si>
  <si>
    <t>PROV080326</t>
  </si>
  <si>
    <t>A20260177</t>
  </si>
  <si>
    <t>18</t>
  </si>
  <si>
    <t>PROV070326</t>
  </si>
  <si>
    <t>A20260176</t>
  </si>
  <si>
    <t>17</t>
  </si>
  <si>
    <t xml:space="preserve">Con valores testigo, la diferencia aumenta en el Au y en la Ag se reduce un poco </t>
  </si>
  <si>
    <t>PROV060226</t>
  </si>
  <si>
    <t>A20260148</t>
  </si>
  <si>
    <t>16</t>
  </si>
  <si>
    <t>PROV050226</t>
  </si>
  <si>
    <t>A20260147</t>
  </si>
  <si>
    <t>15</t>
  </si>
  <si>
    <t>Con valores testigo auemntan las diferencias en ambos elementos Au-Ag</t>
  </si>
  <si>
    <t>PROV040226</t>
  </si>
  <si>
    <t>A20260141</t>
  </si>
  <si>
    <t>14</t>
  </si>
  <si>
    <t xml:space="preserve">Con valores testigo se reduce la diferencia en el Au, y en la Ag aumenta a favor </t>
  </si>
  <si>
    <t>PROV030226</t>
  </si>
  <si>
    <t>A20260140</t>
  </si>
  <si>
    <t>13</t>
  </si>
  <si>
    <t>PROV020226</t>
  </si>
  <si>
    <t>A20260139</t>
  </si>
  <si>
    <t>12</t>
  </si>
  <si>
    <t>PROV010226</t>
  </si>
  <si>
    <t>A20260115</t>
  </si>
  <si>
    <t>11</t>
  </si>
  <si>
    <t>PROV100126</t>
  </si>
  <si>
    <t>A20260114</t>
  </si>
  <si>
    <t>10</t>
  </si>
  <si>
    <t>PROV090126</t>
  </si>
  <si>
    <t>A20260113</t>
  </si>
  <si>
    <t>09</t>
  </si>
  <si>
    <t xml:space="preserve">Con valores tesitigo, se siguen manteniendo las diferencias a favor en ambos elementos </t>
  </si>
  <si>
    <t>PROV080126</t>
  </si>
  <si>
    <t>A20260055</t>
  </si>
  <si>
    <t>08</t>
  </si>
  <si>
    <t>PROV070126</t>
  </si>
  <si>
    <t>A20260054</t>
  </si>
  <si>
    <t>07</t>
  </si>
  <si>
    <t>PROV060126</t>
  </si>
  <si>
    <t>A20260053</t>
  </si>
  <si>
    <t>06</t>
  </si>
  <si>
    <t>Con valores tesitigo, se cierran las diferencias en ambos elementos (Au-Ag)</t>
  </si>
  <si>
    <t>PROV050126</t>
  </si>
  <si>
    <t>A20260052</t>
  </si>
  <si>
    <t>05</t>
  </si>
  <si>
    <t>PROV040126</t>
  </si>
  <si>
    <t>A20260024</t>
  </si>
  <si>
    <t>04</t>
  </si>
  <si>
    <t>PROV030126</t>
  </si>
  <si>
    <t>A20260023</t>
  </si>
  <si>
    <t>03</t>
  </si>
  <si>
    <t xml:space="preserve">Con valores testigo se aumenta las diferencias en ambos elementos (Au-Ag) de forma negativa </t>
  </si>
  <si>
    <t>PROV020126</t>
  </si>
  <si>
    <t>A20260022</t>
  </si>
  <si>
    <t>02</t>
  </si>
  <si>
    <t>Los valores testigo de ambos elementos son muy similares, solo en el caso de la Ag, se reduce un poco la diferencia.</t>
  </si>
  <si>
    <t>PROV010126</t>
  </si>
  <si>
    <t>A20260021</t>
  </si>
  <si>
    <t>01</t>
  </si>
  <si>
    <t>Dif %</t>
  </si>
  <si>
    <t>Dif</t>
  </si>
  <si>
    <t>MMP</t>
  </si>
  <si>
    <t>MINA</t>
  </si>
  <si>
    <t>PROVISIONAL</t>
  </si>
  <si>
    <t>FECHA CIERRE</t>
  </si>
  <si>
    <t xml:space="preserve">OBSERVACIONES </t>
  </si>
  <si>
    <t>Cont PLATA Kg</t>
  </si>
  <si>
    <t>Ensaye PLATA gr/Ton</t>
  </si>
  <si>
    <t>Cont ORO Kg</t>
  </si>
  <si>
    <t>Ensaye ORO gr/Ton</t>
  </si>
  <si>
    <t>NO. DE LOTE</t>
  </si>
  <si>
    <t>FECHA</t>
  </si>
  <si>
    <t xml:space="preserve">Envío de sobre platado al Lab. Fresnillo </t>
  </si>
  <si>
    <t>Lotes liquidados</t>
  </si>
  <si>
    <t>Liberados, sin liquidar</t>
  </si>
  <si>
    <t xml:space="preserve">Solicitud de remuestreo, en espera de resultados </t>
  </si>
  <si>
    <t>COMPARATIVO DE ENSAYES ORO Y PLATA AÑO 2026</t>
  </si>
  <si>
    <t>Revisión, en espera de resultados</t>
  </si>
  <si>
    <t xml:space="preserve">PRECIPITADO DE PLATA </t>
  </si>
  <si>
    <t>Enviado a la GAC</t>
  </si>
  <si>
    <t>MINERA SAUCITO</t>
  </si>
  <si>
    <t>PDF ENSAYES MET-MEX</t>
  </si>
  <si>
    <t>A20260516</t>
  </si>
  <si>
    <t xml:space="preserve"> 07/08/2026</t>
  </si>
  <si>
    <t>A20260515</t>
  </si>
  <si>
    <t>A20260514</t>
  </si>
  <si>
    <t>A20260513</t>
  </si>
  <si>
    <t>A20260510</t>
  </si>
  <si>
    <t>A20260509</t>
  </si>
  <si>
    <t>A20260508</t>
  </si>
  <si>
    <t>A20260493</t>
  </si>
  <si>
    <t>A20260492</t>
  </si>
  <si>
    <t>A20260491</t>
  </si>
  <si>
    <t>A20260490</t>
  </si>
  <si>
    <t>A20260476</t>
  </si>
  <si>
    <t>A20260475</t>
  </si>
  <si>
    <t>A20260474</t>
  </si>
  <si>
    <t>A20260473</t>
  </si>
  <si>
    <t>A20260460</t>
  </si>
  <si>
    <t>A20260459</t>
  </si>
  <si>
    <t>A20260458</t>
  </si>
  <si>
    <t>A20260457</t>
  </si>
  <si>
    <t>A20260449</t>
  </si>
  <si>
    <t xml:space="preserve">No se presentan diferencias significativas </t>
  </si>
  <si>
    <t>A20260448</t>
  </si>
  <si>
    <t xml:space="preserve">Se  solicita remustreo, ya que los valores de ambos elemntos estan  cruzados con otro lote </t>
  </si>
  <si>
    <t>A20260447</t>
  </si>
  <si>
    <t>A20260446</t>
  </si>
  <si>
    <t>A20260438</t>
  </si>
  <si>
    <t>A20260437</t>
  </si>
  <si>
    <t>A20260436</t>
  </si>
  <si>
    <t>A20260435</t>
  </si>
  <si>
    <t>A20260427</t>
  </si>
  <si>
    <t>A20260426</t>
  </si>
  <si>
    <t>A20260425</t>
  </si>
  <si>
    <t>A20260420</t>
  </si>
  <si>
    <t>A20260419</t>
  </si>
  <si>
    <t>A20260418</t>
  </si>
  <si>
    <t>A20260417</t>
  </si>
  <si>
    <t>A20260391</t>
  </si>
  <si>
    <t>A20260390</t>
  </si>
  <si>
    <t>A20260389</t>
  </si>
  <si>
    <t>A20260388</t>
  </si>
  <si>
    <t>A20260373</t>
  </si>
  <si>
    <t>72</t>
  </si>
  <si>
    <t>A20260372</t>
  </si>
  <si>
    <t>71</t>
  </si>
  <si>
    <t>A20260371</t>
  </si>
  <si>
    <t>70</t>
  </si>
  <si>
    <t>A20260370</t>
  </si>
  <si>
    <t>69</t>
  </si>
  <si>
    <t>A20260361</t>
  </si>
  <si>
    <t>68</t>
  </si>
  <si>
    <t>A20260360</t>
  </si>
  <si>
    <t>67</t>
  </si>
  <si>
    <t>A20260343</t>
  </si>
  <si>
    <t>66</t>
  </si>
  <si>
    <t>A20260342</t>
  </si>
  <si>
    <t>65</t>
  </si>
  <si>
    <t>A20260341</t>
  </si>
  <si>
    <t>64</t>
  </si>
  <si>
    <t>A20260340</t>
  </si>
  <si>
    <t>63</t>
  </si>
  <si>
    <t>A20260326</t>
  </si>
  <si>
    <t>62</t>
  </si>
  <si>
    <t>A20260325</t>
  </si>
  <si>
    <t>61</t>
  </si>
  <si>
    <t>A20260324</t>
  </si>
  <si>
    <t>60</t>
  </si>
  <si>
    <t>A20260323</t>
  </si>
  <si>
    <t>59</t>
  </si>
  <si>
    <t>A20260301</t>
  </si>
  <si>
    <t>58</t>
  </si>
  <si>
    <t>A20260300</t>
  </si>
  <si>
    <t>57</t>
  </si>
  <si>
    <t>A20260299</t>
  </si>
  <si>
    <t>56</t>
  </si>
  <si>
    <t>A20260298</t>
  </si>
  <si>
    <t>55</t>
  </si>
  <si>
    <t>A20260286</t>
  </si>
  <si>
    <t>54</t>
  </si>
  <si>
    <t>A20260285</t>
  </si>
  <si>
    <t>53</t>
  </si>
  <si>
    <t>A20260284</t>
  </si>
  <si>
    <t>52</t>
  </si>
  <si>
    <t>A20260252</t>
  </si>
  <si>
    <t>51</t>
  </si>
  <si>
    <t>A20260251</t>
  </si>
  <si>
    <t>50</t>
  </si>
  <si>
    <t>A20260250</t>
  </si>
  <si>
    <t>49</t>
  </si>
  <si>
    <t>A20260249</t>
  </si>
  <si>
    <t>48</t>
  </si>
  <si>
    <t>A20260229</t>
  </si>
  <si>
    <t>47</t>
  </si>
  <si>
    <t>A20260228</t>
  </si>
  <si>
    <t>46</t>
  </si>
  <si>
    <t xml:space="preserve">Se solicita remuestro </t>
  </si>
  <si>
    <t>A20260227</t>
  </si>
  <si>
    <t>45</t>
  </si>
  <si>
    <t>A20260226</t>
  </si>
  <si>
    <t>44</t>
  </si>
  <si>
    <t>A20260212</t>
  </si>
  <si>
    <t>43</t>
  </si>
  <si>
    <t>A20260211</t>
  </si>
  <si>
    <t>42</t>
  </si>
  <si>
    <t>A20260210</t>
  </si>
  <si>
    <t>41</t>
  </si>
  <si>
    <t>A20260209</t>
  </si>
  <si>
    <t>40</t>
  </si>
  <si>
    <t>A20260184</t>
  </si>
  <si>
    <t>39</t>
  </si>
  <si>
    <t>A20260183</t>
  </si>
  <si>
    <t>A20260182</t>
  </si>
  <si>
    <t xml:space="preserve">Con valores testigo, en ambos elementos (Au-Ag) se cierran las diferencias </t>
  </si>
  <si>
    <t>A20260171</t>
  </si>
  <si>
    <t>A20260170</t>
  </si>
  <si>
    <t>Con valores del 1-Rem. Se reducen las diferencias entre ambos elementos de (Au-Ag)</t>
  </si>
  <si>
    <t>A20260169</t>
  </si>
  <si>
    <t>A20260153</t>
  </si>
  <si>
    <t>A20260152</t>
  </si>
  <si>
    <t>Con valores testigo se siguen manteniendo las diferencias para ambos elementos (Au-Ag)</t>
  </si>
  <si>
    <t>A20260151</t>
  </si>
  <si>
    <t>A20260134</t>
  </si>
  <si>
    <t>A20260133</t>
  </si>
  <si>
    <t>29</t>
  </si>
  <si>
    <t>A20260132</t>
  </si>
  <si>
    <t>A20260119</t>
  </si>
  <si>
    <t>A20260118</t>
  </si>
  <si>
    <t>A20260117</t>
  </si>
  <si>
    <t xml:space="preserve">Con valores del 1-Remuestreo se obtiene a favor en el Au y en contra la Ag </t>
  </si>
  <si>
    <t>A20260102</t>
  </si>
  <si>
    <t xml:space="preserve">Con valores del 1-Rem. Se reducen las diferencias en la Ag, sin embargo en el Au aumento </t>
  </si>
  <si>
    <t>A20260101</t>
  </si>
  <si>
    <t>A20260100</t>
  </si>
  <si>
    <t>22</t>
  </si>
  <si>
    <t>Con valores del 1-Rem. Se reduce muy poco  las diferencias entre ambos elementos de (Au-Ag)</t>
  </si>
  <si>
    <t>A20260091</t>
  </si>
  <si>
    <t>A20260090</t>
  </si>
  <si>
    <t>A20260089</t>
  </si>
  <si>
    <t>A20260074</t>
  </si>
  <si>
    <t>A20260073</t>
  </si>
  <si>
    <t>A20260072</t>
  </si>
  <si>
    <t>A20260061</t>
  </si>
  <si>
    <t>A20260060</t>
  </si>
  <si>
    <t>A20260059</t>
  </si>
  <si>
    <t>A20260043</t>
  </si>
  <si>
    <t>A20260042</t>
  </si>
  <si>
    <t xml:space="preserve">Con valores del 1-Rem. Se reducen las diferencias en el Au, dejando un poco abierta la diferencia en la Ag </t>
  </si>
  <si>
    <t>A20260041</t>
  </si>
  <si>
    <t>A20260037</t>
  </si>
  <si>
    <t>A20260036</t>
  </si>
  <si>
    <t>A20260035</t>
  </si>
  <si>
    <t>A20260033</t>
  </si>
  <si>
    <t>A20260032</t>
  </si>
  <si>
    <t>A20260031</t>
  </si>
  <si>
    <t>A20260005</t>
  </si>
  <si>
    <t>A20260004</t>
  </si>
  <si>
    <t>A20260003</t>
  </si>
  <si>
    <t>CIERRE</t>
  </si>
  <si>
    <t>Liberados por la GAC y sin liquidar</t>
  </si>
  <si>
    <t>Solicitud de remuestreo, en espera de resultados por MMP</t>
  </si>
  <si>
    <t xml:space="preserve">Revision, en espera de resultados de mina </t>
  </si>
  <si>
    <t>Se envia a la GAC</t>
  </si>
  <si>
    <t>Sobres plateados (enviados al Lab de mina)</t>
  </si>
  <si>
    <t>SAN JULIÁN VETAS</t>
  </si>
  <si>
    <t xml:space="preserve">ENVIO DE LOTES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</si>
</sst>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  <numFmt numFmtId="165" formatCode="_-&quot;$&quot;* #,##0.00000_-;\-&quot;$&quot;* #,##0.00000_-;_-&quot;$&quot;* &quot;-&quot;??_-;_-@_-"/>
    <numFmt numFmtId="166" formatCode="0.0000"/>
    <numFmt numFmtId="167" formatCode="_-&quot;$&quot;* #,##0.000_-;\-&quot;$&quot;* #,##0.000_-;_-&quot;$&quot;* &quot;-&quot;??_-;_-@_-"/>
    <numFmt numFmtId="168" formatCode="#,##0.0000000"/>
    <numFmt numFmtId="169" formatCode="#,##0.00000"/>
    <numFmt numFmtId="170" formatCode="0.000000"/>
    <numFmt numFmtId="171" formatCode="#,##0.000"/>
    <numFmt numFmtId="172" formatCode="0.0%"/>
    <numFmt numFmtId="173" formatCode="#,##0.0_)\ ;[Red]\(#,##0.0\)\ "/>
    <numFmt numFmtId="174" formatCode="_-* #,##0.0_-;\-* #,##0.0_-;_-* &quot;-&quot;??_-;_-@_-"/>
    <numFmt numFmtId="175" formatCode="#,##0_)\ ;[Red]\(#,##0\)\ "/>
    <numFmt numFmtId="176" formatCode="_-* #,##0_-;\-* #,##0_-;_-* &quot;-&quot;??_-;_-@_-"/>
    <numFmt numFmtId="177" formatCode="#,##0.000_)\ ;[Red]\(#,##0.000\)\ "/>
    <numFmt numFmtId="178" formatCode="_-* #,##0.000_-;\-* #,##0.000_-;_-* &quot;-&quot;??_-;_-@_-"/>
    <numFmt numFmtId="179" formatCode="0.0000000000"/>
    <numFmt numFmtId="180" formatCode="dd/mm/yyyy;@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12"/>
      <name val="Arial"/>
      <family val="2"/>
    </font>
    <font>
      <sz val="8"/>
      <color indexed="8"/>
      <name val="Arial Narrow"/>
      <family val="2"/>
    </font>
    <font>
      <b/>
      <sz val="7.5"/>
      <name val="Small Fonts"/>
      <family val="2"/>
    </font>
    <font>
      <b/>
      <sz val="7.5"/>
      <color indexed="8"/>
      <name val="Small Fonts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2"/>
      <color indexed="8"/>
      <name val="Calibri"/>
      <family val="2"/>
    </font>
    <font>
      <b/>
      <sz val="18"/>
      <name val="Arial Black"/>
      <family val="2"/>
    </font>
    <font>
      <b/>
      <sz val="14"/>
      <name val="Arial"/>
      <family val="2"/>
    </font>
    <font>
      <b/>
      <sz val="2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Arial"/>
      <family val="2"/>
    </font>
    <font>
      <sz val="16"/>
      <color indexed="8"/>
      <name val="Calibri"/>
      <family val="2"/>
    </font>
    <font>
      <sz val="12"/>
      <name val="Arial"/>
      <family val="2"/>
    </font>
    <font>
      <sz val="14"/>
      <name val="Arial"/>
      <family val="2"/>
    </font>
    <font>
      <sz val="22"/>
      <color indexed="8"/>
      <name val="Calibri"/>
      <family val="2"/>
    </font>
    <font>
      <b/>
      <sz val="16"/>
      <name val="Arial"/>
      <family val="2"/>
    </font>
    <font>
      <b/>
      <u/>
      <sz val="11"/>
      <color indexed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</cellStyleXfs>
  <cellXfs count="216">
    <xf numFmtId="0" fontId="0" fillId="0" borderId="0" xfId="0"/>
    <xf numFmtId="44" fontId="2" fillId="2" borderId="1" xfId="0" applyNumberFormat="1" applyFont="1" applyFill="1" applyBorder="1"/>
    <xf numFmtId="44" fontId="2" fillId="0" borderId="0" xfId="0" applyNumberFormat="1" applyFont="1"/>
    <xf numFmtId="44" fontId="2" fillId="3" borderId="1" xfId="0" applyNumberFormat="1" applyFont="1" applyFill="1" applyBorder="1"/>
    <xf numFmtId="0" fontId="0" fillId="0" borderId="1" xfId="0" applyBorder="1"/>
    <xf numFmtId="44" fontId="0" fillId="0" borderId="1" xfId="1" applyFont="1" applyBorder="1"/>
    <xf numFmtId="0" fontId="0" fillId="4" borderId="1" xfId="0" applyFill="1" applyBorder="1"/>
    <xf numFmtId="0" fontId="2" fillId="0" borderId="1" xfId="0" applyFont="1" applyBorder="1"/>
    <xf numFmtId="44" fontId="0" fillId="0" borderId="0" xfId="1" applyFont="1" applyFill="1" applyBorder="1"/>
    <xf numFmtId="164" fontId="0" fillId="4" borderId="1" xfId="0" applyNumberFormat="1" applyFill="1" applyBorder="1"/>
    <xf numFmtId="0" fontId="0" fillId="5" borderId="1" xfId="0" applyFill="1" applyBorder="1"/>
    <xf numFmtId="0" fontId="2" fillId="0" borderId="0" xfId="0" applyFont="1"/>
    <xf numFmtId="165" fontId="0" fillId="0" borderId="1" xfId="1" applyNumberFormat="1" applyFont="1" applyBorder="1"/>
    <xf numFmtId="44" fontId="0" fillId="0" borderId="1" xfId="0" applyNumberFormat="1" applyBorder="1"/>
    <xf numFmtId="44" fontId="0" fillId="0" borderId="0" xfId="0" applyNumberFormat="1"/>
    <xf numFmtId="0" fontId="0" fillId="0" borderId="1" xfId="0" quotePrefix="1" applyBorder="1"/>
    <xf numFmtId="166" fontId="0" fillId="0" borderId="1" xfId="0" applyNumberFormat="1" applyBorder="1"/>
    <xf numFmtId="0" fontId="0" fillId="4" borderId="0" xfId="0" applyFill="1"/>
    <xf numFmtId="167" fontId="0" fillId="0" borderId="0" xfId="1" applyNumberFormat="1" applyFont="1" applyBorder="1"/>
    <xf numFmtId="0" fontId="0" fillId="6" borderId="0" xfId="0" applyFill="1"/>
    <xf numFmtId="167" fontId="0" fillId="4" borderId="1" xfId="1" applyNumberFormat="1" applyFont="1" applyFill="1" applyBorder="1"/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/>
    <xf numFmtId="168" fontId="0" fillId="0" borderId="0" xfId="0" applyNumberFormat="1"/>
    <xf numFmtId="4" fontId="0" fillId="0" borderId="0" xfId="0" applyNumberFormat="1"/>
    <xf numFmtId="164" fontId="0" fillId="4" borderId="0" xfId="0" applyNumberFormat="1" applyFill="1"/>
    <xf numFmtId="170" fontId="0" fillId="0" borderId="1" xfId="0" applyNumberFormat="1" applyBorder="1"/>
    <xf numFmtId="169" fontId="0" fillId="0" borderId="1" xfId="0" applyNumberFormat="1" applyBorder="1"/>
    <xf numFmtId="171" fontId="0" fillId="0" borderId="1" xfId="0" applyNumberFormat="1" applyBorder="1"/>
    <xf numFmtId="4" fontId="0" fillId="0" borderId="1" xfId="0" applyNumberFormat="1" applyBorder="1"/>
    <xf numFmtId="0" fontId="5" fillId="0" borderId="0" xfId="2" applyAlignment="1">
      <alignment vertical="center"/>
    </xf>
    <xf numFmtId="0" fontId="5" fillId="7" borderId="0" xfId="2" applyFill="1" applyAlignment="1">
      <alignment vertical="center"/>
    </xf>
    <xf numFmtId="0" fontId="5" fillId="0" borderId="0" xfId="2" applyAlignment="1">
      <alignment horizontal="center" vertical="center"/>
    </xf>
    <xf numFmtId="0" fontId="6" fillId="0" borderId="0" xfId="2" applyFont="1" applyAlignment="1">
      <alignment vertical="center"/>
    </xf>
    <xf numFmtId="172" fontId="7" fillId="8" borderId="5" xfId="2" applyNumberFormat="1" applyFont="1" applyFill="1" applyBorder="1" applyAlignment="1" applyProtection="1">
      <alignment vertical="center"/>
      <protection locked="0"/>
    </xf>
    <xf numFmtId="173" fontId="7" fillId="0" borderId="0" xfId="2" applyNumberFormat="1" applyFont="1" applyAlignment="1" applyProtection="1">
      <alignment vertical="center"/>
      <protection locked="0"/>
    </xf>
    <xf numFmtId="174" fontId="8" fillId="0" borderId="0" xfId="3" applyNumberFormat="1" applyFont="1" applyFill="1" applyBorder="1" applyAlignment="1">
      <alignment horizontal="center" vertical="center"/>
    </xf>
    <xf numFmtId="174" fontId="8" fillId="0" borderId="6" xfId="3" applyNumberFormat="1" applyFont="1" applyFill="1" applyBorder="1" applyAlignment="1">
      <alignment horizontal="center" vertical="center"/>
    </xf>
    <xf numFmtId="175" fontId="7" fillId="0" borderId="0" xfId="2" applyNumberFormat="1" applyFont="1" applyAlignment="1" applyProtection="1">
      <alignment vertical="center"/>
      <protection locked="0"/>
    </xf>
    <xf numFmtId="176" fontId="9" fillId="0" borderId="0" xfId="3" applyNumberFormat="1" applyFont="1" applyFill="1" applyBorder="1" applyAlignment="1">
      <alignment horizontal="center" vertical="center"/>
    </xf>
    <xf numFmtId="177" fontId="7" fillId="0" borderId="0" xfId="2" applyNumberFormat="1" applyFont="1" applyAlignment="1" applyProtection="1">
      <alignment vertical="center"/>
      <protection locked="0"/>
    </xf>
    <xf numFmtId="178" fontId="8" fillId="0" borderId="0" xfId="3" applyNumberFormat="1" applyFont="1" applyFill="1" applyBorder="1" applyAlignment="1">
      <alignment horizontal="center" vertical="center"/>
    </xf>
    <xf numFmtId="178" fontId="8" fillId="0" borderId="6" xfId="3" applyNumberFormat="1" applyFont="1" applyFill="1" applyBorder="1" applyAlignment="1">
      <alignment horizontal="center" vertical="center"/>
    </xf>
    <xf numFmtId="172" fontId="7" fillId="8" borderId="0" xfId="2" applyNumberFormat="1" applyFont="1" applyFill="1" applyAlignment="1" applyProtection="1">
      <alignment vertical="center"/>
      <protection locked="0"/>
    </xf>
    <xf numFmtId="176" fontId="9" fillId="0" borderId="6" xfId="3" applyNumberFormat="1" applyFont="1" applyFill="1" applyBorder="1" applyAlignment="1">
      <alignment horizontal="center" vertical="center"/>
    </xf>
    <xf numFmtId="171" fontId="9" fillId="0" borderId="0" xfId="2" applyNumberFormat="1" applyFont="1" applyAlignment="1">
      <alignment vertical="center"/>
    </xf>
    <xf numFmtId="0" fontId="5" fillId="0" borderId="5" xfId="2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14" fontId="8" fillId="0" borderId="7" xfId="2" quotePrefix="1" applyNumberFormat="1" applyFont="1" applyBorder="1" applyAlignment="1">
      <alignment horizontal="center" vertical="center"/>
    </xf>
    <xf numFmtId="0" fontId="5" fillId="0" borderId="7" xfId="2" applyBorder="1" applyAlignment="1">
      <alignment horizontal="center" vertical="center"/>
    </xf>
    <xf numFmtId="14" fontId="7" fillId="0" borderId="7" xfId="2" quotePrefix="1" applyNumberFormat="1" applyFont="1" applyBorder="1" applyAlignment="1">
      <alignment horizontal="center" vertical="center"/>
    </xf>
    <xf numFmtId="14" fontId="7" fillId="0" borderId="5" xfId="2" quotePrefix="1" applyNumberFormat="1" applyFont="1" applyBorder="1" applyAlignment="1">
      <alignment horizontal="center" vertical="center"/>
    </xf>
    <xf numFmtId="175" fontId="7" fillId="9" borderId="0" xfId="2" applyNumberFormat="1" applyFont="1" applyFill="1" applyAlignment="1" applyProtection="1">
      <alignment vertical="center"/>
      <protection locked="0"/>
    </xf>
    <xf numFmtId="176" fontId="9" fillId="9" borderId="0" xfId="3" applyNumberFormat="1" applyFont="1" applyFill="1" applyBorder="1" applyAlignment="1">
      <alignment horizontal="center" vertical="center"/>
    </xf>
    <xf numFmtId="176" fontId="9" fillId="9" borderId="6" xfId="3" applyNumberFormat="1" applyFont="1" applyFill="1" applyBorder="1" applyAlignment="1">
      <alignment horizontal="center" vertical="center"/>
    </xf>
    <xf numFmtId="173" fontId="7" fillId="9" borderId="0" xfId="2" applyNumberFormat="1" applyFont="1" applyFill="1" applyAlignment="1" applyProtection="1">
      <alignment vertical="center"/>
      <protection locked="0"/>
    </xf>
    <xf numFmtId="171" fontId="9" fillId="9" borderId="0" xfId="2" applyNumberFormat="1" applyFont="1" applyFill="1" applyAlignment="1">
      <alignment vertical="center"/>
    </xf>
    <xf numFmtId="14" fontId="7" fillId="9" borderId="7" xfId="2" quotePrefix="1" applyNumberFormat="1" applyFont="1" applyFill="1" applyBorder="1" applyAlignment="1">
      <alignment horizontal="center" vertical="center"/>
    </xf>
    <xf numFmtId="14" fontId="7" fillId="9" borderId="5" xfId="2" quotePrefix="1" applyNumberFormat="1" applyFont="1" applyFill="1" applyBorder="1" applyAlignment="1">
      <alignment horizontal="center" vertical="center"/>
    </xf>
    <xf numFmtId="0" fontId="7" fillId="9" borderId="7" xfId="2" applyFont="1" applyFill="1" applyBorder="1" applyAlignment="1">
      <alignment horizontal="center" vertical="center"/>
    </xf>
    <xf numFmtId="175" fontId="7" fillId="7" borderId="0" xfId="2" applyNumberFormat="1" applyFont="1" applyFill="1" applyAlignment="1" applyProtection="1">
      <alignment vertical="center"/>
      <protection locked="0"/>
    </xf>
    <xf numFmtId="176" fontId="9" fillId="7" borderId="0" xfId="3" applyNumberFormat="1" applyFont="1" applyFill="1" applyBorder="1" applyAlignment="1">
      <alignment horizontal="center" vertical="center"/>
    </xf>
    <xf numFmtId="176" fontId="9" fillId="7" borderId="6" xfId="3" applyNumberFormat="1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 vertical="center"/>
    </xf>
    <xf numFmtId="0" fontId="7" fillId="10" borderId="7" xfId="2" applyFont="1" applyFill="1" applyBorder="1" applyAlignment="1">
      <alignment horizontal="center" vertical="center"/>
    </xf>
    <xf numFmtId="0" fontId="7" fillId="10" borderId="0" xfId="2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4" fontId="8" fillId="6" borderId="7" xfId="2" quotePrefix="1" applyNumberFormat="1" applyFont="1" applyFill="1" applyBorder="1" applyAlignment="1">
      <alignment horizontal="center" vertical="center"/>
    </xf>
    <xf numFmtId="0" fontId="7" fillId="10" borderId="8" xfId="2" applyFont="1" applyFill="1" applyBorder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43" fontId="5" fillId="0" borderId="0" xfId="2" applyNumberFormat="1" applyAlignment="1">
      <alignment vertical="center"/>
    </xf>
    <xf numFmtId="171" fontId="9" fillId="0" borderId="9" xfId="2" applyNumberFormat="1" applyFont="1" applyBorder="1" applyAlignment="1">
      <alignment vertical="center"/>
    </xf>
    <xf numFmtId="14" fontId="7" fillId="0" borderId="10" xfId="2" quotePrefix="1" applyNumberFormat="1" applyFont="1" applyBorder="1" applyAlignment="1">
      <alignment horizontal="center" vertical="center"/>
    </xf>
    <xf numFmtId="14" fontId="8" fillId="6" borderId="10" xfId="2" quotePrefix="1" applyNumberFormat="1" applyFont="1" applyFill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2" fillId="8" borderId="2" xfId="2" applyFont="1" applyFill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8" borderId="1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5" fillId="9" borderId="2" xfId="2" applyFill="1" applyBorder="1" applyAlignment="1">
      <alignment horizontal="centerContinuous" vertical="center"/>
    </xf>
    <xf numFmtId="0" fontId="12" fillId="9" borderId="11" xfId="2" applyFont="1" applyFill="1" applyBorder="1" applyAlignment="1">
      <alignment horizontal="centerContinuous" vertical="center"/>
    </xf>
    <xf numFmtId="0" fontId="5" fillId="9" borderId="11" xfId="2" applyFill="1" applyBorder="1" applyAlignment="1">
      <alignment horizontal="centerContinuous" vertical="center"/>
    </xf>
    <xf numFmtId="0" fontId="11" fillId="9" borderId="3" xfId="2" applyFont="1" applyFill="1" applyBorder="1" applyAlignment="1">
      <alignment horizontal="centerContinuous" vertical="center"/>
    </xf>
    <xf numFmtId="0" fontId="12" fillId="9" borderId="3" xfId="2" applyFont="1" applyFill="1" applyBorder="1" applyAlignment="1">
      <alignment horizontal="centerContinuous" vertical="center"/>
    </xf>
    <xf numFmtId="0" fontId="12" fillId="12" borderId="2" xfId="2" applyFont="1" applyFill="1" applyBorder="1" applyAlignment="1">
      <alignment horizontal="centerContinuous" vertical="center"/>
    </xf>
    <xf numFmtId="0" fontId="12" fillId="12" borderId="11" xfId="2" applyFont="1" applyFill="1" applyBorder="1" applyAlignment="1">
      <alignment horizontal="centerContinuous" vertical="center"/>
    </xf>
    <xf numFmtId="0" fontId="5" fillId="13" borderId="11" xfId="2" applyFill="1" applyBorder="1" applyAlignment="1">
      <alignment horizontal="centerContinuous" vertical="center"/>
    </xf>
    <xf numFmtId="0" fontId="11" fillId="12" borderId="3" xfId="2" applyFont="1" applyFill="1" applyBorder="1" applyAlignment="1">
      <alignment horizontal="centerContinuous" vertical="center"/>
    </xf>
    <xf numFmtId="0" fontId="12" fillId="12" borderId="3" xfId="2" applyFont="1" applyFill="1" applyBorder="1" applyAlignment="1">
      <alignment horizontal="centerContinuous" vertical="center"/>
    </xf>
    <xf numFmtId="0" fontId="11" fillId="12" borderId="9" xfId="2" applyFont="1" applyFill="1" applyBorder="1" applyAlignment="1">
      <alignment horizontal="centerContinuous" vertical="center"/>
    </xf>
    <xf numFmtId="0" fontId="12" fillId="12" borderId="13" xfId="2" applyFont="1" applyFill="1" applyBorder="1" applyAlignment="1">
      <alignment horizontal="centerContinuous" vertical="center"/>
    </xf>
    <xf numFmtId="0" fontId="12" fillId="0" borderId="10" xfId="2" applyFont="1" applyBorder="1" applyAlignment="1">
      <alignment horizontal="center" vertical="center"/>
    </xf>
    <xf numFmtId="0" fontId="5" fillId="0" borderId="0" xfId="2" applyAlignment="1">
      <alignment horizontal="centerContinuous" vertical="center"/>
    </xf>
    <xf numFmtId="0" fontId="5" fillId="0" borderId="0" xfId="2"/>
    <xf numFmtId="0" fontId="5" fillId="14" borderId="0" xfId="2" applyFill="1" applyAlignment="1">
      <alignment horizontal="centerContinuous" vertical="center"/>
    </xf>
    <xf numFmtId="0" fontId="13" fillId="14" borderId="0" xfId="2" applyFont="1" applyFill="1" applyAlignment="1">
      <alignment horizontal="centerContinuous" vertical="center"/>
    </xf>
    <xf numFmtId="0" fontId="13" fillId="14" borderId="4" xfId="2" applyFont="1" applyFill="1" applyBorder="1" applyAlignment="1">
      <alignment vertical="center"/>
    </xf>
    <xf numFmtId="164" fontId="5" fillId="0" borderId="0" xfId="2" applyNumberFormat="1" applyAlignment="1">
      <alignment horizontal="centerContinuous" vertical="center"/>
    </xf>
    <xf numFmtId="0" fontId="6" fillId="0" borderId="0" xfId="2" applyFont="1" applyAlignment="1">
      <alignment horizontal="centerContinuous" vertical="center"/>
    </xf>
    <xf numFmtId="0" fontId="14" fillId="0" borderId="0" xfId="2" applyFont="1" applyAlignment="1">
      <alignment horizontal="centerContinuous" vertical="center"/>
    </xf>
    <xf numFmtId="0" fontId="5" fillId="6" borderId="1" xfId="2" applyFill="1" applyBorder="1" applyAlignment="1">
      <alignment vertical="center"/>
    </xf>
    <xf numFmtId="0" fontId="5" fillId="7" borderId="0" xfId="2" applyFill="1" applyAlignment="1">
      <alignment horizontal="centerContinuous" vertical="center"/>
    </xf>
    <xf numFmtId="0" fontId="15" fillId="14" borderId="0" xfId="2" applyFont="1" applyFill="1" applyAlignment="1">
      <alignment horizontal="centerContinuous" vertical="center"/>
    </xf>
    <xf numFmtId="0" fontId="5" fillId="10" borderId="1" xfId="2" applyFill="1" applyBorder="1" applyAlignment="1">
      <alignment vertical="center"/>
    </xf>
    <xf numFmtId="0" fontId="5" fillId="5" borderId="1" xfId="2" applyFill="1" applyBorder="1" applyAlignment="1">
      <alignment vertical="center"/>
    </xf>
    <xf numFmtId="179" fontId="5" fillId="0" borderId="0" xfId="2" applyNumberFormat="1" applyAlignment="1">
      <alignment horizontal="centerContinuous" vertical="center"/>
    </xf>
    <xf numFmtId="0" fontId="16" fillId="0" borderId="0" xfId="2" applyFont="1" applyAlignment="1">
      <alignment horizontal="centerContinuous" vertical="center"/>
    </xf>
    <xf numFmtId="0" fontId="17" fillId="0" borderId="0" xfId="2" applyFont="1" applyAlignment="1">
      <alignment horizontal="centerContinuous" vertical="center"/>
    </xf>
    <xf numFmtId="0" fontId="5" fillId="15" borderId="1" xfId="2" applyFill="1" applyBorder="1" applyAlignment="1">
      <alignment vertical="center"/>
    </xf>
    <xf numFmtId="0" fontId="18" fillId="0" borderId="0" xfId="2" applyFont="1" applyAlignment="1">
      <alignment horizontal="centerContinuous" vertical="center"/>
    </xf>
    <xf numFmtId="0" fontId="5" fillId="16" borderId="1" xfId="2" applyFill="1" applyBorder="1" applyAlignment="1">
      <alignment vertical="center"/>
    </xf>
    <xf numFmtId="0" fontId="5" fillId="9" borderId="1" xfId="2" applyFill="1" applyBorder="1" applyAlignment="1">
      <alignment vertical="center"/>
    </xf>
    <xf numFmtId="164" fontId="7" fillId="0" borderId="0" xfId="2" applyNumberFormat="1" applyFont="1" applyAlignment="1" applyProtection="1">
      <alignment vertical="center"/>
      <protection locked="0"/>
    </xf>
    <xf numFmtId="164" fontId="8" fillId="0" borderId="0" xfId="3" applyNumberFormat="1" applyFont="1" applyFill="1" applyBorder="1" applyAlignment="1">
      <alignment horizontal="center" vertical="center"/>
    </xf>
    <xf numFmtId="172" fontId="7" fillId="3" borderId="5" xfId="2" applyNumberFormat="1" applyFont="1" applyFill="1" applyBorder="1" applyAlignment="1" applyProtection="1">
      <alignment vertical="center"/>
      <protection locked="0"/>
    </xf>
    <xf numFmtId="14" fontId="5" fillId="0" borderId="0" xfId="2" applyNumberFormat="1" applyAlignment="1">
      <alignment vertical="center"/>
    </xf>
    <xf numFmtId="174" fontId="8" fillId="7" borderId="0" xfId="3" applyNumberFormat="1" applyFont="1" applyFill="1" applyBorder="1" applyAlignment="1">
      <alignment horizontal="center" vertical="center"/>
    </xf>
    <xf numFmtId="173" fontId="7" fillId="7" borderId="0" xfId="2" applyNumberFormat="1" applyFont="1" applyFill="1" applyAlignment="1" applyProtection="1">
      <alignment vertical="center"/>
      <protection locked="0"/>
    </xf>
    <xf numFmtId="171" fontId="9" fillId="7" borderId="0" xfId="2" applyNumberFormat="1" applyFont="1" applyFill="1" applyAlignment="1">
      <alignment vertical="center"/>
    </xf>
    <xf numFmtId="164" fontId="7" fillId="7" borderId="0" xfId="2" applyNumberFormat="1" applyFont="1" applyFill="1" applyAlignment="1" applyProtection="1">
      <alignment vertical="center"/>
      <protection locked="0"/>
    </xf>
    <xf numFmtId="164" fontId="8" fillId="7" borderId="0" xfId="3" applyNumberFormat="1" applyFont="1" applyFill="1" applyBorder="1" applyAlignment="1">
      <alignment horizontal="center" vertical="center"/>
    </xf>
    <xf numFmtId="0" fontId="8" fillId="17" borderId="0" xfId="2" applyFont="1" applyFill="1" applyAlignment="1">
      <alignment horizontal="center" vertical="center"/>
    </xf>
    <xf numFmtId="14" fontId="8" fillId="18" borderId="7" xfId="2" applyNumberFormat="1" applyFont="1" applyFill="1" applyBorder="1" applyAlignment="1">
      <alignment horizontal="center" vertical="center"/>
    </xf>
    <xf numFmtId="180" fontId="8" fillId="18" borderId="7" xfId="2" quotePrefix="1" applyNumberFormat="1" applyFont="1" applyFill="1" applyBorder="1" applyAlignment="1">
      <alignment horizontal="center" vertical="center"/>
    </xf>
    <xf numFmtId="14" fontId="8" fillId="18" borderId="7" xfId="2" quotePrefix="1" applyNumberFormat="1" applyFont="1" applyFill="1" applyBorder="1" applyAlignment="1">
      <alignment horizontal="center" vertical="center"/>
    </xf>
    <xf numFmtId="174" fontId="8" fillId="9" borderId="0" xfId="3" applyNumberFormat="1" applyFont="1" applyFill="1" applyBorder="1" applyAlignment="1">
      <alignment horizontal="center" vertical="center"/>
    </xf>
    <xf numFmtId="164" fontId="7" fillId="9" borderId="0" xfId="2" applyNumberFormat="1" applyFont="1" applyFill="1" applyAlignment="1" applyProtection="1">
      <alignment vertical="center"/>
      <protection locked="0"/>
    </xf>
    <xf numFmtId="164" fontId="8" fillId="9" borderId="0" xfId="3" applyNumberFormat="1" applyFont="1" applyFill="1" applyBorder="1" applyAlignment="1">
      <alignment horizontal="center" vertical="center"/>
    </xf>
    <xf numFmtId="0" fontId="5" fillId="9" borderId="7" xfId="2" applyFill="1" applyBorder="1" applyAlignment="1">
      <alignment horizontal="center" vertical="center"/>
    </xf>
    <xf numFmtId="0" fontId="8" fillId="9" borderId="0" xfId="2" applyFont="1" applyFill="1" applyAlignment="1">
      <alignment horizontal="center" vertical="center"/>
    </xf>
    <xf numFmtId="0" fontId="7" fillId="19" borderId="7" xfId="2" applyFont="1" applyFill="1" applyBorder="1" applyAlignment="1">
      <alignment horizontal="center" vertical="center"/>
    </xf>
    <xf numFmtId="0" fontId="5" fillId="7" borderId="7" xfId="2" applyFill="1" applyBorder="1" applyAlignment="1">
      <alignment horizontal="center" vertical="center"/>
    </xf>
    <xf numFmtId="175" fontId="7" fillId="17" borderId="0" xfId="2" applyNumberFormat="1" applyFont="1" applyFill="1" applyAlignment="1" applyProtection="1">
      <alignment vertical="center"/>
      <protection locked="0"/>
    </xf>
    <xf numFmtId="176" fontId="9" fillId="17" borderId="0" xfId="3" applyNumberFormat="1" applyFont="1" applyFill="1" applyBorder="1" applyAlignment="1">
      <alignment horizontal="center" vertical="center"/>
    </xf>
    <xf numFmtId="0" fontId="7" fillId="17" borderId="7" xfId="2" applyFont="1" applyFill="1" applyBorder="1" applyAlignment="1">
      <alignment horizontal="center" vertical="center"/>
    </xf>
    <xf numFmtId="164" fontId="8" fillId="0" borderId="6" xfId="3" applyNumberFormat="1" applyFont="1" applyFill="1" applyBorder="1" applyAlignment="1">
      <alignment horizontal="center" vertical="center"/>
    </xf>
    <xf numFmtId="14" fontId="8" fillId="6" borderId="6" xfId="2" quotePrefix="1" applyNumberFormat="1" applyFont="1" applyFill="1" applyBorder="1" applyAlignment="1">
      <alignment horizontal="center" vertical="center"/>
    </xf>
    <xf numFmtId="175" fontId="21" fillId="0" borderId="0" xfId="2" applyNumberFormat="1" applyFont="1" applyAlignment="1" applyProtection="1">
      <alignment vertical="center"/>
      <protection locked="0"/>
    </xf>
    <xf numFmtId="171" fontId="9" fillId="0" borderId="0" xfId="2" quotePrefix="1" applyNumberFormat="1" applyFont="1" applyAlignment="1">
      <alignment vertical="center"/>
    </xf>
    <xf numFmtId="171" fontId="9" fillId="0" borderId="6" xfId="2" applyNumberFormat="1" applyFont="1" applyBorder="1" applyAlignment="1">
      <alignment vertical="center"/>
    </xf>
    <xf numFmtId="175" fontId="7" fillId="19" borderId="0" xfId="2" applyNumberFormat="1" applyFont="1" applyFill="1" applyAlignment="1" applyProtection="1">
      <alignment vertical="center"/>
      <protection locked="0"/>
    </xf>
    <xf numFmtId="176" fontId="9" fillId="19" borderId="0" xfId="3" applyNumberFormat="1" applyFont="1" applyFill="1" applyBorder="1" applyAlignment="1">
      <alignment horizontal="center" vertical="center"/>
    </xf>
    <xf numFmtId="176" fontId="9" fillId="19" borderId="6" xfId="3" applyNumberFormat="1" applyFont="1" applyFill="1" applyBorder="1" applyAlignment="1">
      <alignment horizontal="center" vertical="center"/>
    </xf>
    <xf numFmtId="0" fontId="7" fillId="10" borderId="10" xfId="2" applyFont="1" applyFill="1" applyBorder="1" applyAlignment="1">
      <alignment horizontal="center" vertical="center"/>
    </xf>
    <xf numFmtId="0" fontId="12" fillId="3" borderId="11" xfId="2" applyFont="1" applyFill="1" applyBorder="1" applyAlignment="1">
      <alignment horizontal="center" vertical="center"/>
    </xf>
    <xf numFmtId="0" fontId="11" fillId="0" borderId="16" xfId="2" applyFont="1" applyBorder="1" applyAlignment="1">
      <alignment horizontal="centerContinuous" vertical="center"/>
    </xf>
    <xf numFmtId="0" fontId="11" fillId="0" borderId="13" xfId="2" applyFont="1" applyBorder="1" applyAlignment="1">
      <alignment horizontal="centerContinuous" vertical="center"/>
    </xf>
    <xf numFmtId="0" fontId="12" fillId="0" borderId="1" xfId="2" applyFont="1" applyBorder="1" applyAlignment="1">
      <alignment horizontal="center" vertical="center"/>
    </xf>
    <xf numFmtId="0" fontId="22" fillId="0" borderId="0" xfId="2" applyFont="1" applyAlignment="1">
      <alignment horizontal="centerContinuous" vertical="center"/>
    </xf>
    <xf numFmtId="0" fontId="22" fillId="14" borderId="0" xfId="2" applyFont="1" applyFill="1" applyAlignment="1">
      <alignment horizontal="centerContinuous" vertical="center"/>
    </xf>
    <xf numFmtId="0" fontId="22" fillId="7" borderId="0" xfId="2" applyFont="1" applyFill="1" applyAlignment="1">
      <alignment horizontal="centerContinuous" vertical="center"/>
    </xf>
    <xf numFmtId="0" fontId="23" fillId="0" borderId="0" xfId="2" applyFont="1" applyAlignment="1">
      <alignment horizontal="centerContinuous" vertical="center"/>
    </xf>
    <xf numFmtId="0" fontId="5" fillId="10" borderId="0" xfId="2" applyFill="1" applyAlignment="1">
      <alignment vertical="center"/>
    </xf>
    <xf numFmtId="0" fontId="5" fillId="5" borderId="0" xfId="2" applyFill="1" applyAlignment="1">
      <alignment vertical="center"/>
    </xf>
    <xf numFmtId="0" fontId="5" fillId="19" borderId="0" xfId="2" applyFill="1" applyAlignment="1">
      <alignment vertical="center"/>
    </xf>
    <xf numFmtId="0" fontId="5" fillId="17" borderId="0" xfId="2" applyFill="1" applyAlignment="1">
      <alignment vertical="center"/>
    </xf>
    <xf numFmtId="0" fontId="24" fillId="0" borderId="0" xfId="2" applyFont="1" applyAlignment="1">
      <alignment horizontal="centerContinuous" vertical="center"/>
    </xf>
    <xf numFmtId="0" fontId="5" fillId="9" borderId="0" xfId="2" applyFill="1" applyAlignment="1">
      <alignment vertical="center"/>
    </xf>
    <xf numFmtId="0" fontId="25" fillId="0" borderId="0" xfId="2" applyFont="1" applyAlignment="1">
      <alignment horizontal="centerContinuous" vertical="center"/>
    </xf>
    <xf numFmtId="0" fontId="25" fillId="14" borderId="0" xfId="2" applyFont="1" applyFill="1" applyAlignment="1">
      <alignment horizontal="centerContinuous" vertical="center"/>
    </xf>
    <xf numFmtId="0" fontId="25" fillId="7" borderId="0" xfId="2" applyFont="1" applyFill="1" applyAlignment="1">
      <alignment horizontal="centerContinuous" vertical="center"/>
    </xf>
    <xf numFmtId="0" fontId="26" fillId="0" borderId="0" xfId="2" applyFont="1" applyAlignment="1">
      <alignment horizontal="centerContinuous" vertical="center"/>
    </xf>
    <xf numFmtId="0" fontId="5" fillId="6" borderId="0" xfId="2" applyFill="1" applyAlignment="1">
      <alignment vertical="center"/>
    </xf>
    <xf numFmtId="0" fontId="27" fillId="0" borderId="0" xfId="2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0" xfId="2" applyAlignment="1">
      <alignment horizontal="center" vertical="center" wrapText="1"/>
    </xf>
    <xf numFmtId="43" fontId="5" fillId="0" borderId="0" xfId="2" applyNumberForma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11" borderId="1" xfId="2" applyFont="1" applyFill="1" applyBorder="1" applyAlignment="1">
      <alignment horizontal="center" vertical="center"/>
    </xf>
    <xf numFmtId="43" fontId="5" fillId="0" borderId="13" xfId="2" applyNumberFormat="1" applyBorder="1" applyAlignment="1">
      <alignment horizontal="center" vertical="center"/>
    </xf>
    <xf numFmtId="43" fontId="5" fillId="0" borderId="9" xfId="2" applyNumberFormat="1" applyBorder="1" applyAlignment="1">
      <alignment horizontal="center" vertical="center"/>
    </xf>
    <xf numFmtId="43" fontId="5" fillId="0" borderId="16" xfId="2" applyNumberFormat="1" applyBorder="1" applyAlignment="1">
      <alignment horizontal="center" vertical="center"/>
    </xf>
    <xf numFmtId="43" fontId="5" fillId="0" borderId="6" xfId="2" applyNumberFormat="1" applyBorder="1" applyAlignment="1">
      <alignment horizontal="center" vertical="center"/>
    </xf>
    <xf numFmtId="43" fontId="5" fillId="0" borderId="5" xfId="2" applyNumberFormat="1" applyBorder="1" applyAlignment="1">
      <alignment horizontal="center" vertical="center"/>
    </xf>
    <xf numFmtId="43" fontId="5" fillId="0" borderId="14" xfId="2" applyNumberFormat="1" applyBorder="1" applyAlignment="1">
      <alignment horizontal="center" vertical="center"/>
    </xf>
    <xf numFmtId="43" fontId="5" fillId="0" borderId="4" xfId="2" applyNumberFormat="1" applyBorder="1" applyAlignment="1">
      <alignment horizontal="center" vertical="center"/>
    </xf>
    <xf numFmtId="43" fontId="5" fillId="0" borderId="15" xfId="2" applyNumberFormat="1" applyBorder="1" applyAlignment="1">
      <alignment horizontal="center" vertical="center"/>
    </xf>
    <xf numFmtId="43" fontId="5" fillId="0" borderId="3" xfId="2" applyNumberFormat="1" applyBorder="1" applyAlignment="1">
      <alignment horizontal="center" vertical="center"/>
    </xf>
    <xf numFmtId="43" fontId="5" fillId="0" borderId="11" xfId="2" applyNumberFormat="1" applyBorder="1" applyAlignment="1">
      <alignment horizontal="center" vertical="center"/>
    </xf>
    <xf numFmtId="43" fontId="5" fillId="0" borderId="2" xfId="2" applyNumberFormat="1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11" xfId="2" applyBorder="1" applyAlignment="1">
      <alignment horizontal="center" vertical="center"/>
    </xf>
    <xf numFmtId="0" fontId="5" fillId="0" borderId="2" xfId="2" applyBorder="1" applyAlignment="1">
      <alignment horizontal="center" vertical="center"/>
    </xf>
    <xf numFmtId="0" fontId="5" fillId="0" borderId="13" xfId="2" applyBorder="1" applyAlignment="1">
      <alignment horizontal="center" vertical="center"/>
    </xf>
    <xf numFmtId="0" fontId="5" fillId="0" borderId="9" xfId="2" applyBorder="1" applyAlignment="1">
      <alignment horizontal="center" vertical="center"/>
    </xf>
    <xf numFmtId="0" fontId="5" fillId="0" borderId="16" xfId="2" applyBorder="1" applyAlignment="1">
      <alignment horizontal="center" vertical="center"/>
    </xf>
    <xf numFmtId="0" fontId="5" fillId="0" borderId="14" xfId="2" applyBorder="1" applyAlignment="1">
      <alignment horizontal="center" vertical="center"/>
    </xf>
    <xf numFmtId="0" fontId="5" fillId="0" borderId="4" xfId="2" applyBorder="1" applyAlignment="1">
      <alignment horizontal="center" vertical="center"/>
    </xf>
    <xf numFmtId="0" fontId="5" fillId="0" borderId="15" xfId="2" applyBorder="1" applyAlignment="1">
      <alignment horizontal="center" vertical="center"/>
    </xf>
    <xf numFmtId="0" fontId="5" fillId="0" borderId="6" xfId="2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4">
    <cellStyle name="Millares 2" xfId="3" xr:uid="{7A2A0B1E-29FD-4519-8913-7571AFB172E9}"/>
    <cellStyle name="Moneda" xfId="1" builtinId="4"/>
    <cellStyle name="Normal" xfId="0" builtinId="0"/>
    <cellStyle name="Normal 2" xfId="2" xr:uid="{33D30388-8A26-4AC6-9868-9D53B85A941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</xdr:row>
          <xdr:rowOff>31750</xdr:rowOff>
        </xdr:from>
        <xdr:to>
          <xdr:col>5</xdr:col>
          <xdr:colOff>1104900</xdr:colOff>
          <xdr:row>6</xdr:row>
          <xdr:rowOff>171450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4</xdr:row>
          <xdr:rowOff>50800</xdr:rowOff>
        </xdr:from>
        <xdr:to>
          <xdr:col>14</xdr:col>
          <xdr:colOff>1003300</xdr:colOff>
          <xdr:row>8</xdr:row>
          <xdr:rowOff>12700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2</xdr:row>
          <xdr:rowOff>31750</xdr:rowOff>
        </xdr:from>
        <xdr:to>
          <xdr:col>5</xdr:col>
          <xdr:colOff>1295400</xdr:colOff>
          <xdr:row>5</xdr:row>
          <xdr:rowOff>171450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569631</xdr:colOff>
      <xdr:row>1</xdr:row>
      <xdr:rowOff>132694</xdr:rowOff>
    </xdr:from>
    <xdr:ext cx="903997" cy="679097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9481" y="316844"/>
          <a:ext cx="903997" cy="679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201223</xdr:colOff>
      <xdr:row>1</xdr:row>
      <xdr:rowOff>210056</xdr:rowOff>
    </xdr:from>
    <xdr:ext cx="1625992" cy="725005"/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0323" y="368806"/>
          <a:ext cx="1625992" cy="725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245719</xdr:colOff>
      <xdr:row>3</xdr:row>
      <xdr:rowOff>80080</xdr:rowOff>
    </xdr:from>
    <xdr:ext cx="973481" cy="905791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519" y="632530"/>
          <a:ext cx="973481" cy="905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367679</xdr:colOff>
      <xdr:row>3</xdr:row>
      <xdr:rowOff>205621</xdr:rowOff>
    </xdr:from>
    <xdr:ext cx="1617662" cy="62230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6829" y="739021"/>
          <a:ext cx="1617662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2</xdr:row>
      <xdr:rowOff>177414</xdr:rowOff>
    </xdr:from>
    <xdr:to>
      <xdr:col>12</xdr:col>
      <xdr:colOff>718294</xdr:colOff>
      <xdr:row>23</xdr:row>
      <xdr:rowOff>126999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4" y="545714"/>
          <a:ext cx="9662270" cy="381673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6350</xdr:colOff>
          <xdr:row>3</xdr:row>
          <xdr:rowOff>19050</xdr:rowOff>
        </xdr:from>
        <xdr:to>
          <xdr:col>15</xdr:col>
          <xdr:colOff>730250</xdr:colOff>
          <xdr:row>7</xdr:row>
          <xdr:rowOff>133350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E139-E8D3-49BB-AFB9-1A3F3C82CFA7}">
  <dimension ref="A1:O41"/>
  <sheetViews>
    <sheetView tabSelected="1" workbookViewId="0">
      <selection activeCell="F12" sqref="F12"/>
    </sheetView>
  </sheetViews>
  <sheetFormatPr baseColWidth="10" defaultRowHeight="14.5" x14ac:dyDescent="0.35"/>
  <cols>
    <col min="2" max="2" width="11.6328125" bestFit="1" customWidth="1"/>
    <col min="3" max="3" width="24.90625" bestFit="1" customWidth="1"/>
    <col min="4" max="4" width="27.54296875" bestFit="1" customWidth="1"/>
    <col min="5" max="5" width="7.36328125" bestFit="1" customWidth="1"/>
    <col min="6" max="6" width="16.08984375" customWidth="1"/>
    <col min="7" max="7" width="4.6328125" customWidth="1"/>
    <col min="10" max="10" width="17.08984375" customWidth="1"/>
    <col min="11" max="11" width="13.08984375" customWidth="1"/>
    <col min="12" max="12" width="15.453125" customWidth="1"/>
    <col min="13" max="13" width="13.90625" customWidth="1"/>
    <col min="15" max="15" width="15" customWidth="1"/>
  </cols>
  <sheetData>
    <row r="1" spans="1:15" ht="18.5" x14ac:dyDescent="0.45">
      <c r="A1" s="21" t="s">
        <v>89</v>
      </c>
      <c r="B1" s="21"/>
      <c r="C1" s="21"/>
      <c r="D1" s="173"/>
      <c r="E1" s="173"/>
      <c r="F1" s="173"/>
      <c r="G1" s="173"/>
      <c r="H1" s="173"/>
      <c r="I1" s="173"/>
      <c r="J1" s="21" t="s">
        <v>90</v>
      </c>
      <c r="K1" s="21"/>
      <c r="L1" s="21"/>
    </row>
    <row r="3" spans="1:15" x14ac:dyDescent="0.35">
      <c r="A3" s="11" t="s">
        <v>59</v>
      </c>
      <c r="B3" s="11"/>
      <c r="C3" s="11"/>
      <c r="F3" t="s">
        <v>88</v>
      </c>
      <c r="J3" s="11" t="s">
        <v>58</v>
      </c>
      <c r="K3" s="11"/>
      <c r="L3" s="11"/>
    </row>
    <row r="4" spans="1:15" x14ac:dyDescent="0.35">
      <c r="O4" t="s">
        <v>88</v>
      </c>
    </row>
    <row r="5" spans="1:15" x14ac:dyDescent="0.35">
      <c r="A5" s="7" t="s">
        <v>57</v>
      </c>
      <c r="B5" s="4"/>
      <c r="C5" s="4"/>
      <c r="D5" s="4"/>
      <c r="E5" s="4"/>
      <c r="J5" s="7" t="s">
        <v>57</v>
      </c>
      <c r="K5" s="4"/>
      <c r="L5" s="4"/>
      <c r="M5" s="4"/>
      <c r="N5" s="4"/>
    </row>
    <row r="6" spans="1:15" x14ac:dyDescent="0.35">
      <c r="A6" s="4" t="s">
        <v>56</v>
      </c>
      <c r="B6" s="20">
        <v>4073.924</v>
      </c>
      <c r="C6" s="4"/>
      <c r="D6" s="13">
        <f>(B6*32.15074/1000)</f>
        <v>130.97967130376</v>
      </c>
      <c r="E6" s="4" t="s">
        <v>55</v>
      </c>
      <c r="J6" s="4" t="s">
        <v>56</v>
      </c>
      <c r="K6" s="20">
        <v>4238.3180000000002</v>
      </c>
      <c r="L6" s="4"/>
      <c r="M6" s="13">
        <f>ROUND((K6*32.15074/1000),6)</f>
        <v>136.26506000000001</v>
      </c>
      <c r="N6" s="4" t="s">
        <v>55</v>
      </c>
    </row>
    <row r="7" spans="1:15" x14ac:dyDescent="0.35">
      <c r="A7" s="4" t="s">
        <v>54</v>
      </c>
      <c r="B7" s="20">
        <v>58.586975000000002</v>
      </c>
      <c r="C7" s="4"/>
      <c r="D7" s="13">
        <f>B7*32.15074</f>
        <v>1883.6146006115</v>
      </c>
      <c r="E7" s="4" t="s">
        <v>53</v>
      </c>
      <c r="J7" s="4" t="s">
        <v>54</v>
      </c>
      <c r="K7" s="20">
        <v>66.558594999999997</v>
      </c>
      <c r="L7" s="4"/>
      <c r="M7" s="13">
        <f>K7*32.15074</f>
        <v>2139.9080826103</v>
      </c>
      <c r="N7" s="4" t="s">
        <v>53</v>
      </c>
    </row>
    <row r="8" spans="1:15" x14ac:dyDescent="0.35">
      <c r="A8" s="4" t="s">
        <v>52</v>
      </c>
      <c r="B8" s="20">
        <v>1844.087</v>
      </c>
      <c r="C8" s="4"/>
      <c r="D8" s="13">
        <f>B8-D9</f>
        <v>1822.0408</v>
      </c>
      <c r="E8" s="4" t="s">
        <v>49</v>
      </c>
      <c r="F8" t="s">
        <v>51</v>
      </c>
      <c r="J8" s="4" t="s">
        <v>50</v>
      </c>
      <c r="K8" s="20">
        <v>3540.5</v>
      </c>
      <c r="L8" s="4"/>
      <c r="M8" s="13">
        <f>K8-M9</f>
        <v>3540.5</v>
      </c>
      <c r="N8" s="4" t="s">
        <v>49</v>
      </c>
    </row>
    <row r="9" spans="1:15" x14ac:dyDescent="0.35">
      <c r="B9" s="18"/>
      <c r="C9" s="19" t="s">
        <v>48</v>
      </c>
      <c r="D9" s="19">
        <f>(1/100)*2204.62</f>
        <v>22.046199999999999</v>
      </c>
      <c r="E9" s="19" t="s">
        <v>19</v>
      </c>
      <c r="K9" s="18"/>
      <c r="L9" s="19"/>
      <c r="M9" s="19"/>
      <c r="N9" s="19"/>
    </row>
    <row r="10" spans="1:15" x14ac:dyDescent="0.35">
      <c r="A10" s="11"/>
      <c r="E10" s="18"/>
      <c r="J10" s="11"/>
      <c r="N10" s="18"/>
    </row>
    <row r="11" spans="1:15" x14ac:dyDescent="0.35">
      <c r="A11" s="11" t="s">
        <v>47</v>
      </c>
      <c r="B11" s="28">
        <v>95.995999999999995</v>
      </c>
      <c r="J11" s="11" t="s">
        <v>47</v>
      </c>
      <c r="K11" s="17">
        <v>397.84100000000001</v>
      </c>
    </row>
    <row r="12" spans="1:15" x14ac:dyDescent="0.35">
      <c r="A12" s="11"/>
      <c r="J12" s="11"/>
    </row>
    <row r="13" spans="1:15" x14ac:dyDescent="0.35">
      <c r="A13" s="11" t="s">
        <v>46</v>
      </c>
      <c r="J13" s="11" t="s">
        <v>46</v>
      </c>
    </row>
    <row r="14" spans="1:15" x14ac:dyDescent="0.35">
      <c r="A14" s="11"/>
      <c r="J14" s="11"/>
    </row>
    <row r="15" spans="1:15" x14ac:dyDescent="0.35">
      <c r="A15" s="7"/>
      <c r="B15" s="7" t="s">
        <v>22</v>
      </c>
      <c r="C15" s="7" t="s">
        <v>45</v>
      </c>
      <c r="D15" s="171" t="s">
        <v>44</v>
      </c>
      <c r="E15" s="171"/>
      <c r="F15" s="7" t="s">
        <v>19</v>
      </c>
      <c r="G15" s="11"/>
      <c r="J15" s="7"/>
      <c r="K15" s="7" t="s">
        <v>22</v>
      </c>
      <c r="L15" s="7" t="s">
        <v>45</v>
      </c>
      <c r="M15" s="171" t="s">
        <v>44</v>
      </c>
      <c r="N15" s="171"/>
      <c r="O15" s="7" t="s">
        <v>19</v>
      </c>
    </row>
    <row r="16" spans="1:15" x14ac:dyDescent="0.35">
      <c r="A16" s="7" t="s">
        <v>42</v>
      </c>
      <c r="B16" s="6">
        <v>22.835000000000001</v>
      </c>
      <c r="C16" s="15" t="s">
        <v>43</v>
      </c>
      <c r="D16" s="4">
        <f>ROUND(IF((B16*0.05)&gt;1,B16*0.95,B16-1),3)</f>
        <v>21.693000000000001</v>
      </c>
      <c r="E16" s="4" t="s">
        <v>27</v>
      </c>
      <c r="F16" s="13">
        <f>D16*D6</f>
        <v>2841.3420095924657</v>
      </c>
      <c r="G16" s="14"/>
      <c r="J16" s="7" t="s">
        <v>42</v>
      </c>
      <c r="K16" s="6">
        <v>1.575</v>
      </c>
      <c r="L16" s="15" t="s">
        <v>41</v>
      </c>
      <c r="M16" s="16">
        <f>ROUND((K16-1.5)*65%,3)</f>
        <v>4.9000000000000002E-2</v>
      </c>
      <c r="N16" s="4" t="s">
        <v>27</v>
      </c>
      <c r="O16" s="13">
        <f>M16*M6</f>
        <v>6.676987940000001</v>
      </c>
    </row>
    <row r="17" spans="1:15" x14ac:dyDescent="0.35">
      <c r="A17" s="7" t="s">
        <v>39</v>
      </c>
      <c r="B17" s="6">
        <f>(3.3725*1000)</f>
        <v>3372.5</v>
      </c>
      <c r="C17" s="15" t="s">
        <v>40</v>
      </c>
      <c r="D17" s="4">
        <f>ROUND((IF((B17*0.05)&gt;50,B17*0.95,B17-50))/1000,6)</f>
        <v>3.203875</v>
      </c>
      <c r="E17" s="4" t="s">
        <v>24</v>
      </c>
      <c r="F17" s="13">
        <f>D17*D7</f>
        <v>6034.8657285341696</v>
      </c>
      <c r="G17" s="14"/>
      <c r="J17" s="7" t="s">
        <v>39</v>
      </c>
      <c r="K17" s="6">
        <f>0.326*1000</f>
        <v>326</v>
      </c>
      <c r="L17" s="15" t="s">
        <v>38</v>
      </c>
      <c r="M17" s="4">
        <f>ROUND(((K17-124.4)*0.7)/1000,6)</f>
        <v>0.14112</v>
      </c>
      <c r="N17" s="4" t="s">
        <v>24</v>
      </c>
      <c r="O17" s="13">
        <f>M17*M7</f>
        <v>301.98382861796551</v>
      </c>
    </row>
    <row r="18" spans="1:15" x14ac:dyDescent="0.35">
      <c r="A18" s="7" t="s">
        <v>37</v>
      </c>
      <c r="B18" s="6">
        <v>40.92</v>
      </c>
      <c r="C18" s="4" t="s">
        <v>36</v>
      </c>
      <c r="D18" s="4">
        <f>ROUND((IF((B18*0.05)&gt;3,B18*0.95,B18-3))*10,6)</f>
        <v>379.2</v>
      </c>
      <c r="E18" s="4" t="s">
        <v>24</v>
      </c>
      <c r="F18" s="13">
        <f>D18*(D8/1000)</f>
        <v>690.91787135999994</v>
      </c>
      <c r="G18" s="14"/>
      <c r="J18" s="7" t="s">
        <v>35</v>
      </c>
      <c r="K18" s="6">
        <v>51.74</v>
      </c>
      <c r="L18" s="4" t="s">
        <v>34</v>
      </c>
      <c r="M18" s="4">
        <f>ROUND((IF((K18*0.15)&gt;8,K18*0.85,K18-8))*10,6)</f>
        <v>437.4</v>
      </c>
      <c r="N18" s="4" t="s">
        <v>24</v>
      </c>
      <c r="O18" s="13">
        <f>M18*(M8/1000)</f>
        <v>1548.6147000000001</v>
      </c>
    </row>
    <row r="19" spans="1:15" x14ac:dyDescent="0.35">
      <c r="A19" s="7"/>
      <c r="B19" s="4"/>
      <c r="C19" s="4"/>
      <c r="D19" s="4"/>
      <c r="E19" s="4"/>
      <c r="F19" s="4"/>
      <c r="J19" s="7"/>
      <c r="K19" s="4"/>
      <c r="L19" s="4"/>
      <c r="M19" s="4"/>
      <c r="N19" s="4"/>
      <c r="O19" s="4"/>
    </row>
    <row r="20" spans="1:15" x14ac:dyDescent="0.35">
      <c r="A20" s="7"/>
      <c r="B20" s="4"/>
      <c r="C20" s="4"/>
      <c r="D20" s="174" t="s">
        <v>33</v>
      </c>
      <c r="E20" s="175"/>
      <c r="F20" s="3">
        <f>SUM(F16:F19)</f>
        <v>9567.1256094866349</v>
      </c>
      <c r="G20" s="2"/>
      <c r="J20" s="7"/>
      <c r="K20" s="4"/>
      <c r="L20" s="4"/>
      <c r="M20" s="174" t="s">
        <v>33</v>
      </c>
      <c r="N20" s="175"/>
      <c r="O20" s="3">
        <f>SUM(O16:O19)</f>
        <v>1857.2755165579656</v>
      </c>
    </row>
    <row r="21" spans="1:15" x14ac:dyDescent="0.35">
      <c r="A21" s="11"/>
      <c r="J21" s="11"/>
    </row>
    <row r="22" spans="1:15" x14ac:dyDescent="0.35">
      <c r="A22" s="11" t="s">
        <v>32</v>
      </c>
      <c r="J22" s="11" t="s">
        <v>32</v>
      </c>
    </row>
    <row r="23" spans="1:15" x14ac:dyDescent="0.35">
      <c r="A23" s="7"/>
      <c r="B23" s="7" t="s">
        <v>31</v>
      </c>
      <c r="C23" s="7" t="s">
        <v>30</v>
      </c>
      <c r="D23" s="4"/>
      <c r="E23" s="4"/>
      <c r="F23" s="4"/>
      <c r="J23" s="7"/>
      <c r="K23" s="7" t="s">
        <v>31</v>
      </c>
      <c r="L23" s="7" t="s">
        <v>30</v>
      </c>
      <c r="M23" s="4"/>
      <c r="N23" s="4"/>
      <c r="O23" s="4"/>
    </row>
    <row r="24" spans="1:15" x14ac:dyDescent="0.35">
      <c r="A24" s="7" t="s">
        <v>29</v>
      </c>
      <c r="B24" s="5">
        <v>97.31</v>
      </c>
      <c r="C24" s="4"/>
      <c r="D24" s="4"/>
      <c r="E24" s="4"/>
      <c r="F24" s="5">
        <f>B24</f>
        <v>97.31</v>
      </c>
      <c r="G24" s="8"/>
      <c r="J24" s="7" t="s">
        <v>29</v>
      </c>
      <c r="K24" s="5">
        <v>147.36000000000001</v>
      </c>
      <c r="L24" s="4"/>
      <c r="M24" s="4"/>
      <c r="N24" s="4"/>
      <c r="O24" s="5">
        <f>K24</f>
        <v>147.36000000000001</v>
      </c>
    </row>
    <row r="25" spans="1:15" x14ac:dyDescent="0.35">
      <c r="A25" s="7" t="s">
        <v>28</v>
      </c>
      <c r="B25" s="12">
        <f>17*32.15074/1000</f>
        <v>0.54656258000000002</v>
      </c>
      <c r="C25" s="4">
        <f>D16</f>
        <v>21.693000000000001</v>
      </c>
      <c r="D25" s="4" t="s">
        <v>27</v>
      </c>
      <c r="E25" s="4"/>
      <c r="F25" s="5">
        <f>(B25*C25)</f>
        <v>11.856582047940002</v>
      </c>
      <c r="G25" s="8"/>
      <c r="J25" s="7" t="s">
        <v>28</v>
      </c>
      <c r="K25" s="12">
        <v>0</v>
      </c>
      <c r="L25" s="4">
        <f>M16</f>
        <v>4.9000000000000002E-2</v>
      </c>
      <c r="M25" s="4" t="s">
        <v>27</v>
      </c>
      <c r="N25" s="4"/>
      <c r="O25" s="5">
        <f>K25*L25</f>
        <v>0</v>
      </c>
    </row>
    <row r="26" spans="1:15" x14ac:dyDescent="0.35">
      <c r="A26" s="7" t="s">
        <v>26</v>
      </c>
      <c r="B26" s="12">
        <f>0.45*32.15074</f>
        <v>14.467833000000001</v>
      </c>
      <c r="C26" s="4">
        <f>D17</f>
        <v>3.203875</v>
      </c>
      <c r="D26" s="4" t="s">
        <v>24</v>
      </c>
      <c r="E26" s="4"/>
      <c r="F26" s="5">
        <f>B26*C26</f>
        <v>46.353128452875005</v>
      </c>
      <c r="G26" s="8"/>
      <c r="J26" s="7" t="s">
        <v>25</v>
      </c>
      <c r="K26" s="12">
        <v>0</v>
      </c>
      <c r="L26" s="4">
        <f>M17</f>
        <v>0.14112</v>
      </c>
      <c r="M26" s="4" t="s">
        <v>24</v>
      </c>
      <c r="N26" s="4"/>
      <c r="O26" s="5">
        <f>K26*L26</f>
        <v>0</v>
      </c>
    </row>
    <row r="27" spans="1:15" x14ac:dyDescent="0.35">
      <c r="A27" s="11"/>
      <c r="J27" s="11"/>
    </row>
    <row r="28" spans="1:15" x14ac:dyDescent="0.35">
      <c r="A28" s="11"/>
      <c r="J28" s="11"/>
    </row>
    <row r="29" spans="1:15" x14ac:dyDescent="0.35">
      <c r="A29" s="11" t="s">
        <v>23</v>
      </c>
      <c r="J29" s="11" t="s">
        <v>23</v>
      </c>
    </row>
    <row r="30" spans="1:15" x14ac:dyDescent="0.35">
      <c r="A30" s="7"/>
      <c r="B30" s="7" t="s">
        <v>22</v>
      </c>
      <c r="C30" s="7" t="s">
        <v>21</v>
      </c>
      <c r="D30" s="171" t="s">
        <v>20</v>
      </c>
      <c r="E30" s="171"/>
      <c r="F30" s="7" t="s">
        <v>19</v>
      </c>
      <c r="G30" s="11"/>
      <c r="J30" s="7"/>
      <c r="K30" s="7" t="s">
        <v>22</v>
      </c>
      <c r="L30" s="7" t="s">
        <v>21</v>
      </c>
      <c r="M30" s="171" t="s">
        <v>20</v>
      </c>
      <c r="N30" s="171"/>
      <c r="O30" s="7" t="s">
        <v>19</v>
      </c>
    </row>
    <row r="31" spans="1:15" x14ac:dyDescent="0.35">
      <c r="A31" s="7" t="s">
        <v>9</v>
      </c>
      <c r="B31" s="9">
        <v>0.22500000000000001</v>
      </c>
      <c r="C31" s="4" t="s">
        <v>18</v>
      </c>
      <c r="D31" s="5">
        <f>IF(B31&gt;0.3,(((B31-0.3)*3)/0.1),0)</f>
        <v>0</v>
      </c>
      <c r="E31" s="4"/>
      <c r="F31" s="5">
        <f>D31</f>
        <v>0</v>
      </c>
      <c r="G31" s="8"/>
      <c r="J31" s="7" t="s">
        <v>17</v>
      </c>
      <c r="K31" s="6">
        <v>8.2324999999999999</v>
      </c>
      <c r="L31" s="4" t="s">
        <v>16</v>
      </c>
      <c r="M31" s="5">
        <f>ROUND(IF(K31&gt;8,(((K31-8)*2)/1),0),2)</f>
        <v>0.47</v>
      </c>
      <c r="N31" s="4"/>
      <c r="O31" s="5">
        <f>M31</f>
        <v>0.47</v>
      </c>
    </row>
    <row r="32" spans="1:15" x14ac:dyDescent="0.35">
      <c r="A32" s="7" t="s">
        <v>15</v>
      </c>
      <c r="B32" s="9">
        <v>0.185</v>
      </c>
      <c r="C32" s="4" t="s">
        <v>14</v>
      </c>
      <c r="D32" s="5">
        <f>IF(B32&gt;0.3,(((B32-0.3)*2)/0.1),0)</f>
        <v>0</v>
      </c>
      <c r="E32" s="4"/>
      <c r="F32" s="5">
        <f>D32</f>
        <v>0</v>
      </c>
      <c r="G32" s="8"/>
      <c r="J32" s="7" t="s">
        <v>13</v>
      </c>
      <c r="K32" s="6">
        <v>2.92</v>
      </c>
      <c r="L32" s="4" t="s">
        <v>12</v>
      </c>
      <c r="M32" s="5">
        <f>ROUND(IF(K32&gt;2,(((K32-2)*2)/1),0),2)</f>
        <v>1.84</v>
      </c>
      <c r="N32" s="4"/>
      <c r="O32" s="5">
        <f>M32</f>
        <v>1.84</v>
      </c>
    </row>
    <row r="33" spans="1:15" x14ac:dyDescent="0.35">
      <c r="A33" s="7" t="s">
        <v>11</v>
      </c>
      <c r="B33" s="10">
        <v>11.18</v>
      </c>
      <c r="C33" s="4" t="s">
        <v>10</v>
      </c>
      <c r="D33" s="5">
        <f>IF(AND(B33&gt;5,B33&lt;=8),(((B33-5)*2.5)/1),IF(B33&gt;8,((((B33-8)*3.5)/1)+((3*2.5)/1))))</f>
        <v>18.63</v>
      </c>
      <c r="E33" s="4"/>
      <c r="F33" s="5">
        <f>D33</f>
        <v>18.63</v>
      </c>
      <c r="G33" s="8"/>
      <c r="J33" s="7" t="s">
        <v>9</v>
      </c>
      <c r="K33" s="6">
        <v>6.5000000000000002E-2</v>
      </c>
      <c r="L33" s="4" t="s">
        <v>8</v>
      </c>
      <c r="M33" s="5">
        <f>ROUND(IF(K33&gt;0.1,(((K33-0.1)*1)/0.1),0),2)</f>
        <v>0</v>
      </c>
      <c r="N33" s="4"/>
      <c r="O33" s="5">
        <f>M33</f>
        <v>0</v>
      </c>
    </row>
    <row r="34" spans="1:15" ht="13.75" customHeight="1" x14ac:dyDescent="0.35">
      <c r="A34" s="7" t="s">
        <v>4</v>
      </c>
      <c r="B34" s="9">
        <v>0.13850000000000001</v>
      </c>
      <c r="C34" s="4" t="s">
        <v>7</v>
      </c>
      <c r="D34" s="5">
        <f>IF(B34&gt;=0.02,((B34*3)/0.1),0)</f>
        <v>4.1550000000000002</v>
      </c>
      <c r="E34" s="4"/>
      <c r="F34" s="5">
        <f>D34</f>
        <v>4.1550000000000002</v>
      </c>
      <c r="G34" s="8"/>
      <c r="J34" s="7" t="s">
        <v>6</v>
      </c>
      <c r="K34" s="6">
        <v>0.1045</v>
      </c>
      <c r="L34" s="4" t="s">
        <v>5</v>
      </c>
      <c r="M34" s="5">
        <f>ROUND(IF(K34&gt;=0.1,((K34*1.5)/0.1),0),2)</f>
        <v>1.57</v>
      </c>
      <c r="N34" s="4"/>
      <c r="O34" s="5">
        <f>M34</f>
        <v>1.57</v>
      </c>
    </row>
    <row r="35" spans="1:15" x14ac:dyDescent="0.35">
      <c r="A35" s="4"/>
      <c r="B35" s="4"/>
      <c r="C35" s="4"/>
      <c r="D35" s="4"/>
      <c r="E35" s="4"/>
      <c r="F35" s="4"/>
      <c r="J35" s="7" t="s">
        <v>4</v>
      </c>
      <c r="K35" s="6">
        <v>0.49170000000000003</v>
      </c>
      <c r="L35" s="4" t="s">
        <v>3</v>
      </c>
      <c r="M35" s="5">
        <f>ROUND(IF(K35&gt;=0.2,(((K35-0.2)*1)/0.1),0),2)</f>
        <v>2.92</v>
      </c>
      <c r="N35" s="4"/>
      <c r="O35" s="5">
        <f>M35</f>
        <v>2.92</v>
      </c>
    </row>
    <row r="36" spans="1:15" x14ac:dyDescent="0.35">
      <c r="A36" s="4"/>
      <c r="B36" s="4"/>
      <c r="C36" s="4"/>
      <c r="D36" s="172" t="s">
        <v>2</v>
      </c>
      <c r="E36" s="172"/>
      <c r="F36" s="3">
        <f>F24+F25+F26+F31+F32+F33+F34</f>
        <v>178.30471050081502</v>
      </c>
      <c r="G36" s="2"/>
      <c r="J36" s="4"/>
      <c r="K36" s="4"/>
      <c r="L36" s="4"/>
      <c r="M36" s="4"/>
      <c r="N36" s="4"/>
      <c r="O36" s="4"/>
    </row>
    <row r="37" spans="1:15" x14ac:dyDescent="0.35">
      <c r="J37" s="4"/>
      <c r="K37" s="4"/>
      <c r="L37" s="4"/>
      <c r="M37" s="172" t="s">
        <v>2</v>
      </c>
      <c r="N37" s="172"/>
      <c r="O37" s="3">
        <f>O24+O25+O26+O31+O32+O33+O34+O35</f>
        <v>154.16</v>
      </c>
    </row>
    <row r="38" spans="1:15" x14ac:dyDescent="0.35">
      <c r="D38" s="170" t="s">
        <v>1</v>
      </c>
      <c r="E38" s="170"/>
      <c r="F38" s="1">
        <f>F20-F36</f>
        <v>9388.8208989858194</v>
      </c>
      <c r="G38" s="2"/>
    </row>
    <row r="39" spans="1:15" x14ac:dyDescent="0.35">
      <c r="M39" s="170" t="s">
        <v>1</v>
      </c>
      <c r="N39" s="170"/>
      <c r="O39" s="1">
        <f>O20-O37</f>
        <v>1703.1155165579655</v>
      </c>
    </row>
    <row r="40" spans="1:15" x14ac:dyDescent="0.35">
      <c r="D40" s="170" t="s">
        <v>0</v>
      </c>
      <c r="E40" s="170"/>
      <c r="F40" s="1">
        <f>F38*B11</f>
        <v>901289.25101904268</v>
      </c>
      <c r="G40" s="2"/>
    </row>
    <row r="41" spans="1:15" x14ac:dyDescent="0.35">
      <c r="M41" s="170" t="s">
        <v>0</v>
      </c>
      <c r="N41" s="170"/>
      <c r="O41" s="1">
        <f>ROUND(O39*K11,2)</f>
        <v>677569.18</v>
      </c>
    </row>
  </sheetData>
  <mergeCells count="13">
    <mergeCell ref="D1:I1"/>
    <mergeCell ref="D15:E15"/>
    <mergeCell ref="M15:N15"/>
    <mergeCell ref="D20:E20"/>
    <mergeCell ref="M20:N20"/>
    <mergeCell ref="M39:N39"/>
    <mergeCell ref="D40:E40"/>
    <mergeCell ref="M41:N41"/>
    <mergeCell ref="D30:E30"/>
    <mergeCell ref="M30:N30"/>
    <mergeCell ref="D36:E36"/>
    <mergeCell ref="M37:N37"/>
    <mergeCell ref="D38:E38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.pdfxml.1" dvAspect="DVASPECT_ICON" shapeId="1026" r:id="rId4">
          <objectPr defaultSize="0" autoPict="0" r:id="rId5">
            <anchor moveWithCells="1">
              <from>
                <xdr:col>5</xdr:col>
                <xdr:colOff>25400</xdr:colOff>
                <xdr:row>3</xdr:row>
                <xdr:rowOff>31750</xdr:rowOff>
              </from>
              <to>
                <xdr:col>5</xdr:col>
                <xdr:colOff>1104900</xdr:colOff>
                <xdr:row>6</xdr:row>
                <xdr:rowOff>171450</xdr:rowOff>
              </to>
            </anchor>
          </objectPr>
        </oleObject>
      </mc:Choice>
      <mc:Fallback>
        <oleObject progId="Acrobat.pdfxml.1" dvAspect="DVASPECT_ICON" shapeId="1026" r:id="rId4"/>
      </mc:Fallback>
    </mc:AlternateContent>
    <mc:AlternateContent xmlns:mc="http://schemas.openxmlformats.org/markup-compatibility/2006">
      <mc:Choice Requires="x14">
        <oleObject progId="Acrobat.pdfxml.1" dvAspect="DVASPECT_ICON" shapeId="1027" r:id="rId6">
          <objectPr defaultSize="0" r:id="rId5">
            <anchor moveWithCells="1">
              <from>
                <xdr:col>14</xdr:col>
                <xdr:colOff>88900</xdr:colOff>
                <xdr:row>4</xdr:row>
                <xdr:rowOff>50800</xdr:rowOff>
              </from>
              <to>
                <xdr:col>14</xdr:col>
                <xdr:colOff>1003300</xdr:colOff>
                <xdr:row>8</xdr:row>
                <xdr:rowOff>12700</xdr:rowOff>
              </to>
            </anchor>
          </objectPr>
        </oleObject>
      </mc:Choice>
      <mc:Fallback>
        <oleObject progId="Acrobat.pdfxml.1" dvAspect="DVASPECT_ICON" shapeId="102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AFE4-A4CB-4B95-9BC5-5D368E1429DB}">
  <dimension ref="A1:G29"/>
  <sheetViews>
    <sheetView workbookViewId="0">
      <selection activeCell="G7" sqref="G7"/>
    </sheetView>
  </sheetViews>
  <sheetFormatPr baseColWidth="10" defaultRowHeight="14.5" x14ac:dyDescent="0.35"/>
  <cols>
    <col min="1" max="1" width="23.7265625" bestFit="1" customWidth="1"/>
    <col min="2" max="2" width="14.36328125" bestFit="1" customWidth="1"/>
    <col min="3" max="3" width="13.6328125" customWidth="1"/>
    <col min="4" max="4" width="15.1796875" customWidth="1"/>
    <col min="6" max="6" width="26" customWidth="1"/>
    <col min="7" max="7" width="17.36328125" bestFit="1" customWidth="1"/>
  </cols>
  <sheetData>
    <row r="1" spans="1:7" x14ac:dyDescent="0.35">
      <c r="C1" s="184" t="s">
        <v>87</v>
      </c>
      <c r="D1" s="184"/>
    </row>
    <row r="2" spans="1:7" x14ac:dyDescent="0.35">
      <c r="A2" s="4" t="s">
        <v>86</v>
      </c>
      <c r="C2" s="4" t="s">
        <v>85</v>
      </c>
      <c r="D2" s="4" t="s">
        <v>84</v>
      </c>
      <c r="F2" t="s">
        <v>92</v>
      </c>
    </row>
    <row r="3" spans="1:7" x14ac:dyDescent="0.35">
      <c r="A3" s="31">
        <v>1634.1310000000001</v>
      </c>
      <c r="C3" s="4">
        <v>58.586975000000002</v>
      </c>
      <c r="D3" s="30">
        <v>4073.924</v>
      </c>
    </row>
    <row r="4" spans="1:7" x14ac:dyDescent="0.35">
      <c r="A4" s="32">
        <f>A3/1000</f>
        <v>1.634131</v>
      </c>
      <c r="B4" t="s">
        <v>91</v>
      </c>
      <c r="C4" s="4" t="s">
        <v>83</v>
      </c>
      <c r="D4" s="30" t="s">
        <v>82</v>
      </c>
    </row>
    <row r="5" spans="1:7" x14ac:dyDescent="0.35">
      <c r="A5" s="27"/>
      <c r="C5" s="29">
        <f>C3*32.1507387</f>
        <v>1883.6145244484326</v>
      </c>
      <c r="D5" s="30">
        <f>D3/31.103483</f>
        <v>130.97967195506689</v>
      </c>
    </row>
    <row r="6" spans="1:7" x14ac:dyDescent="0.35">
      <c r="A6" s="27"/>
      <c r="D6" s="26"/>
    </row>
    <row r="8" spans="1:7" ht="18.5" x14ac:dyDescent="0.45">
      <c r="A8" s="183" t="s">
        <v>81</v>
      </c>
      <c r="B8" s="183"/>
      <c r="C8" s="183"/>
      <c r="D8" s="183"/>
    </row>
    <row r="9" spans="1:7" x14ac:dyDescent="0.35">
      <c r="A9" s="4" t="s">
        <v>80</v>
      </c>
      <c r="B9" s="4" t="s">
        <v>79</v>
      </c>
      <c r="C9" s="4" t="s">
        <v>78</v>
      </c>
      <c r="D9" s="4" t="s">
        <v>77</v>
      </c>
    </row>
    <row r="10" spans="1:7" x14ac:dyDescent="0.35">
      <c r="A10" s="4" t="s">
        <v>63</v>
      </c>
      <c r="B10" s="25">
        <v>4487</v>
      </c>
      <c r="C10" s="25">
        <v>3</v>
      </c>
      <c r="D10" s="25">
        <f>B10+C10</f>
        <v>4490</v>
      </c>
    </row>
    <row r="11" spans="1:7" x14ac:dyDescent="0.35">
      <c r="A11" s="4" t="s">
        <v>76</v>
      </c>
      <c r="B11" s="25">
        <v>784.76599999999996</v>
      </c>
      <c r="C11" s="16">
        <v>-5.0000000000000001E-3</v>
      </c>
      <c r="D11" s="16">
        <f>B11+C11</f>
        <v>784.76099999999997</v>
      </c>
    </row>
    <row r="13" spans="1:7" ht="18.5" x14ac:dyDescent="0.45">
      <c r="A13" s="183" t="s">
        <v>75</v>
      </c>
      <c r="B13" s="183"/>
      <c r="C13" s="183"/>
      <c r="D13" s="183"/>
    </row>
    <row r="14" spans="1:7" x14ac:dyDescent="0.35">
      <c r="A14" s="22" t="s">
        <v>74</v>
      </c>
      <c r="B14" s="185">
        <f>$D$10*0.98</f>
        <v>4400.2</v>
      </c>
      <c r="C14" s="185"/>
      <c r="D14" s="182">
        <f>$B$14*$D$5</f>
        <v>576336.75253668532</v>
      </c>
      <c r="F14" t="s">
        <v>73</v>
      </c>
      <c r="G14" s="14">
        <f>$D$14+$D$17</f>
        <v>2010178.3538227412</v>
      </c>
    </row>
    <row r="15" spans="1:7" x14ac:dyDescent="0.35">
      <c r="A15" s="24" t="s">
        <v>72</v>
      </c>
      <c r="B15" s="185"/>
      <c r="C15" s="185"/>
      <c r="D15" s="182"/>
      <c r="F15" t="s">
        <v>71</v>
      </c>
      <c r="G15" s="14">
        <f>D21+D25+D28</f>
        <v>10772.2117</v>
      </c>
    </row>
    <row r="16" spans="1:7" x14ac:dyDescent="0.35">
      <c r="F16" t="s">
        <v>70</v>
      </c>
      <c r="G16" s="14">
        <f>G14-G15</f>
        <v>1999406.1421227411</v>
      </c>
    </row>
    <row r="17" spans="1:7" x14ac:dyDescent="0.35">
      <c r="A17" s="22" t="s">
        <v>61</v>
      </c>
      <c r="B17" s="181">
        <f>D11*0.97</f>
        <v>761.21816999999999</v>
      </c>
      <c r="C17" s="181"/>
      <c r="D17" s="182">
        <f>$B$17*$C$5</f>
        <v>1433841.601286056</v>
      </c>
      <c r="F17" t="s">
        <v>69</v>
      </c>
      <c r="G17" s="14">
        <f>G16*A4</f>
        <v>3267291.5584331769</v>
      </c>
    </row>
    <row r="18" spans="1:7" x14ac:dyDescent="0.35">
      <c r="A18" s="22" t="s">
        <v>68</v>
      </c>
      <c r="B18" s="181"/>
      <c r="C18" s="181"/>
      <c r="D18" s="182"/>
    </row>
    <row r="20" spans="1:7" ht="18.5" x14ac:dyDescent="0.45">
      <c r="A20" s="183" t="s">
        <v>67</v>
      </c>
      <c r="B20" s="183"/>
      <c r="C20" s="183"/>
      <c r="D20" s="183"/>
    </row>
    <row r="21" spans="1:7" x14ac:dyDescent="0.35">
      <c r="A21" s="176" t="s">
        <v>66</v>
      </c>
      <c r="B21" s="177" t="s">
        <v>65</v>
      </c>
      <c r="C21" s="177"/>
      <c r="D21" s="182">
        <v>2500</v>
      </c>
    </row>
    <row r="22" spans="1:7" x14ac:dyDescent="0.35">
      <c r="A22" s="176"/>
      <c r="B22" s="179">
        <v>2.5</v>
      </c>
      <c r="C22" s="179"/>
      <c r="D22" s="182"/>
    </row>
    <row r="24" spans="1:7" ht="18.5" x14ac:dyDescent="0.35">
      <c r="A24" s="180" t="s">
        <v>64</v>
      </c>
      <c r="B24" s="180"/>
      <c r="C24" s="180"/>
      <c r="D24" s="180"/>
    </row>
    <row r="25" spans="1:7" x14ac:dyDescent="0.35">
      <c r="A25" s="176" t="s">
        <v>63</v>
      </c>
      <c r="B25" s="177" t="s">
        <v>62</v>
      </c>
      <c r="C25" s="177"/>
      <c r="D25" s="179">
        <f>B26*B14</f>
        <v>660.03</v>
      </c>
    </row>
    <row r="26" spans="1:7" x14ac:dyDescent="0.35">
      <c r="A26" s="176"/>
      <c r="B26" s="179">
        <v>0.15</v>
      </c>
      <c r="C26" s="179"/>
      <c r="D26" s="179"/>
    </row>
    <row r="27" spans="1:7" x14ac:dyDescent="0.35">
      <c r="A27" s="23"/>
    </row>
    <row r="28" spans="1:7" x14ac:dyDescent="0.35">
      <c r="A28" s="176" t="s">
        <v>61</v>
      </c>
      <c r="B28" s="177" t="s">
        <v>60</v>
      </c>
      <c r="C28" s="177"/>
      <c r="D28" s="178">
        <f>B29*B17</f>
        <v>7612.1817000000001</v>
      </c>
    </row>
    <row r="29" spans="1:7" x14ac:dyDescent="0.35">
      <c r="A29" s="176"/>
      <c r="B29" s="179">
        <v>10</v>
      </c>
      <c r="C29" s="179"/>
      <c r="D29" s="178"/>
    </row>
  </sheetData>
  <mergeCells count="21">
    <mergeCell ref="C1:D1"/>
    <mergeCell ref="A8:D8"/>
    <mergeCell ref="A13:D13"/>
    <mergeCell ref="B14:C15"/>
    <mergeCell ref="D14:D15"/>
    <mergeCell ref="B17:C18"/>
    <mergeCell ref="D17:D18"/>
    <mergeCell ref="A20:D20"/>
    <mergeCell ref="A21:A22"/>
    <mergeCell ref="B21:C21"/>
    <mergeCell ref="D21:D22"/>
    <mergeCell ref="B22:C22"/>
    <mergeCell ref="A28:A29"/>
    <mergeCell ref="B28:C28"/>
    <mergeCell ref="D28:D29"/>
    <mergeCell ref="B29:C29"/>
    <mergeCell ref="A24:D24"/>
    <mergeCell ref="A25:A26"/>
    <mergeCell ref="B25:C25"/>
    <mergeCell ref="D25:D26"/>
    <mergeCell ref="B26:C2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.pdfxml.1" dvAspect="DVASPECT_ICON" shapeId="3073" r:id="rId4">
          <objectPr defaultSize="0" r:id="rId5">
            <anchor moveWithCells="1">
              <from>
                <xdr:col>5</xdr:col>
                <xdr:colOff>381000</xdr:colOff>
                <xdr:row>2</xdr:row>
                <xdr:rowOff>31750</xdr:rowOff>
              </from>
              <to>
                <xdr:col>5</xdr:col>
                <xdr:colOff>1295400</xdr:colOff>
                <xdr:row>5</xdr:row>
                <xdr:rowOff>171450</xdr:rowOff>
              </to>
            </anchor>
          </objectPr>
        </oleObject>
      </mc:Choice>
      <mc:Fallback>
        <oleObject progId="Acrobat.pdfxml.1" dvAspect="DVASPECT_ICON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7C83-AF0D-453B-8054-B1DC02AF0DA0}">
  <sheetPr transitionEvaluation="1" transitionEntry="1">
    <pageSetUpPr fitToPage="1"/>
  </sheetPr>
  <dimension ref="A1:AH94"/>
  <sheetViews>
    <sheetView showGridLines="0" topLeftCell="A3" zoomScale="115" zoomScaleNormal="115" workbookViewId="0">
      <pane xSplit="5" ySplit="9" topLeftCell="F63" activePane="bottomRight" state="frozen"/>
      <selection activeCell="A3" sqref="A3"/>
      <selection pane="topRight" activeCell="F3" sqref="F3"/>
      <selection pane="bottomLeft" activeCell="A12" sqref="A12"/>
      <selection pane="bottomRight" activeCell="R65" sqref="R65"/>
    </sheetView>
  </sheetViews>
  <sheetFormatPr baseColWidth="10" defaultColWidth="12.453125" defaultRowHeight="14.5" x14ac:dyDescent="0.35"/>
  <cols>
    <col min="1" max="1" width="1.7265625" style="33" customWidth="1"/>
    <col min="2" max="2" width="15.26953125" style="33" bestFit="1" customWidth="1"/>
    <col min="3" max="3" width="5.26953125" style="36" bestFit="1" customWidth="1"/>
    <col min="4" max="4" width="10" style="35" bestFit="1" customWidth="1"/>
    <col min="5" max="5" width="12.54296875" style="35" bestFit="1" customWidth="1"/>
    <col min="6" max="7" width="8.81640625" style="33" bestFit="1" customWidth="1"/>
    <col min="8" max="8" width="7.81640625" style="33" bestFit="1" customWidth="1"/>
    <col min="9" max="9" width="6.54296875" style="33" bestFit="1" customWidth="1"/>
    <col min="10" max="10" width="9" style="33" bestFit="1" customWidth="1"/>
    <col min="11" max="11" width="7.54296875" style="33" customWidth="1"/>
    <col min="12" max="12" width="5.54296875" style="33" bestFit="1" customWidth="1"/>
    <col min="13" max="13" width="6.54296875" style="34" bestFit="1" customWidth="1"/>
    <col min="14" max="14" width="10" style="33" customWidth="1"/>
    <col min="15" max="15" width="7.453125" style="33" customWidth="1"/>
    <col min="16" max="16" width="7" style="33" bestFit="1" customWidth="1"/>
    <col min="17" max="17" width="6.54296875" style="33" bestFit="1" customWidth="1"/>
    <col min="18" max="18" width="10.453125" style="33" customWidth="1"/>
    <col min="19" max="19" width="11.453125" style="33" bestFit="1" customWidth="1"/>
    <col min="20" max="20" width="8.453125" style="33" bestFit="1" customWidth="1"/>
    <col min="21" max="21" width="6.54296875" style="33" bestFit="1" customWidth="1"/>
    <col min="22" max="22" width="9.453125" style="33" bestFit="1" customWidth="1"/>
    <col min="23" max="23" width="8.54296875" style="33" customWidth="1"/>
    <col min="24" max="24" width="7" style="33" bestFit="1" customWidth="1"/>
    <col min="25" max="25" width="6.54296875" style="33" bestFit="1" customWidth="1"/>
    <col min="26" max="26" width="3" style="33" customWidth="1"/>
    <col min="27" max="29" width="12.453125" style="33"/>
    <col min="30" max="30" width="17.7265625" style="33" customWidth="1"/>
    <col min="31" max="31" width="27.26953125" style="33" customWidth="1"/>
    <col min="32" max="32" width="27.1796875" style="33" customWidth="1"/>
    <col min="33" max="33" width="33.54296875" style="33" customWidth="1"/>
    <col min="34" max="34" width="61.26953125" style="33" customWidth="1"/>
    <col min="35" max="16384" width="12.453125" style="33"/>
  </cols>
  <sheetData>
    <row r="1" spans="1:33" ht="21" customHeight="1" x14ac:dyDescent="0.35"/>
    <row r="2" spans="1:33" ht="21" customHeight="1" x14ac:dyDescent="0.35">
      <c r="A2" s="189" t="s">
        <v>276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</row>
    <row r="3" spans="1:33" ht="13.5" customHeight="1" x14ac:dyDescent="0.35">
      <c r="Z3" s="117"/>
      <c r="AA3" s="33" t="s">
        <v>275</v>
      </c>
    </row>
    <row r="4" spans="1:33" ht="15" customHeight="1" x14ac:dyDescent="0.35">
      <c r="A4" s="113" t="s">
        <v>274</v>
      </c>
      <c r="B4" s="98"/>
      <c r="C4" s="104"/>
      <c r="D4" s="98"/>
      <c r="E4" s="98"/>
      <c r="F4" s="98"/>
      <c r="G4" s="98"/>
      <c r="H4" s="98"/>
      <c r="I4" s="98"/>
      <c r="J4" s="98"/>
      <c r="K4" s="98"/>
      <c r="L4" s="98"/>
      <c r="M4" s="107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116"/>
      <c r="AA4" s="33" t="s">
        <v>273</v>
      </c>
    </row>
    <row r="5" spans="1:33" ht="15" customHeight="1" x14ac:dyDescent="0.35">
      <c r="A5" s="108" t="s">
        <v>272</v>
      </c>
      <c r="B5" s="98"/>
      <c r="C5" s="104"/>
      <c r="D5" s="98"/>
      <c r="E5" s="98"/>
      <c r="F5" s="98"/>
      <c r="G5" s="98"/>
      <c r="H5" s="98"/>
      <c r="I5" s="98"/>
      <c r="J5" s="115"/>
      <c r="K5" s="104"/>
      <c r="L5" s="112"/>
      <c r="M5" s="107"/>
      <c r="N5" s="98"/>
      <c r="O5" s="98"/>
      <c r="P5" s="98"/>
      <c r="Q5" s="98"/>
      <c r="R5" s="98"/>
      <c r="S5" s="98"/>
      <c r="T5" s="98"/>
      <c r="U5" s="103"/>
      <c r="V5" s="98"/>
      <c r="W5" s="98"/>
      <c r="X5" s="98"/>
      <c r="Y5" s="98"/>
      <c r="Z5" s="114"/>
      <c r="AA5" s="33" t="s">
        <v>271</v>
      </c>
    </row>
    <row r="6" spans="1:33" ht="15" customHeight="1" x14ac:dyDescent="0.35">
      <c r="B6" s="98"/>
      <c r="C6" s="104"/>
      <c r="D6" s="98"/>
      <c r="E6" s="98"/>
      <c r="F6" s="103"/>
      <c r="G6" s="100"/>
      <c r="H6" s="100"/>
      <c r="I6" s="100"/>
      <c r="J6" s="113"/>
      <c r="K6" s="104"/>
      <c r="L6" s="112"/>
      <c r="M6" s="107"/>
      <c r="N6" s="98"/>
      <c r="O6" s="100"/>
      <c r="P6" s="98"/>
      <c r="Q6" s="98"/>
      <c r="R6" s="98"/>
      <c r="S6" s="98"/>
      <c r="T6" s="98"/>
      <c r="U6" s="111"/>
      <c r="V6" s="98"/>
      <c r="W6" s="98"/>
      <c r="X6" s="98"/>
      <c r="Y6" s="98"/>
      <c r="Z6" s="110"/>
      <c r="AA6" s="33" t="s">
        <v>270</v>
      </c>
    </row>
    <row r="7" spans="1:33" ht="15" customHeight="1" x14ac:dyDescent="0.35">
      <c r="B7" s="98"/>
      <c r="C7" s="104"/>
      <c r="D7" s="98"/>
      <c r="E7" s="98"/>
      <c r="F7" s="103"/>
      <c r="G7" s="100"/>
      <c r="H7" s="108"/>
      <c r="I7" s="100"/>
      <c r="J7" s="100"/>
      <c r="K7" s="100"/>
      <c r="L7" s="100"/>
      <c r="M7" s="107"/>
      <c r="N7" s="100"/>
      <c r="O7" s="100"/>
      <c r="P7" s="98"/>
      <c r="Q7" s="98"/>
      <c r="R7" s="98"/>
      <c r="S7" s="98"/>
      <c r="T7" s="98"/>
      <c r="U7" s="98"/>
      <c r="V7" s="98"/>
      <c r="W7" s="98"/>
      <c r="X7" s="98"/>
      <c r="Y7" s="98"/>
      <c r="Z7" s="109"/>
      <c r="AA7" s="33" t="s">
        <v>269</v>
      </c>
    </row>
    <row r="8" spans="1:33" ht="15" customHeight="1" x14ac:dyDescent="0.35">
      <c r="B8" s="98"/>
      <c r="C8" s="104"/>
      <c r="D8" s="98"/>
      <c r="E8" s="98"/>
      <c r="F8" s="103"/>
      <c r="G8" s="100"/>
      <c r="H8" s="108"/>
      <c r="I8" s="100"/>
      <c r="J8" s="100"/>
      <c r="K8" s="100"/>
      <c r="L8" s="100"/>
      <c r="M8" s="107"/>
      <c r="N8" s="100"/>
      <c r="O8" s="100"/>
      <c r="P8" s="98"/>
      <c r="Q8" s="98"/>
      <c r="R8" s="98"/>
      <c r="S8" s="98"/>
      <c r="T8" s="98"/>
      <c r="U8" s="98"/>
      <c r="V8" s="98"/>
      <c r="W8" s="98"/>
      <c r="X8" s="98"/>
      <c r="Y8" s="98"/>
      <c r="Z8" s="106"/>
      <c r="AA8" s="33" t="s">
        <v>268</v>
      </c>
    </row>
    <row r="9" spans="1:33" ht="15.5" x14ac:dyDescent="0.35">
      <c r="B9" s="105"/>
      <c r="C9" s="104"/>
      <c r="F9" s="103"/>
      <c r="G9" s="100"/>
      <c r="H9" s="100"/>
      <c r="J9" s="102"/>
      <c r="K9" s="102"/>
      <c r="L9" s="102"/>
      <c r="M9" s="102"/>
      <c r="N9" s="101"/>
      <c r="O9" s="100"/>
      <c r="P9" s="98"/>
      <c r="Q9" s="98"/>
      <c r="R9" s="98"/>
      <c r="S9" s="99"/>
      <c r="T9" s="98"/>
      <c r="U9" s="98"/>
      <c r="V9" s="98"/>
      <c r="W9" s="98"/>
      <c r="X9" s="98"/>
      <c r="Y9" s="98"/>
    </row>
    <row r="10" spans="1:33" s="77" customFormat="1" x14ac:dyDescent="0.35">
      <c r="B10" s="97" t="s">
        <v>267</v>
      </c>
      <c r="C10" s="190" t="s">
        <v>266</v>
      </c>
      <c r="D10" s="191"/>
      <c r="E10" s="192"/>
      <c r="F10" s="96" t="s">
        <v>86</v>
      </c>
      <c r="G10" s="95"/>
      <c r="H10" s="95"/>
      <c r="I10" s="95"/>
      <c r="J10" s="94" t="s">
        <v>265</v>
      </c>
      <c r="K10" s="92"/>
      <c r="L10" s="92"/>
      <c r="M10" s="92"/>
      <c r="N10" s="93" t="s">
        <v>264</v>
      </c>
      <c r="O10" s="92"/>
      <c r="P10" s="91"/>
      <c r="Q10" s="90"/>
      <c r="R10" s="89" t="s">
        <v>263</v>
      </c>
      <c r="S10" s="87"/>
      <c r="T10" s="87"/>
      <c r="U10" s="87"/>
      <c r="V10" s="88" t="s">
        <v>262</v>
      </c>
      <c r="W10" s="87"/>
      <c r="X10" s="86"/>
      <c r="Y10" s="85"/>
      <c r="Z10" s="193" t="s">
        <v>261</v>
      </c>
      <c r="AA10" s="193"/>
      <c r="AB10" s="193"/>
      <c r="AC10" s="193"/>
      <c r="AD10" s="193"/>
      <c r="AE10" s="193"/>
      <c r="AF10" s="193"/>
      <c r="AG10" s="193"/>
    </row>
    <row r="11" spans="1:33" s="77" customFormat="1" ht="10.5" x14ac:dyDescent="0.35">
      <c r="B11" s="84" t="s">
        <v>260</v>
      </c>
      <c r="C11" s="83" t="s">
        <v>258</v>
      </c>
      <c r="D11" s="83" t="s">
        <v>257</v>
      </c>
      <c r="E11" s="82" t="s">
        <v>259</v>
      </c>
      <c r="F11" s="80" t="s">
        <v>258</v>
      </c>
      <c r="G11" s="79" t="s">
        <v>257</v>
      </c>
      <c r="H11" s="79" t="s">
        <v>256</v>
      </c>
      <c r="I11" s="81" t="s">
        <v>255</v>
      </c>
      <c r="J11" s="80" t="s">
        <v>258</v>
      </c>
      <c r="K11" s="79" t="s">
        <v>257</v>
      </c>
      <c r="L11" s="79" t="s">
        <v>256</v>
      </c>
      <c r="M11" s="81" t="s">
        <v>255</v>
      </c>
      <c r="N11" s="80" t="s">
        <v>258</v>
      </c>
      <c r="O11" s="79" t="s">
        <v>257</v>
      </c>
      <c r="P11" s="79" t="s">
        <v>256</v>
      </c>
      <c r="Q11" s="78" t="s">
        <v>255</v>
      </c>
      <c r="R11" s="80" t="s">
        <v>258</v>
      </c>
      <c r="S11" s="79" t="s">
        <v>257</v>
      </c>
      <c r="T11" s="79" t="s">
        <v>256</v>
      </c>
      <c r="U11" s="81" t="s">
        <v>255</v>
      </c>
      <c r="V11" s="80" t="s">
        <v>258</v>
      </c>
      <c r="W11" s="79" t="s">
        <v>257</v>
      </c>
      <c r="X11" s="79" t="s">
        <v>256</v>
      </c>
      <c r="Y11" s="78" t="s">
        <v>255</v>
      </c>
      <c r="Z11" s="193"/>
      <c r="AA11" s="193"/>
      <c r="AB11" s="193"/>
      <c r="AC11" s="193"/>
      <c r="AD11" s="193"/>
      <c r="AE11" s="193"/>
      <c r="AF11" s="193"/>
      <c r="AG11" s="193"/>
    </row>
    <row r="12" spans="1:33" x14ac:dyDescent="0.35">
      <c r="B12" s="76">
        <v>46037</v>
      </c>
      <c r="C12" s="68" t="s">
        <v>254</v>
      </c>
      <c r="D12" s="75" t="s">
        <v>253</v>
      </c>
      <c r="E12" s="75" t="s">
        <v>252</v>
      </c>
      <c r="F12" s="74">
        <v>1680.4739999999999</v>
      </c>
      <c r="G12" s="48">
        <v>1687.211</v>
      </c>
      <c r="H12" s="38">
        <f t="shared" ref="H12:H43" si="0">(IF(G12="","",G12-F12))</f>
        <v>6.73700000000008</v>
      </c>
      <c r="I12" s="37">
        <f t="shared" ref="I12:I43" si="1">IF(H12="","",H12/F12)</f>
        <v>4.0089879403073661E-3</v>
      </c>
      <c r="J12" s="42">
        <v>1201</v>
      </c>
      <c r="K12" s="42">
        <v>1255</v>
      </c>
      <c r="L12" s="41">
        <f t="shared" ref="L12:L43" si="2">(IF(K12="","",K12-J12))</f>
        <v>54</v>
      </c>
      <c r="M12" s="46">
        <f t="shared" ref="M12:M43" si="3">IF(L12="","",L12/J12)</f>
        <v>4.4962531223980015E-2</v>
      </c>
      <c r="N12" s="45">
        <f t="shared" ref="N12:N43" si="4">IF(J12="","",(F12*J12)/1000000)</f>
        <v>2.018249274</v>
      </c>
      <c r="O12" s="44">
        <f t="shared" ref="O12:O43" si="5">IF(K12="","",(G12*K12)/1000000)</f>
        <v>2.1174498050000001</v>
      </c>
      <c r="P12" s="43">
        <f t="shared" ref="P12:P43" si="6">(IF(O12="","",O12-N12))</f>
        <v>9.9200531000000147E-2</v>
      </c>
      <c r="Q12" s="37">
        <f t="shared" ref="Q12:Q43" si="7">IF(P12="","",P12/N12)</f>
        <v>4.9151773409730037E-2</v>
      </c>
      <c r="R12" s="47">
        <v>536705</v>
      </c>
      <c r="S12" s="42">
        <v>565480</v>
      </c>
      <c r="T12" s="41">
        <f t="shared" ref="T12:T43" si="8">(IF(S12="","",S12-R12))</f>
        <v>28775</v>
      </c>
      <c r="U12" s="37">
        <f t="shared" ref="U12:U43" si="9">IF(T12="","",T12/R12)</f>
        <v>5.3614182837871831E-2</v>
      </c>
      <c r="V12" s="40">
        <f t="shared" ref="V12:V43" si="10">IF(R12="","",(F12*R12)/1000000)</f>
        <v>901.91879816999995</v>
      </c>
      <c r="W12" s="39">
        <f t="shared" ref="W12:W43" si="11">IF(S12="","",(G12*S12)/1000000)</f>
        <v>954.08407627999998</v>
      </c>
      <c r="X12" s="38">
        <f t="shared" ref="X12:X43" si="12">(IF(W12="","",W12-V12))</f>
        <v>52.165278110000031</v>
      </c>
      <c r="Y12" s="37">
        <f t="shared" ref="Y12:Y43" si="13">IF(X12="","",X12/V12)</f>
        <v>5.7838109390605644E-2</v>
      </c>
      <c r="Z12" s="188" t="s">
        <v>251</v>
      </c>
      <c r="AA12" s="188"/>
      <c r="AB12" s="188"/>
      <c r="AC12" s="188"/>
      <c r="AD12" s="188"/>
      <c r="AE12" s="188"/>
      <c r="AF12" s="188"/>
      <c r="AG12" s="188"/>
    </row>
    <row r="13" spans="1:33" x14ac:dyDescent="0.35">
      <c r="B13" s="70">
        <v>46037</v>
      </c>
      <c r="C13" s="68" t="s">
        <v>250</v>
      </c>
      <c r="D13" s="53" t="s">
        <v>249</v>
      </c>
      <c r="E13" s="53" t="s">
        <v>248</v>
      </c>
      <c r="F13" s="48">
        <v>1413.1980000000001</v>
      </c>
      <c r="G13" s="48">
        <v>1403.867</v>
      </c>
      <c r="H13" s="38">
        <f t="shared" si="0"/>
        <v>-9.331000000000131</v>
      </c>
      <c r="I13" s="37">
        <f t="shared" si="1"/>
        <v>-6.6027548864349729E-3</v>
      </c>
      <c r="J13" s="42">
        <v>1214</v>
      </c>
      <c r="K13" s="42">
        <v>1127</v>
      </c>
      <c r="L13" s="41">
        <f t="shared" si="2"/>
        <v>-87</v>
      </c>
      <c r="M13" s="46">
        <f t="shared" si="3"/>
        <v>-7.1663920922570012E-2</v>
      </c>
      <c r="N13" s="45">
        <f t="shared" si="4"/>
        <v>1.7156223720000001</v>
      </c>
      <c r="O13" s="44">
        <f t="shared" si="5"/>
        <v>1.5821581089999999</v>
      </c>
      <c r="P13" s="43">
        <f t="shared" si="6"/>
        <v>-0.13346426300000025</v>
      </c>
      <c r="Q13" s="37">
        <f t="shared" si="7"/>
        <v>-7.7793496504952458E-2</v>
      </c>
      <c r="R13" s="47">
        <v>540337</v>
      </c>
      <c r="S13" s="42">
        <v>521256</v>
      </c>
      <c r="T13" s="41">
        <f t="shared" si="8"/>
        <v>-19081</v>
      </c>
      <c r="U13" s="37">
        <f t="shared" si="9"/>
        <v>-3.5313147165565197E-2</v>
      </c>
      <c r="V13" s="40">
        <f t="shared" si="10"/>
        <v>763.60316772600004</v>
      </c>
      <c r="W13" s="39">
        <f t="shared" si="11"/>
        <v>731.77409695200004</v>
      </c>
      <c r="X13" s="38">
        <f t="shared" si="12"/>
        <v>-31.829070774000002</v>
      </c>
      <c r="Y13" s="37">
        <f t="shared" si="13"/>
        <v>-4.1682737996997246E-2</v>
      </c>
      <c r="Z13" s="188" t="s">
        <v>247</v>
      </c>
      <c r="AA13" s="188"/>
      <c r="AB13" s="188"/>
      <c r="AC13" s="188"/>
      <c r="AD13" s="188"/>
      <c r="AE13" s="188"/>
      <c r="AF13" s="188"/>
      <c r="AG13" s="188"/>
    </row>
    <row r="14" spans="1:33" x14ac:dyDescent="0.35">
      <c r="B14" s="70">
        <v>46037</v>
      </c>
      <c r="C14" s="68" t="s">
        <v>246</v>
      </c>
      <c r="D14" s="53" t="s">
        <v>245</v>
      </c>
      <c r="E14" s="53" t="s">
        <v>244</v>
      </c>
      <c r="F14" s="48">
        <v>1350.4090000000001</v>
      </c>
      <c r="G14" s="48">
        <v>1369.39</v>
      </c>
      <c r="H14" s="38">
        <f t="shared" si="0"/>
        <v>18.980999999999995</v>
      </c>
      <c r="I14" s="37">
        <f t="shared" si="1"/>
        <v>1.4055741630868864E-2</v>
      </c>
      <c r="J14" s="42">
        <v>1117</v>
      </c>
      <c r="K14" s="42">
        <v>1210</v>
      </c>
      <c r="L14" s="41">
        <f t="shared" si="2"/>
        <v>93</v>
      </c>
      <c r="M14" s="46">
        <f t="shared" si="3"/>
        <v>8.3258728737690246E-2</v>
      </c>
      <c r="N14" s="45">
        <f t="shared" si="4"/>
        <v>1.5084068530000001</v>
      </c>
      <c r="O14" s="44">
        <f t="shared" si="5"/>
        <v>1.6569619000000002</v>
      </c>
      <c r="P14" s="43">
        <f t="shared" si="6"/>
        <v>0.14855504700000011</v>
      </c>
      <c r="Q14" s="37">
        <f t="shared" si="7"/>
        <v>9.8484733548210746E-2</v>
      </c>
      <c r="R14" s="47">
        <v>490044</v>
      </c>
      <c r="S14" s="42">
        <v>541418</v>
      </c>
      <c r="T14" s="41">
        <f t="shared" si="8"/>
        <v>51374</v>
      </c>
      <c r="U14" s="37">
        <f t="shared" si="9"/>
        <v>0.10483548416060598</v>
      </c>
      <c r="V14" s="40">
        <f t="shared" si="10"/>
        <v>661.75982799600001</v>
      </c>
      <c r="W14" s="39">
        <f t="shared" si="11"/>
        <v>741.41239502000008</v>
      </c>
      <c r="X14" s="38">
        <f t="shared" si="12"/>
        <v>79.652567024000064</v>
      </c>
      <c r="Y14" s="37">
        <f t="shared" si="13"/>
        <v>0.12036476627058347</v>
      </c>
      <c r="Z14" s="188" t="s">
        <v>227</v>
      </c>
      <c r="AA14" s="188"/>
      <c r="AB14" s="188"/>
      <c r="AC14" s="188"/>
      <c r="AD14" s="188"/>
      <c r="AE14" s="188"/>
      <c r="AF14" s="188"/>
      <c r="AG14" s="188"/>
    </row>
    <row r="15" spans="1:33" x14ac:dyDescent="0.35">
      <c r="B15" s="70">
        <v>46037</v>
      </c>
      <c r="C15" s="68" t="s">
        <v>243</v>
      </c>
      <c r="D15" s="53" t="s">
        <v>242</v>
      </c>
      <c r="E15" s="53" t="s">
        <v>241</v>
      </c>
      <c r="F15" s="48">
        <v>1254.27</v>
      </c>
      <c r="G15" s="48">
        <v>1259.6869999999999</v>
      </c>
      <c r="H15" s="38">
        <f t="shared" si="0"/>
        <v>5.4169999999999163</v>
      </c>
      <c r="I15" s="37">
        <f t="shared" si="1"/>
        <v>4.3188468192653226E-3</v>
      </c>
      <c r="J15" s="42">
        <v>1081</v>
      </c>
      <c r="K15" s="42">
        <v>1098</v>
      </c>
      <c r="L15" s="41">
        <f t="shared" si="2"/>
        <v>17</v>
      </c>
      <c r="M15" s="46">
        <f t="shared" si="3"/>
        <v>1.572617946345976E-2</v>
      </c>
      <c r="N15" s="45">
        <f t="shared" si="4"/>
        <v>1.3558658699999999</v>
      </c>
      <c r="O15" s="44">
        <f t="shared" si="5"/>
        <v>1.3831363259999998</v>
      </c>
      <c r="P15" s="43">
        <f t="shared" si="6"/>
        <v>2.7270455999999887E-2</v>
      </c>
      <c r="Q15" s="37">
        <f t="shared" si="7"/>
        <v>2.0112945242880029E-2</v>
      </c>
      <c r="R15" s="47">
        <v>487726</v>
      </c>
      <c r="S15" s="42">
        <v>491750</v>
      </c>
      <c r="T15" s="41">
        <f t="shared" si="8"/>
        <v>4024</v>
      </c>
      <c r="U15" s="37">
        <f t="shared" si="9"/>
        <v>8.2505341113658075E-3</v>
      </c>
      <c r="V15" s="40">
        <f t="shared" si="10"/>
        <v>611.74009002000003</v>
      </c>
      <c r="W15" s="39">
        <f t="shared" si="11"/>
        <v>619.45108225000001</v>
      </c>
      <c r="X15" s="38">
        <f t="shared" si="12"/>
        <v>7.710992229999988</v>
      </c>
      <c r="Y15" s="37">
        <f t="shared" si="13"/>
        <v>1.2605013723635291E-2</v>
      </c>
      <c r="Z15" s="73"/>
      <c r="AA15" s="73"/>
    </row>
    <row r="16" spans="1:33" x14ac:dyDescent="0.35">
      <c r="B16" s="70">
        <v>46048</v>
      </c>
      <c r="C16" s="68" t="s">
        <v>240</v>
      </c>
      <c r="D16" s="53" t="s">
        <v>239</v>
      </c>
      <c r="E16" s="53" t="s">
        <v>238</v>
      </c>
      <c r="F16" s="48">
        <v>1320.4010000000001</v>
      </c>
      <c r="G16" s="48">
        <v>1323.413</v>
      </c>
      <c r="H16" s="38">
        <f t="shared" si="0"/>
        <v>3.0119999999999436</v>
      </c>
      <c r="I16" s="37">
        <f t="shared" si="1"/>
        <v>2.2811252036312782E-3</v>
      </c>
      <c r="J16" s="42">
        <v>1180</v>
      </c>
      <c r="K16" s="42">
        <v>1152</v>
      </c>
      <c r="L16" s="41">
        <f t="shared" si="2"/>
        <v>-28</v>
      </c>
      <c r="M16" s="46">
        <f t="shared" si="3"/>
        <v>-2.3728813559322035E-2</v>
      </c>
      <c r="N16" s="45">
        <f t="shared" si="4"/>
        <v>1.5580731800000001</v>
      </c>
      <c r="O16" s="44">
        <f t="shared" si="5"/>
        <v>1.5245717760000002</v>
      </c>
      <c r="P16" s="43">
        <f t="shared" si="6"/>
        <v>-3.3501403999999901E-2</v>
      </c>
      <c r="Q16" s="37">
        <f t="shared" si="7"/>
        <v>-2.1501816750353085E-2</v>
      </c>
      <c r="R16" s="47">
        <v>524747</v>
      </c>
      <c r="S16" s="42">
        <v>528068</v>
      </c>
      <c r="T16" s="41">
        <f t="shared" si="8"/>
        <v>3321</v>
      </c>
      <c r="U16" s="37">
        <f t="shared" si="9"/>
        <v>6.3287641472938383E-3</v>
      </c>
      <c r="V16" s="40">
        <f t="shared" si="10"/>
        <v>692.87646354700007</v>
      </c>
      <c r="W16" s="39">
        <f t="shared" si="11"/>
        <v>698.85205608399997</v>
      </c>
      <c r="X16" s="38">
        <f t="shared" si="12"/>
        <v>5.9755925369998977</v>
      </c>
      <c r="Y16" s="37">
        <f t="shared" si="13"/>
        <v>8.6243260543292424E-3</v>
      </c>
      <c r="Z16" s="188" t="s">
        <v>237</v>
      </c>
      <c r="AA16" s="188"/>
      <c r="AB16" s="188"/>
      <c r="AC16" s="188"/>
      <c r="AD16" s="188"/>
      <c r="AE16" s="188"/>
      <c r="AF16" s="188"/>
      <c r="AG16" s="188"/>
    </row>
    <row r="17" spans="2:34" x14ac:dyDescent="0.35">
      <c r="B17" s="70">
        <v>46048</v>
      </c>
      <c r="C17" s="68" t="s">
        <v>236</v>
      </c>
      <c r="D17" s="53" t="s">
        <v>235</v>
      </c>
      <c r="E17" s="53" t="s">
        <v>234</v>
      </c>
      <c r="F17" s="48">
        <v>987.23900000000003</v>
      </c>
      <c r="G17" s="48">
        <v>988.38199999999995</v>
      </c>
      <c r="H17" s="38">
        <f t="shared" si="0"/>
        <v>1.1429999999999154</v>
      </c>
      <c r="I17" s="37">
        <f t="shared" si="1"/>
        <v>1.1577743585898807E-3</v>
      </c>
      <c r="J17" s="42">
        <v>1134</v>
      </c>
      <c r="K17" s="42">
        <v>1123</v>
      </c>
      <c r="L17" s="41">
        <f t="shared" si="2"/>
        <v>-11</v>
      </c>
      <c r="M17" s="46">
        <f t="shared" si="3"/>
        <v>-9.700176366843033E-3</v>
      </c>
      <c r="N17" s="45">
        <f t="shared" si="4"/>
        <v>1.1195290260000001</v>
      </c>
      <c r="O17" s="44">
        <f t="shared" si="5"/>
        <v>1.1099529860000001</v>
      </c>
      <c r="P17" s="43">
        <f t="shared" si="6"/>
        <v>-9.5760400000000079E-3</v>
      </c>
      <c r="Q17" s="37">
        <f t="shared" si="7"/>
        <v>-8.553632623724404E-3</v>
      </c>
      <c r="R17" s="47">
        <v>493093</v>
      </c>
      <c r="S17" s="42">
        <v>500995</v>
      </c>
      <c r="T17" s="41">
        <f t="shared" si="8"/>
        <v>7902</v>
      </c>
      <c r="U17" s="37">
        <f t="shared" si="9"/>
        <v>1.6025374523669977E-2</v>
      </c>
      <c r="V17" s="40">
        <f t="shared" si="10"/>
        <v>486.80064022699997</v>
      </c>
      <c r="W17" s="39">
        <f t="shared" si="11"/>
        <v>495.17444008999996</v>
      </c>
      <c r="X17" s="38">
        <f t="shared" si="12"/>
        <v>8.3737998629999879</v>
      </c>
      <c r="Y17" s="37">
        <f t="shared" si="13"/>
        <v>1.7201702649970226E-2</v>
      </c>
    </row>
    <row r="18" spans="2:34" x14ac:dyDescent="0.35">
      <c r="B18" s="70">
        <v>46048</v>
      </c>
      <c r="C18" s="68" t="s">
        <v>233</v>
      </c>
      <c r="D18" s="53" t="s">
        <v>232</v>
      </c>
      <c r="E18" s="53" t="s">
        <v>231</v>
      </c>
      <c r="F18" s="48">
        <v>1440.588</v>
      </c>
      <c r="G18" s="48">
        <v>1410.64</v>
      </c>
      <c r="H18" s="38">
        <f t="shared" si="0"/>
        <v>-29.947999999999865</v>
      </c>
      <c r="I18" s="37">
        <f t="shared" si="1"/>
        <v>-2.0788733489380633E-2</v>
      </c>
      <c r="J18" s="42">
        <v>933</v>
      </c>
      <c r="K18" s="42">
        <v>888</v>
      </c>
      <c r="L18" s="41">
        <f t="shared" si="2"/>
        <v>-45</v>
      </c>
      <c r="M18" s="46">
        <f t="shared" si="3"/>
        <v>-4.8231511254019289E-2</v>
      </c>
      <c r="N18" s="45">
        <f t="shared" si="4"/>
        <v>1.3440686040000001</v>
      </c>
      <c r="O18" s="44">
        <f t="shared" si="5"/>
        <v>1.25264832</v>
      </c>
      <c r="P18" s="43">
        <f t="shared" si="6"/>
        <v>-9.1420284000000018E-2</v>
      </c>
      <c r="Q18" s="37">
        <f t="shared" si="7"/>
        <v>-6.8017572710150159E-2</v>
      </c>
      <c r="R18" s="47">
        <v>496134</v>
      </c>
      <c r="S18" s="42">
        <v>522883</v>
      </c>
      <c r="T18" s="41">
        <f t="shared" si="8"/>
        <v>26749</v>
      </c>
      <c r="U18" s="37">
        <f t="shared" si="9"/>
        <v>5.3914869773085496E-2</v>
      </c>
      <c r="V18" s="40">
        <f t="shared" si="10"/>
        <v>714.72468679199994</v>
      </c>
      <c r="W18" s="39">
        <f t="shared" si="11"/>
        <v>737.59967512000003</v>
      </c>
      <c r="X18" s="38">
        <f t="shared" si="12"/>
        <v>22.874988328000086</v>
      </c>
      <c r="Y18" s="37">
        <f t="shared" si="13"/>
        <v>3.200531442487755E-2</v>
      </c>
      <c r="Z18" s="188" t="s">
        <v>227</v>
      </c>
      <c r="AA18" s="188"/>
      <c r="AB18" s="188"/>
      <c r="AC18" s="188"/>
      <c r="AD18" s="188"/>
      <c r="AE18" s="188"/>
      <c r="AF18" s="188"/>
      <c r="AG18" s="188"/>
    </row>
    <row r="19" spans="2:34" x14ac:dyDescent="0.35">
      <c r="B19" s="70">
        <v>46048</v>
      </c>
      <c r="C19" s="68" t="s">
        <v>230</v>
      </c>
      <c r="D19" s="53" t="s">
        <v>229</v>
      </c>
      <c r="E19" s="53" t="s">
        <v>228</v>
      </c>
      <c r="F19" s="48">
        <v>1420.039</v>
      </c>
      <c r="G19" s="48">
        <v>1447.164</v>
      </c>
      <c r="H19" s="38">
        <f t="shared" si="0"/>
        <v>27.125</v>
      </c>
      <c r="I19" s="37">
        <f t="shared" si="1"/>
        <v>1.9101588054975954E-2</v>
      </c>
      <c r="J19" s="42">
        <v>950</v>
      </c>
      <c r="K19" s="42">
        <v>883</v>
      </c>
      <c r="L19" s="41">
        <f t="shared" si="2"/>
        <v>-67</v>
      </c>
      <c r="M19" s="46">
        <f t="shared" si="3"/>
        <v>-7.0526315789473687E-2</v>
      </c>
      <c r="N19" s="45">
        <f t="shared" si="4"/>
        <v>1.34903705</v>
      </c>
      <c r="O19" s="44">
        <f t="shared" si="5"/>
        <v>1.277845812</v>
      </c>
      <c r="P19" s="43">
        <f t="shared" si="6"/>
        <v>-7.1191237999999935E-2</v>
      </c>
      <c r="Q19" s="37">
        <f t="shared" si="7"/>
        <v>-5.2771892365743353E-2</v>
      </c>
      <c r="R19" s="47">
        <v>501713</v>
      </c>
      <c r="S19" s="42">
        <v>525123</v>
      </c>
      <c r="T19" s="41">
        <f t="shared" si="8"/>
        <v>23410</v>
      </c>
      <c r="U19" s="37">
        <f t="shared" si="9"/>
        <v>4.6660142352301016E-2</v>
      </c>
      <c r="V19" s="40">
        <f t="shared" si="10"/>
        <v>712.45202680700004</v>
      </c>
      <c r="W19" s="39">
        <f t="shared" si="11"/>
        <v>759.93910117200005</v>
      </c>
      <c r="X19" s="38">
        <f t="shared" si="12"/>
        <v>47.487074365000012</v>
      </c>
      <c r="Y19" s="37">
        <f t="shared" si="13"/>
        <v>6.6653013225077176E-2</v>
      </c>
      <c r="Z19" s="188" t="s">
        <v>227</v>
      </c>
      <c r="AA19" s="188"/>
      <c r="AB19" s="188"/>
      <c r="AC19" s="188"/>
      <c r="AD19" s="188"/>
      <c r="AE19" s="188"/>
      <c r="AF19" s="188"/>
      <c r="AG19" s="188"/>
    </row>
    <row r="20" spans="2:34" x14ac:dyDescent="0.35">
      <c r="B20" s="70">
        <v>46071</v>
      </c>
      <c r="C20" s="68" t="s">
        <v>226</v>
      </c>
      <c r="D20" s="53" t="s">
        <v>225</v>
      </c>
      <c r="E20" s="53" t="s">
        <v>224</v>
      </c>
      <c r="F20" s="48">
        <v>1241.317</v>
      </c>
      <c r="G20" s="48">
        <v>1196.0250000000001</v>
      </c>
      <c r="H20" s="38">
        <f t="shared" si="0"/>
        <v>-45.291999999999916</v>
      </c>
      <c r="I20" s="37">
        <f t="shared" si="1"/>
        <v>-3.6487053669610518E-2</v>
      </c>
      <c r="J20" s="42">
        <v>840</v>
      </c>
      <c r="K20" s="42">
        <v>821</v>
      </c>
      <c r="L20" s="41">
        <f t="shared" si="2"/>
        <v>-19</v>
      </c>
      <c r="M20" s="46">
        <f t="shared" si="3"/>
        <v>-2.2619047619047618E-2</v>
      </c>
      <c r="N20" s="45">
        <f t="shared" si="4"/>
        <v>1.04270628</v>
      </c>
      <c r="O20" s="44">
        <f t="shared" si="5"/>
        <v>0.98193652500000006</v>
      </c>
      <c r="P20" s="43">
        <f t="shared" si="6"/>
        <v>-6.0769754999999925E-2</v>
      </c>
      <c r="Q20" s="37">
        <f t="shared" si="7"/>
        <v>-5.8280798884226465E-2</v>
      </c>
      <c r="R20" s="47">
        <v>473827</v>
      </c>
      <c r="S20" s="42">
        <v>503156</v>
      </c>
      <c r="T20" s="41">
        <f t="shared" si="8"/>
        <v>29329</v>
      </c>
      <c r="U20" s="37">
        <f t="shared" si="9"/>
        <v>6.1898118933703651E-2</v>
      </c>
      <c r="V20" s="40">
        <f t="shared" si="10"/>
        <v>588.16951015900008</v>
      </c>
      <c r="W20" s="39">
        <f t="shared" si="11"/>
        <v>601.78715490000013</v>
      </c>
      <c r="X20" s="38">
        <f t="shared" si="12"/>
        <v>13.617644741000049</v>
      </c>
      <c r="Y20" s="37">
        <f t="shared" si="13"/>
        <v>2.3152585276511164E-2</v>
      </c>
      <c r="Z20" s="188"/>
      <c r="AA20" s="188"/>
      <c r="AB20" s="188"/>
      <c r="AC20" s="188"/>
      <c r="AD20" s="188"/>
      <c r="AE20" s="188"/>
      <c r="AF20" s="188"/>
      <c r="AG20" s="188"/>
    </row>
    <row r="21" spans="2:34" x14ac:dyDescent="0.35">
      <c r="B21" s="70">
        <v>46071</v>
      </c>
      <c r="C21" s="68" t="s">
        <v>223</v>
      </c>
      <c r="D21" s="53" t="s">
        <v>222</v>
      </c>
      <c r="E21" s="53" t="s">
        <v>221</v>
      </c>
      <c r="F21" s="48">
        <v>1189.5619999999999</v>
      </c>
      <c r="G21" s="48">
        <v>1149.1610000000001</v>
      </c>
      <c r="H21" s="38">
        <f t="shared" si="0"/>
        <v>-40.40099999999984</v>
      </c>
      <c r="I21" s="37">
        <f t="shared" si="1"/>
        <v>-3.3962920806145325E-2</v>
      </c>
      <c r="J21" s="42">
        <v>820</v>
      </c>
      <c r="K21" s="42">
        <v>855</v>
      </c>
      <c r="L21" s="41">
        <f t="shared" si="2"/>
        <v>35</v>
      </c>
      <c r="M21" s="46">
        <f t="shared" si="3"/>
        <v>4.2682926829268296E-2</v>
      </c>
      <c r="N21" s="45">
        <f t="shared" si="4"/>
        <v>0.97544083999999998</v>
      </c>
      <c r="O21" s="44">
        <f t="shared" si="5"/>
        <v>0.98253265499999998</v>
      </c>
      <c r="P21" s="43">
        <f t="shared" si="6"/>
        <v>7.0918150000000013E-3</v>
      </c>
      <c r="Q21" s="37">
        <f t="shared" si="7"/>
        <v>7.2703691594458988E-3</v>
      </c>
      <c r="R21" s="47">
        <v>466677</v>
      </c>
      <c r="S21" s="42">
        <v>490226</v>
      </c>
      <c r="T21" s="41">
        <f t="shared" si="8"/>
        <v>23549</v>
      </c>
      <c r="U21" s="37">
        <f t="shared" si="9"/>
        <v>5.0461025505863802E-2</v>
      </c>
      <c r="V21" s="40">
        <f t="shared" si="10"/>
        <v>555.14122547399995</v>
      </c>
      <c r="W21" s="39">
        <f t="shared" si="11"/>
        <v>563.34860038600004</v>
      </c>
      <c r="X21" s="38">
        <f t="shared" si="12"/>
        <v>8.2073749120000912</v>
      </c>
      <c r="Y21" s="37">
        <f t="shared" si="13"/>
        <v>1.4784300886665972E-2</v>
      </c>
      <c r="Z21" s="188"/>
      <c r="AA21" s="188"/>
      <c r="AB21" s="188"/>
      <c r="AC21" s="188"/>
      <c r="AD21" s="188"/>
      <c r="AE21" s="188"/>
      <c r="AF21" s="188"/>
      <c r="AG21" s="188"/>
    </row>
    <row r="22" spans="2:34" x14ac:dyDescent="0.35">
      <c r="B22" s="70">
        <v>46071</v>
      </c>
      <c r="C22" s="68" t="s">
        <v>220</v>
      </c>
      <c r="D22" s="53" t="s">
        <v>219</v>
      </c>
      <c r="E22" s="53" t="s">
        <v>218</v>
      </c>
      <c r="F22" s="48">
        <v>1271.348</v>
      </c>
      <c r="G22" s="48">
        <v>1211.42</v>
      </c>
      <c r="H22" s="38">
        <f t="shared" si="0"/>
        <v>-59.927999999999884</v>
      </c>
      <c r="I22" s="37">
        <f t="shared" si="1"/>
        <v>-4.7137369154629481E-2</v>
      </c>
      <c r="J22" s="42">
        <v>836</v>
      </c>
      <c r="K22" s="42">
        <v>852</v>
      </c>
      <c r="L22" s="41">
        <f t="shared" si="2"/>
        <v>16</v>
      </c>
      <c r="M22" s="46">
        <f t="shared" si="3"/>
        <v>1.9138755980861243E-2</v>
      </c>
      <c r="N22" s="45">
        <f t="shared" si="4"/>
        <v>1.0628469280000001</v>
      </c>
      <c r="O22" s="44">
        <f t="shared" si="5"/>
        <v>1.0321298400000001</v>
      </c>
      <c r="P22" s="43">
        <f t="shared" si="6"/>
        <v>-3.0717088000000059E-2</v>
      </c>
      <c r="Q22" s="37">
        <f t="shared" si="7"/>
        <v>-2.8900763779598614E-2</v>
      </c>
      <c r="R22" s="47">
        <v>437157</v>
      </c>
      <c r="S22" s="42">
        <v>465924</v>
      </c>
      <c r="T22" s="41">
        <f t="shared" si="8"/>
        <v>28767</v>
      </c>
      <c r="U22" s="37">
        <f t="shared" si="9"/>
        <v>6.5804733768417292E-2</v>
      </c>
      <c r="V22" s="40">
        <f t="shared" si="10"/>
        <v>555.778677636</v>
      </c>
      <c r="W22" s="39">
        <f t="shared" si="11"/>
        <v>564.4296520800001</v>
      </c>
      <c r="X22" s="38">
        <f t="shared" si="12"/>
        <v>8.6509744440000986</v>
      </c>
      <c r="Y22" s="37">
        <f t="shared" si="13"/>
        <v>1.5565502586023894E-2</v>
      </c>
      <c r="Z22" s="188"/>
      <c r="AA22" s="188"/>
      <c r="AB22" s="188"/>
      <c r="AC22" s="188"/>
      <c r="AD22" s="188"/>
      <c r="AE22" s="188"/>
      <c r="AF22" s="188"/>
      <c r="AG22" s="188"/>
    </row>
    <row r="23" spans="2:34" x14ac:dyDescent="0.35">
      <c r="B23" s="70">
        <v>46078</v>
      </c>
      <c r="C23" s="68" t="s">
        <v>217</v>
      </c>
      <c r="D23" s="53" t="s">
        <v>216</v>
      </c>
      <c r="E23" s="53" t="s">
        <v>215</v>
      </c>
      <c r="F23" s="48">
        <v>1244.9780000000001</v>
      </c>
      <c r="G23" s="48">
        <v>1250.588</v>
      </c>
      <c r="H23" s="38">
        <f t="shared" si="0"/>
        <v>5.6099999999999</v>
      </c>
      <c r="I23" s="37">
        <f t="shared" si="1"/>
        <v>4.5061037223146916E-3</v>
      </c>
      <c r="J23" s="42">
        <v>844</v>
      </c>
      <c r="K23" s="42">
        <v>912</v>
      </c>
      <c r="L23" s="41">
        <f t="shared" si="2"/>
        <v>68</v>
      </c>
      <c r="M23" s="46">
        <f t="shared" si="3"/>
        <v>8.0568720379146919E-2</v>
      </c>
      <c r="N23" s="45">
        <f t="shared" si="4"/>
        <v>1.0507614320000001</v>
      </c>
      <c r="O23" s="44">
        <f t="shared" si="5"/>
        <v>1.1405362560000001</v>
      </c>
      <c r="P23" s="43">
        <f t="shared" si="6"/>
        <v>8.9774824000000031E-2</v>
      </c>
      <c r="Q23" s="37">
        <f t="shared" si="7"/>
        <v>8.5437875112264333E-2</v>
      </c>
      <c r="R23" s="47">
        <v>435875</v>
      </c>
      <c r="S23" s="42">
        <v>465607</v>
      </c>
      <c r="T23" s="41">
        <f t="shared" si="8"/>
        <v>29732</v>
      </c>
      <c r="U23" s="37">
        <f t="shared" si="9"/>
        <v>6.821221680527674E-2</v>
      </c>
      <c r="V23" s="40">
        <f t="shared" si="10"/>
        <v>542.65478574999997</v>
      </c>
      <c r="W23" s="39">
        <f t="shared" si="11"/>
        <v>582.28252691600005</v>
      </c>
      <c r="X23" s="38">
        <f t="shared" si="12"/>
        <v>39.627741166000078</v>
      </c>
      <c r="Y23" s="37">
        <f t="shared" si="13"/>
        <v>7.3025691851645258E-2</v>
      </c>
    </row>
    <row r="24" spans="2:34" x14ac:dyDescent="0.35">
      <c r="B24" s="70">
        <v>46078</v>
      </c>
      <c r="C24" s="72" t="s">
        <v>214</v>
      </c>
      <c r="D24" s="53" t="s">
        <v>213</v>
      </c>
      <c r="E24" s="53" t="s">
        <v>212</v>
      </c>
      <c r="F24" s="48">
        <v>1543.182</v>
      </c>
      <c r="G24" s="48">
        <v>1538.223</v>
      </c>
      <c r="H24" s="38">
        <f t="shared" si="0"/>
        <v>-4.95900000000006</v>
      </c>
      <c r="I24" s="37">
        <f t="shared" si="1"/>
        <v>-3.2134900484842746E-3</v>
      </c>
      <c r="J24" s="42">
        <v>758</v>
      </c>
      <c r="K24" s="42">
        <v>619</v>
      </c>
      <c r="L24" s="41">
        <f t="shared" si="2"/>
        <v>-139</v>
      </c>
      <c r="M24" s="46">
        <f t="shared" si="3"/>
        <v>-0.18337730870712401</v>
      </c>
      <c r="N24" s="45">
        <f t="shared" si="4"/>
        <v>1.1697319559999999</v>
      </c>
      <c r="O24" s="44">
        <f t="shared" si="5"/>
        <v>0.95216003699999996</v>
      </c>
      <c r="P24" s="43">
        <f t="shared" si="6"/>
        <v>-0.21757191899999995</v>
      </c>
      <c r="Q24" s="37">
        <f t="shared" si="7"/>
        <v>-0.18600151759896005</v>
      </c>
      <c r="R24" s="47">
        <v>419992</v>
      </c>
      <c r="S24" s="42">
        <v>431308</v>
      </c>
      <c r="T24" s="41">
        <f t="shared" si="8"/>
        <v>11316</v>
      </c>
      <c r="U24" s="37">
        <f t="shared" si="9"/>
        <v>2.6943370349911427E-2</v>
      </c>
      <c r="V24" s="40">
        <f t="shared" si="10"/>
        <v>648.12409454400006</v>
      </c>
      <c r="W24" s="39">
        <f t="shared" si="11"/>
        <v>663.44788568399997</v>
      </c>
      <c r="X24" s="38">
        <f t="shared" si="12"/>
        <v>15.323791139999912</v>
      </c>
      <c r="Y24" s="37">
        <f t="shared" si="13"/>
        <v>2.3643298048934988E-2</v>
      </c>
      <c r="Z24" s="188" t="s">
        <v>211</v>
      </c>
      <c r="AA24" s="188"/>
      <c r="AB24" s="188"/>
      <c r="AC24" s="188"/>
      <c r="AD24" s="188"/>
      <c r="AE24" s="188"/>
      <c r="AF24" s="188"/>
      <c r="AG24" s="188"/>
    </row>
    <row r="25" spans="2:34" x14ac:dyDescent="0.35">
      <c r="B25" s="70">
        <v>46078</v>
      </c>
      <c r="C25" s="68" t="s">
        <v>210</v>
      </c>
      <c r="D25" s="53" t="s">
        <v>209</v>
      </c>
      <c r="E25" s="53" t="s">
        <v>208</v>
      </c>
      <c r="F25" s="48">
        <v>1240.3800000000001</v>
      </c>
      <c r="G25" s="48">
        <v>1244.194</v>
      </c>
      <c r="H25" s="38">
        <f t="shared" si="0"/>
        <v>3.8139999999998508</v>
      </c>
      <c r="I25" s="37">
        <f t="shared" si="1"/>
        <v>3.0748641545331676E-3</v>
      </c>
      <c r="J25" s="42">
        <v>750</v>
      </c>
      <c r="K25" s="42">
        <v>688</v>
      </c>
      <c r="L25" s="41">
        <f t="shared" si="2"/>
        <v>-62</v>
      </c>
      <c r="M25" s="46">
        <f t="shared" si="3"/>
        <v>-8.2666666666666666E-2</v>
      </c>
      <c r="N25" s="45">
        <f t="shared" si="4"/>
        <v>0.93028500000000014</v>
      </c>
      <c r="O25" s="44">
        <f t="shared" si="5"/>
        <v>0.85600547199999999</v>
      </c>
      <c r="P25" s="43">
        <f t="shared" si="6"/>
        <v>-7.427952800000015E-2</v>
      </c>
      <c r="Q25" s="37">
        <f t="shared" si="7"/>
        <v>-7.984599128224161E-2</v>
      </c>
      <c r="R25" s="47">
        <v>421172</v>
      </c>
      <c r="S25" s="42">
        <v>437658</v>
      </c>
      <c r="T25" s="41">
        <f t="shared" si="8"/>
        <v>16486</v>
      </c>
      <c r="U25" s="37">
        <f t="shared" si="9"/>
        <v>3.9143152916148269E-2</v>
      </c>
      <c r="V25" s="40">
        <f t="shared" si="10"/>
        <v>522.41332536000004</v>
      </c>
      <c r="W25" s="39">
        <f t="shared" si="11"/>
        <v>544.53145765199997</v>
      </c>
      <c r="X25" s="38">
        <f t="shared" si="12"/>
        <v>22.118132291999927</v>
      </c>
      <c r="Y25" s="37">
        <f t="shared" si="13"/>
        <v>4.2338376948478695E-2</v>
      </c>
      <c r="Z25" s="188" t="s">
        <v>207</v>
      </c>
      <c r="AA25" s="188"/>
      <c r="AB25" s="188"/>
      <c r="AC25" s="188"/>
      <c r="AD25" s="188"/>
      <c r="AE25" s="188"/>
      <c r="AF25" s="188"/>
      <c r="AG25" s="188"/>
    </row>
    <row r="26" spans="2:34" x14ac:dyDescent="0.35">
      <c r="B26" s="70">
        <v>46080</v>
      </c>
      <c r="C26" s="68" t="s">
        <v>206</v>
      </c>
      <c r="D26" s="53" t="s">
        <v>205</v>
      </c>
      <c r="E26" s="53" t="s">
        <v>204</v>
      </c>
      <c r="F26" s="48">
        <v>1542.5840000000001</v>
      </c>
      <c r="G26" s="48">
        <v>1540.1590000000001</v>
      </c>
      <c r="H26" s="38">
        <f t="shared" si="0"/>
        <v>-2.4249999999999545</v>
      </c>
      <c r="I26" s="37">
        <f t="shared" si="1"/>
        <v>-1.5720375681324028E-3</v>
      </c>
      <c r="J26" s="42">
        <v>690</v>
      </c>
      <c r="K26" s="42">
        <v>715</v>
      </c>
      <c r="L26" s="41">
        <f t="shared" si="2"/>
        <v>25</v>
      </c>
      <c r="M26" s="46">
        <f t="shared" si="3"/>
        <v>3.6231884057971016E-2</v>
      </c>
      <c r="N26" s="45">
        <f t="shared" si="4"/>
        <v>1.0643829599999999</v>
      </c>
      <c r="O26" s="44">
        <f t="shared" si="5"/>
        <v>1.1012136850000001</v>
      </c>
      <c r="P26" s="43">
        <f t="shared" si="6"/>
        <v>3.6830725000000175E-2</v>
      </c>
      <c r="Q26" s="37">
        <f t="shared" si="7"/>
        <v>3.4602888606935403E-2</v>
      </c>
      <c r="R26" s="47">
        <v>411608</v>
      </c>
      <c r="S26" s="42">
        <v>424483</v>
      </c>
      <c r="T26" s="41">
        <f t="shared" si="8"/>
        <v>12875</v>
      </c>
      <c r="U26" s="37">
        <f t="shared" si="9"/>
        <v>3.1279761326310468E-2</v>
      </c>
      <c r="V26" s="40">
        <f t="shared" si="10"/>
        <v>634.93991507200008</v>
      </c>
      <c r="W26" s="39">
        <f t="shared" si="11"/>
        <v>653.77131279700006</v>
      </c>
      <c r="X26" s="38">
        <f t="shared" si="12"/>
        <v>18.831397724999988</v>
      </c>
      <c r="Y26" s="37">
        <f t="shared" si="13"/>
        <v>2.9658550798250839E-2</v>
      </c>
      <c r="Z26" s="188" t="s">
        <v>200</v>
      </c>
      <c r="AA26" s="188"/>
      <c r="AB26" s="188"/>
      <c r="AC26" s="188"/>
      <c r="AD26" s="188"/>
      <c r="AE26" s="188"/>
      <c r="AF26" s="188"/>
      <c r="AG26" s="188"/>
    </row>
    <row r="27" spans="2:34" x14ac:dyDescent="0.35">
      <c r="B27" s="70">
        <v>46080</v>
      </c>
      <c r="C27" s="68" t="s">
        <v>203</v>
      </c>
      <c r="D27" s="53" t="s">
        <v>202</v>
      </c>
      <c r="E27" s="53" t="s">
        <v>201</v>
      </c>
      <c r="F27" s="48">
        <v>1580.0840000000001</v>
      </c>
      <c r="G27" s="48">
        <v>1505.3679999999999</v>
      </c>
      <c r="H27" s="38">
        <f t="shared" si="0"/>
        <v>-74.716000000000122</v>
      </c>
      <c r="I27" s="37">
        <f t="shared" si="1"/>
        <v>-4.7286093650717377E-2</v>
      </c>
      <c r="J27" s="42">
        <v>708</v>
      </c>
      <c r="K27" s="42">
        <v>719</v>
      </c>
      <c r="L27" s="41">
        <f t="shared" si="2"/>
        <v>11</v>
      </c>
      <c r="M27" s="46">
        <f t="shared" si="3"/>
        <v>1.5536723163841809E-2</v>
      </c>
      <c r="N27" s="45">
        <f t="shared" si="4"/>
        <v>1.1186994720000001</v>
      </c>
      <c r="O27" s="44">
        <f t="shared" si="5"/>
        <v>1.082359592</v>
      </c>
      <c r="P27" s="43">
        <f t="shared" si="6"/>
        <v>-3.6339880000000102E-2</v>
      </c>
      <c r="Q27" s="37">
        <f t="shared" si="7"/>
        <v>-3.2484041433426279E-2</v>
      </c>
      <c r="R27" s="47">
        <v>418991</v>
      </c>
      <c r="S27" s="42">
        <v>447761</v>
      </c>
      <c r="T27" s="41">
        <f t="shared" si="8"/>
        <v>28770</v>
      </c>
      <c r="U27" s="37">
        <f t="shared" si="9"/>
        <v>6.8664959390535837E-2</v>
      </c>
      <c r="V27" s="40">
        <f t="shared" si="10"/>
        <v>662.04097524400004</v>
      </c>
      <c r="W27" s="39">
        <f t="shared" si="11"/>
        <v>674.04508104799993</v>
      </c>
      <c r="X27" s="38">
        <f t="shared" si="12"/>
        <v>12.004105803999892</v>
      </c>
      <c r="Y27" s="37">
        <f t="shared" si="13"/>
        <v>1.8131968039554788E-2</v>
      </c>
      <c r="Z27" s="188" t="s">
        <v>200</v>
      </c>
      <c r="AA27" s="188"/>
      <c r="AB27" s="188"/>
      <c r="AC27" s="188"/>
      <c r="AD27" s="188"/>
      <c r="AE27" s="188"/>
      <c r="AF27" s="188"/>
      <c r="AG27" s="188"/>
    </row>
    <row r="28" spans="2:34" x14ac:dyDescent="0.35">
      <c r="B28" s="70">
        <v>46094</v>
      </c>
      <c r="C28" s="68" t="s">
        <v>199</v>
      </c>
      <c r="D28" s="53" t="s">
        <v>198</v>
      </c>
      <c r="E28" s="53" t="s">
        <v>197</v>
      </c>
      <c r="F28" s="48">
        <v>1669.6469999999999</v>
      </c>
      <c r="G28" s="48">
        <v>1664.1569999999999</v>
      </c>
      <c r="H28" s="38">
        <f t="shared" si="0"/>
        <v>-5.4900000000000091</v>
      </c>
      <c r="I28" s="37">
        <f t="shared" si="1"/>
        <v>-3.2881201834878927E-3</v>
      </c>
      <c r="J28" s="42">
        <v>955</v>
      </c>
      <c r="K28" s="42">
        <v>957</v>
      </c>
      <c r="L28" s="41">
        <f t="shared" si="2"/>
        <v>2</v>
      </c>
      <c r="M28" s="46">
        <f t="shared" si="3"/>
        <v>2.0942408376963353E-3</v>
      </c>
      <c r="N28" s="45">
        <f t="shared" si="4"/>
        <v>1.5945128850000001</v>
      </c>
      <c r="O28" s="44">
        <f t="shared" si="5"/>
        <v>1.5925982489999999</v>
      </c>
      <c r="P28" s="43">
        <f t="shared" si="6"/>
        <v>-1.9146360000001916E-3</v>
      </c>
      <c r="Q28" s="37">
        <f t="shared" si="7"/>
        <v>-1.2007654613591858E-3</v>
      </c>
      <c r="R28" s="47">
        <v>507106</v>
      </c>
      <c r="S28" s="42">
        <v>542375</v>
      </c>
      <c r="T28" s="41">
        <f t="shared" si="8"/>
        <v>35269</v>
      </c>
      <c r="U28" s="37">
        <f t="shared" si="9"/>
        <v>6.9549561630112833E-2</v>
      </c>
      <c r="V28" s="40">
        <f t="shared" si="10"/>
        <v>846.68801158200006</v>
      </c>
      <c r="W28" s="39">
        <f t="shared" si="11"/>
        <v>902.59715287500001</v>
      </c>
      <c r="X28" s="38">
        <f t="shared" si="12"/>
        <v>55.909141292999948</v>
      </c>
      <c r="Y28" s="37">
        <f t="shared" si="13"/>
        <v>6.6032754129276172E-2</v>
      </c>
      <c r="Z28" s="188" t="s">
        <v>187</v>
      </c>
      <c r="AA28" s="188"/>
      <c r="AB28" s="188"/>
      <c r="AC28" s="188"/>
      <c r="AD28" s="188"/>
      <c r="AE28" s="188"/>
      <c r="AF28" s="188"/>
      <c r="AG28" s="188"/>
      <c r="AH28" s="187"/>
    </row>
    <row r="29" spans="2:34" x14ac:dyDescent="0.35">
      <c r="B29" s="70">
        <v>46094</v>
      </c>
      <c r="C29" s="68" t="s">
        <v>196</v>
      </c>
      <c r="D29" s="53" t="s">
        <v>195</v>
      </c>
      <c r="E29" s="53" t="s">
        <v>194</v>
      </c>
      <c r="F29" s="48">
        <v>1338.402</v>
      </c>
      <c r="G29" s="48">
        <v>1334.7539999999999</v>
      </c>
      <c r="H29" s="38">
        <f t="shared" si="0"/>
        <v>-3.6480000000001382</v>
      </c>
      <c r="I29" s="37">
        <f t="shared" si="1"/>
        <v>-2.7256384852982424E-3</v>
      </c>
      <c r="J29" s="42">
        <v>982</v>
      </c>
      <c r="K29" s="42">
        <v>977</v>
      </c>
      <c r="L29" s="41">
        <f t="shared" si="2"/>
        <v>-5</v>
      </c>
      <c r="M29" s="46">
        <f t="shared" si="3"/>
        <v>-5.0916496945010185E-3</v>
      </c>
      <c r="N29" s="45">
        <f t="shared" si="4"/>
        <v>1.314310764</v>
      </c>
      <c r="O29" s="44">
        <f t="shared" si="5"/>
        <v>1.3040546579999999</v>
      </c>
      <c r="P29" s="43">
        <f t="shared" si="6"/>
        <v>-1.0256106000000154E-2</v>
      </c>
      <c r="Q29" s="37">
        <f t="shared" si="7"/>
        <v>-7.8034101834382856E-3</v>
      </c>
      <c r="R29" s="47">
        <v>521193</v>
      </c>
      <c r="S29" s="42">
        <v>557258</v>
      </c>
      <c r="T29" s="41">
        <f t="shared" si="8"/>
        <v>36065</v>
      </c>
      <c r="U29" s="37">
        <f t="shared" si="9"/>
        <v>6.9197015309108142E-2</v>
      </c>
      <c r="V29" s="40">
        <f t="shared" si="10"/>
        <v>697.56575358599991</v>
      </c>
      <c r="W29" s="39">
        <f t="shared" si="11"/>
        <v>743.80234453199989</v>
      </c>
      <c r="X29" s="38">
        <f t="shared" si="12"/>
        <v>46.236590945999978</v>
      </c>
      <c r="Y29" s="37">
        <f t="shared" si="13"/>
        <v>6.6282770775815708E-2</v>
      </c>
      <c r="Z29" s="188" t="s">
        <v>187</v>
      </c>
      <c r="AA29" s="188"/>
      <c r="AB29" s="188"/>
      <c r="AC29" s="188"/>
      <c r="AD29" s="188"/>
      <c r="AE29" s="188"/>
      <c r="AF29" s="188"/>
      <c r="AG29" s="188"/>
      <c r="AH29" s="187"/>
    </row>
    <row r="30" spans="2:34" x14ac:dyDescent="0.35">
      <c r="B30" s="70">
        <v>46094</v>
      </c>
      <c r="C30" s="68" t="s">
        <v>193</v>
      </c>
      <c r="D30" s="53" t="s">
        <v>192</v>
      </c>
      <c r="E30" s="53" t="s">
        <v>191</v>
      </c>
      <c r="F30" s="48">
        <v>1427.655</v>
      </c>
      <c r="G30" s="48">
        <v>1424.63</v>
      </c>
      <c r="H30" s="38">
        <f t="shared" si="0"/>
        <v>-3.0249999999998636</v>
      </c>
      <c r="I30" s="37">
        <f t="shared" si="1"/>
        <v>-2.1188592482076296E-3</v>
      </c>
      <c r="J30" s="42">
        <v>728</v>
      </c>
      <c r="K30" s="42">
        <v>766</v>
      </c>
      <c r="L30" s="41">
        <f t="shared" si="2"/>
        <v>38</v>
      </c>
      <c r="M30" s="46">
        <f t="shared" si="3"/>
        <v>5.21978021978022E-2</v>
      </c>
      <c r="N30" s="45">
        <f t="shared" si="4"/>
        <v>1.0393328399999999</v>
      </c>
      <c r="O30" s="44">
        <f t="shared" si="5"/>
        <v>1.0912665800000001</v>
      </c>
      <c r="P30" s="43">
        <f t="shared" si="6"/>
        <v>5.1933740000000173E-2</v>
      </c>
      <c r="Q30" s="37">
        <f t="shared" si="7"/>
        <v>4.9968343153671713E-2</v>
      </c>
      <c r="R30" s="47">
        <v>422710</v>
      </c>
      <c r="S30" s="42">
        <v>445239</v>
      </c>
      <c r="T30" s="41">
        <f t="shared" si="8"/>
        <v>22529</v>
      </c>
      <c r="U30" s="37">
        <f t="shared" si="9"/>
        <v>5.3296586312128885E-2</v>
      </c>
      <c r="V30" s="40">
        <f t="shared" si="10"/>
        <v>603.48404504999996</v>
      </c>
      <c r="W30" s="39">
        <f t="shared" si="11"/>
        <v>634.30083657</v>
      </c>
      <c r="X30" s="38">
        <f t="shared" si="12"/>
        <v>30.816791520000038</v>
      </c>
      <c r="Y30" s="37">
        <f t="shared" si="13"/>
        <v>5.1064799099115869E-2</v>
      </c>
      <c r="Z30" s="188" t="s">
        <v>187</v>
      </c>
      <c r="AA30" s="188"/>
      <c r="AB30" s="188"/>
      <c r="AC30" s="188"/>
      <c r="AD30" s="188"/>
      <c r="AE30" s="188"/>
      <c r="AF30" s="188"/>
      <c r="AG30" s="188"/>
    </row>
    <row r="31" spans="2:34" x14ac:dyDescent="0.35">
      <c r="B31" s="70">
        <v>46100</v>
      </c>
      <c r="C31" s="68" t="s">
        <v>190</v>
      </c>
      <c r="D31" s="53" t="s">
        <v>189</v>
      </c>
      <c r="E31" s="53" t="s">
        <v>188</v>
      </c>
      <c r="F31" s="48">
        <v>1578.5060000000001</v>
      </c>
      <c r="G31" s="48">
        <v>1578.962</v>
      </c>
      <c r="H31" s="38">
        <f t="shared" si="0"/>
        <v>0.45599999999990359</v>
      </c>
      <c r="I31" s="37">
        <f t="shared" si="1"/>
        <v>2.8888075179942527E-4</v>
      </c>
      <c r="J31" s="42">
        <v>825</v>
      </c>
      <c r="K31" s="42">
        <v>796</v>
      </c>
      <c r="L31" s="41">
        <f t="shared" si="2"/>
        <v>-29</v>
      </c>
      <c r="M31" s="46">
        <f t="shared" si="3"/>
        <v>-3.5151515151515149E-2</v>
      </c>
      <c r="N31" s="45">
        <f t="shared" si="4"/>
        <v>1.3022674500000002</v>
      </c>
      <c r="O31" s="44">
        <f t="shared" si="5"/>
        <v>1.256853752</v>
      </c>
      <c r="P31" s="43">
        <f t="shared" si="6"/>
        <v>-4.5413698000000169E-2</v>
      </c>
      <c r="Q31" s="37">
        <f t="shared" si="7"/>
        <v>-3.4872788995839649E-2</v>
      </c>
      <c r="R31" s="47">
        <v>425025</v>
      </c>
      <c r="S31" s="42">
        <v>433051</v>
      </c>
      <c r="T31" s="41">
        <f t="shared" si="8"/>
        <v>8026</v>
      </c>
      <c r="U31" s="37">
        <f t="shared" si="9"/>
        <v>1.8883595082642198E-2</v>
      </c>
      <c r="V31" s="40">
        <f t="shared" si="10"/>
        <v>670.90451265000013</v>
      </c>
      <c r="W31" s="39">
        <f t="shared" si="11"/>
        <v>683.77107306200003</v>
      </c>
      <c r="X31" s="38">
        <f t="shared" si="12"/>
        <v>12.866560411999899</v>
      </c>
      <c r="Y31" s="37">
        <f t="shared" si="13"/>
        <v>1.917793094158568E-2</v>
      </c>
      <c r="Z31" s="188" t="s">
        <v>187</v>
      </c>
      <c r="AA31" s="188"/>
      <c r="AB31" s="188"/>
      <c r="AC31" s="188"/>
      <c r="AD31" s="188"/>
      <c r="AE31" s="188"/>
      <c r="AF31" s="188"/>
      <c r="AG31" s="188"/>
    </row>
    <row r="32" spans="2:34" x14ac:dyDescent="0.35">
      <c r="B32" s="70">
        <v>46100</v>
      </c>
      <c r="C32" s="68" t="s">
        <v>186</v>
      </c>
      <c r="D32" s="51" t="s">
        <v>185</v>
      </c>
      <c r="E32" s="53" t="s">
        <v>184</v>
      </c>
      <c r="F32" s="48">
        <v>1536.0360000000001</v>
      </c>
      <c r="G32" s="48">
        <v>1531.1559999999999</v>
      </c>
      <c r="H32" s="38">
        <f t="shared" si="0"/>
        <v>-4.8800000000001091</v>
      </c>
      <c r="I32" s="37">
        <f t="shared" si="1"/>
        <v>-3.1770088721879623E-3</v>
      </c>
      <c r="J32" s="42">
        <v>766</v>
      </c>
      <c r="K32" s="42">
        <v>746</v>
      </c>
      <c r="L32" s="41">
        <f t="shared" si="2"/>
        <v>-20</v>
      </c>
      <c r="M32" s="46">
        <f t="shared" si="3"/>
        <v>-2.6109660574412531E-2</v>
      </c>
      <c r="N32" s="45">
        <f t="shared" si="4"/>
        <v>1.1766035760000002</v>
      </c>
      <c r="O32" s="44">
        <f t="shared" si="5"/>
        <v>1.142242376</v>
      </c>
      <c r="P32" s="43">
        <f t="shared" si="6"/>
        <v>-3.4361200000000203E-2</v>
      </c>
      <c r="Q32" s="37">
        <f t="shared" si="7"/>
        <v>-2.9203718823305868E-2</v>
      </c>
      <c r="R32" s="47">
        <v>429638</v>
      </c>
      <c r="S32" s="42">
        <v>446125</v>
      </c>
      <c r="T32" s="41">
        <f t="shared" si="8"/>
        <v>16487</v>
      </c>
      <c r="U32" s="37">
        <f t="shared" si="9"/>
        <v>3.8374166158486912E-2</v>
      </c>
      <c r="V32" s="40">
        <f t="shared" si="10"/>
        <v>659.939434968</v>
      </c>
      <c r="W32" s="39">
        <f t="shared" si="11"/>
        <v>683.08697050000001</v>
      </c>
      <c r="X32" s="38">
        <f t="shared" si="12"/>
        <v>23.147535532000006</v>
      </c>
      <c r="Y32" s="37">
        <f t="shared" si="13"/>
        <v>3.5075242219950703E-2</v>
      </c>
    </row>
    <row r="33" spans="2:34" ht="14.25" customHeight="1" x14ac:dyDescent="0.35">
      <c r="B33" s="70">
        <v>46100</v>
      </c>
      <c r="C33" s="68">
        <v>22</v>
      </c>
      <c r="D33" s="53" t="s">
        <v>183</v>
      </c>
      <c r="E33" s="53" t="s">
        <v>182</v>
      </c>
      <c r="F33" s="48">
        <v>1229.604</v>
      </c>
      <c r="G33" s="48">
        <v>1236.6679999999999</v>
      </c>
      <c r="H33" s="38">
        <f t="shared" si="0"/>
        <v>7.0639999999998508</v>
      </c>
      <c r="I33" s="37">
        <f t="shared" si="1"/>
        <v>5.7449390210180277E-3</v>
      </c>
      <c r="J33" s="42">
        <v>691</v>
      </c>
      <c r="K33" s="42">
        <v>656</v>
      </c>
      <c r="L33" s="41">
        <f t="shared" si="2"/>
        <v>-35</v>
      </c>
      <c r="M33" s="46">
        <f t="shared" si="3"/>
        <v>-5.0651230101302458E-2</v>
      </c>
      <c r="N33" s="45">
        <f t="shared" si="4"/>
        <v>0.84965636400000011</v>
      </c>
      <c r="O33" s="44">
        <f t="shared" si="5"/>
        <v>0.81125420800000003</v>
      </c>
      <c r="P33" s="43">
        <f t="shared" si="6"/>
        <v>-3.8402156000000076E-2</v>
      </c>
      <c r="Q33" s="37">
        <f t="shared" si="7"/>
        <v>-4.5197279308555938E-2</v>
      </c>
      <c r="R33" s="47">
        <v>405210</v>
      </c>
      <c r="S33" s="42">
        <v>415370</v>
      </c>
      <c r="T33" s="41">
        <f t="shared" si="8"/>
        <v>10160</v>
      </c>
      <c r="U33" s="37">
        <f t="shared" si="9"/>
        <v>2.5073418721156929E-2</v>
      </c>
      <c r="V33" s="40">
        <f t="shared" si="10"/>
        <v>498.24783684000005</v>
      </c>
      <c r="W33" s="39">
        <f t="shared" si="11"/>
        <v>513.67478715999994</v>
      </c>
      <c r="X33" s="38">
        <f t="shared" si="12"/>
        <v>15.426950319999889</v>
      </c>
      <c r="Y33" s="37">
        <f t="shared" si="13"/>
        <v>3.0962403003776357E-2</v>
      </c>
    </row>
    <row r="34" spans="2:34" x14ac:dyDescent="0.35">
      <c r="B34" s="70">
        <v>46111</v>
      </c>
      <c r="C34" s="68" t="s">
        <v>181</v>
      </c>
      <c r="D34" s="53" t="s">
        <v>180</v>
      </c>
      <c r="E34" s="53" t="s">
        <v>179</v>
      </c>
      <c r="F34" s="48">
        <v>1150.182</v>
      </c>
      <c r="G34" s="48">
        <v>1150.366</v>
      </c>
      <c r="H34" s="38">
        <f t="shared" si="0"/>
        <v>0.18399999999996908</v>
      </c>
      <c r="I34" s="37">
        <f t="shared" si="1"/>
        <v>1.5997468226764902E-4</v>
      </c>
      <c r="J34" s="42">
        <v>586</v>
      </c>
      <c r="K34" s="42">
        <v>590</v>
      </c>
      <c r="L34" s="41">
        <f t="shared" si="2"/>
        <v>4</v>
      </c>
      <c r="M34" s="46">
        <f t="shared" si="3"/>
        <v>6.8259385665529011E-3</v>
      </c>
      <c r="N34" s="45">
        <f t="shared" si="4"/>
        <v>0.67400665199999998</v>
      </c>
      <c r="O34" s="44">
        <f t="shared" si="5"/>
        <v>0.67871593999999991</v>
      </c>
      <c r="P34" s="43">
        <f t="shared" si="6"/>
        <v>4.7092879999999226E-3</v>
      </c>
      <c r="Q34" s="37">
        <f t="shared" si="7"/>
        <v>6.9870052261738255E-3</v>
      </c>
      <c r="R34" s="47">
        <v>458977</v>
      </c>
      <c r="S34" s="42">
        <v>468254</v>
      </c>
      <c r="T34" s="41">
        <f t="shared" si="8"/>
        <v>9277</v>
      </c>
      <c r="U34" s="37">
        <f t="shared" si="9"/>
        <v>2.0212341794904755E-2</v>
      </c>
      <c r="V34" s="40">
        <f t="shared" si="10"/>
        <v>527.90708381399998</v>
      </c>
      <c r="W34" s="39">
        <f t="shared" si="11"/>
        <v>538.66348096399997</v>
      </c>
      <c r="X34" s="38">
        <f t="shared" si="12"/>
        <v>10.756397149999998</v>
      </c>
      <c r="Y34" s="37">
        <f t="shared" si="13"/>
        <v>2.0375549940128954E-2</v>
      </c>
    </row>
    <row r="35" spans="2:34" x14ac:dyDescent="0.35">
      <c r="B35" s="70">
        <v>46111</v>
      </c>
      <c r="C35" s="68" t="s">
        <v>178</v>
      </c>
      <c r="D35" s="53" t="s">
        <v>177</v>
      </c>
      <c r="E35" s="53" t="s">
        <v>176</v>
      </c>
      <c r="F35" s="48">
        <v>1245.518</v>
      </c>
      <c r="G35" s="48">
        <v>1245.49</v>
      </c>
      <c r="H35" s="38">
        <f t="shared" si="0"/>
        <v>-2.8000000000020009E-2</v>
      </c>
      <c r="I35" s="37">
        <f t="shared" si="1"/>
        <v>-2.248060646254812E-5</v>
      </c>
      <c r="J35" s="42">
        <v>559</v>
      </c>
      <c r="K35" s="42">
        <v>552</v>
      </c>
      <c r="L35" s="41">
        <f t="shared" si="2"/>
        <v>-7</v>
      </c>
      <c r="M35" s="46">
        <f t="shared" si="3"/>
        <v>-1.2522361359570662E-2</v>
      </c>
      <c r="N35" s="45">
        <f t="shared" si="4"/>
        <v>0.69624456200000007</v>
      </c>
      <c r="O35" s="44">
        <f t="shared" si="5"/>
        <v>0.68751048000000003</v>
      </c>
      <c r="P35" s="43">
        <f t="shared" si="6"/>
        <v>-8.7340820000000319E-3</v>
      </c>
      <c r="Q35" s="37">
        <f t="shared" si="7"/>
        <v>-1.2544560455755532E-2</v>
      </c>
      <c r="R35" s="47">
        <v>486537</v>
      </c>
      <c r="S35" s="42">
        <v>493267</v>
      </c>
      <c r="T35" s="41">
        <f t="shared" si="8"/>
        <v>6730</v>
      </c>
      <c r="U35" s="37">
        <f t="shared" si="9"/>
        <v>1.383245261922526E-2</v>
      </c>
      <c r="V35" s="40">
        <f t="shared" si="10"/>
        <v>605.99059116600006</v>
      </c>
      <c r="W35" s="39">
        <f t="shared" si="11"/>
        <v>614.35911583000006</v>
      </c>
      <c r="X35" s="38">
        <f t="shared" si="12"/>
        <v>8.3685246640000059</v>
      </c>
      <c r="Y35" s="37">
        <f t="shared" si="13"/>
        <v>1.3809661050838992E-2</v>
      </c>
    </row>
    <row r="36" spans="2:34" x14ac:dyDescent="0.35">
      <c r="B36" s="70">
        <v>46111</v>
      </c>
      <c r="C36" s="68" t="s">
        <v>175</v>
      </c>
      <c r="D36" s="53" t="s">
        <v>174</v>
      </c>
      <c r="E36" s="53" t="s">
        <v>173</v>
      </c>
      <c r="F36" s="48">
        <v>1749.85</v>
      </c>
      <c r="G36" s="48">
        <v>1751.2439999999999</v>
      </c>
      <c r="H36" s="38">
        <f t="shared" si="0"/>
        <v>1.3940000000000055</v>
      </c>
      <c r="I36" s="37">
        <f t="shared" si="1"/>
        <v>7.9663971197531532E-4</v>
      </c>
      <c r="J36" s="42">
        <v>586</v>
      </c>
      <c r="K36" s="42">
        <v>591</v>
      </c>
      <c r="L36" s="41">
        <f t="shared" si="2"/>
        <v>5</v>
      </c>
      <c r="M36" s="46">
        <f t="shared" si="3"/>
        <v>8.5324232081911266E-3</v>
      </c>
      <c r="N36" s="45">
        <f t="shared" si="4"/>
        <v>1.0254121</v>
      </c>
      <c r="O36" s="44">
        <f t="shared" si="5"/>
        <v>1.0349852039999998</v>
      </c>
      <c r="P36" s="43">
        <f t="shared" si="6"/>
        <v>9.5731039999997769E-3</v>
      </c>
      <c r="Q36" s="37">
        <f t="shared" si="7"/>
        <v>9.3358601873332458E-3</v>
      </c>
      <c r="R36" s="47">
        <v>536214</v>
      </c>
      <c r="S36" s="42">
        <v>538212</v>
      </c>
      <c r="T36" s="41">
        <f t="shared" si="8"/>
        <v>1998</v>
      </c>
      <c r="U36" s="37">
        <f t="shared" si="9"/>
        <v>3.7261242712797503E-3</v>
      </c>
      <c r="V36" s="40">
        <f t="shared" si="10"/>
        <v>938.29406789999996</v>
      </c>
      <c r="W36" s="39">
        <f t="shared" si="11"/>
        <v>942.5405357279999</v>
      </c>
      <c r="X36" s="38">
        <f t="shared" si="12"/>
        <v>4.2464678279999362</v>
      </c>
      <c r="Y36" s="37">
        <f t="shared" si="13"/>
        <v>4.5257323618212511E-3</v>
      </c>
      <c r="Z36" s="188"/>
      <c r="AA36" s="188"/>
      <c r="AB36" s="188"/>
      <c r="AC36" s="188"/>
      <c r="AD36" s="188"/>
      <c r="AE36" s="188"/>
      <c r="AF36" s="188"/>
      <c r="AG36" s="188"/>
    </row>
    <row r="37" spans="2:34" x14ac:dyDescent="0.35">
      <c r="B37" s="70">
        <v>46134</v>
      </c>
      <c r="C37" s="68" t="s">
        <v>172</v>
      </c>
      <c r="D37" s="53" t="s">
        <v>171</v>
      </c>
      <c r="E37" s="53" t="s">
        <v>170</v>
      </c>
      <c r="F37" s="48">
        <v>2088.8809999999999</v>
      </c>
      <c r="G37" s="48">
        <v>2105.7660000000001</v>
      </c>
      <c r="H37" s="38">
        <f t="shared" si="0"/>
        <v>16.885000000000218</v>
      </c>
      <c r="I37" s="37">
        <f t="shared" si="1"/>
        <v>8.0832752081139228E-3</v>
      </c>
      <c r="J37" s="42">
        <v>936</v>
      </c>
      <c r="K37" s="42">
        <v>977</v>
      </c>
      <c r="L37" s="41">
        <f t="shared" si="2"/>
        <v>41</v>
      </c>
      <c r="M37" s="46">
        <f t="shared" si="3"/>
        <v>4.38034188034188E-2</v>
      </c>
      <c r="N37" s="45">
        <f t="shared" si="4"/>
        <v>1.9551926159999999</v>
      </c>
      <c r="O37" s="44">
        <f t="shared" si="5"/>
        <v>2.0573333819999999</v>
      </c>
      <c r="P37" s="43">
        <f t="shared" si="6"/>
        <v>0.10214076599999999</v>
      </c>
      <c r="Q37" s="37">
        <f t="shared" si="7"/>
        <v>5.2240769100776921E-2</v>
      </c>
      <c r="R37" s="47">
        <v>518080</v>
      </c>
      <c r="S37" s="42">
        <v>545597</v>
      </c>
      <c r="T37" s="41">
        <f t="shared" si="8"/>
        <v>27517</v>
      </c>
      <c r="U37" s="37">
        <f t="shared" si="9"/>
        <v>5.3113418777022851E-2</v>
      </c>
      <c r="V37" s="40">
        <f t="shared" si="10"/>
        <v>1082.20746848</v>
      </c>
      <c r="W37" s="39">
        <f t="shared" si="11"/>
        <v>1148.8996123020002</v>
      </c>
      <c r="X37" s="38">
        <f t="shared" si="12"/>
        <v>66.692143822000162</v>
      </c>
      <c r="Y37" s="37">
        <f t="shared" si="13"/>
        <v>6.1626024366355295E-2</v>
      </c>
      <c r="Z37" s="188"/>
      <c r="AA37" s="188"/>
      <c r="AB37" s="188"/>
      <c r="AC37" s="188"/>
      <c r="AD37" s="188"/>
      <c r="AE37" s="188"/>
      <c r="AF37" s="188"/>
      <c r="AG37" s="188"/>
      <c r="AH37" s="187"/>
    </row>
    <row r="38" spans="2:34" x14ac:dyDescent="0.35">
      <c r="B38" s="70">
        <v>46134</v>
      </c>
      <c r="C38" s="68" t="s">
        <v>169</v>
      </c>
      <c r="D38" s="53" t="s">
        <v>168</v>
      </c>
      <c r="E38" s="53" t="s">
        <v>167</v>
      </c>
      <c r="F38" s="48">
        <v>2106.2190000000001</v>
      </c>
      <c r="G38" s="48">
        <v>2106.3009999999999</v>
      </c>
      <c r="H38" s="38">
        <f t="shared" si="0"/>
        <v>8.1999999999879947E-2</v>
      </c>
      <c r="I38" s="37">
        <f t="shared" si="1"/>
        <v>3.8932323751651633E-5</v>
      </c>
      <c r="J38" s="42">
        <v>1156</v>
      </c>
      <c r="K38" s="42">
        <v>1171</v>
      </c>
      <c r="L38" s="41">
        <f t="shared" si="2"/>
        <v>15</v>
      </c>
      <c r="M38" s="46">
        <f t="shared" si="3"/>
        <v>1.2975778546712802E-2</v>
      </c>
      <c r="N38" s="45">
        <f t="shared" si="4"/>
        <v>2.4347891639999997</v>
      </c>
      <c r="O38" s="44">
        <f t="shared" si="5"/>
        <v>2.4664784709999998</v>
      </c>
      <c r="P38" s="43">
        <f t="shared" si="6"/>
        <v>3.1689307000000166E-2</v>
      </c>
      <c r="Q38" s="37">
        <f t="shared" si="7"/>
        <v>1.3015216047675892E-2</v>
      </c>
      <c r="R38" s="47">
        <v>545555</v>
      </c>
      <c r="S38" s="42">
        <v>566249</v>
      </c>
      <c r="T38" s="41">
        <f t="shared" si="8"/>
        <v>20694</v>
      </c>
      <c r="U38" s="37">
        <f t="shared" si="9"/>
        <v>3.7932014187387154E-2</v>
      </c>
      <c r="V38" s="40">
        <f t="shared" si="10"/>
        <v>1149.0583065450001</v>
      </c>
      <c r="W38" s="39">
        <f t="shared" si="11"/>
        <v>1192.690834949</v>
      </c>
      <c r="X38" s="38">
        <f t="shared" si="12"/>
        <v>43.632528403999913</v>
      </c>
      <c r="Y38" s="37">
        <f t="shared" si="13"/>
        <v>3.7972423292595682E-2</v>
      </c>
      <c r="Z38" s="188"/>
      <c r="AA38" s="188"/>
      <c r="AB38" s="188"/>
      <c r="AC38" s="188"/>
      <c r="AD38" s="188"/>
      <c r="AE38" s="188"/>
      <c r="AF38" s="188"/>
      <c r="AG38" s="188"/>
      <c r="AH38" s="187"/>
    </row>
    <row r="39" spans="2:34" x14ac:dyDescent="0.35">
      <c r="B39" s="70">
        <v>46134</v>
      </c>
      <c r="C39" s="68">
        <v>29</v>
      </c>
      <c r="D39" s="53" t="s">
        <v>166</v>
      </c>
      <c r="E39" s="53" t="s">
        <v>165</v>
      </c>
      <c r="F39" s="48">
        <v>1512.8309999999999</v>
      </c>
      <c r="G39" s="48">
        <v>1513.3140000000001</v>
      </c>
      <c r="H39" s="38">
        <f t="shared" si="0"/>
        <v>0.48300000000017462</v>
      </c>
      <c r="I39" s="37">
        <f t="shared" si="1"/>
        <v>3.1926897320333513E-4</v>
      </c>
      <c r="J39" s="42">
        <v>1019</v>
      </c>
      <c r="K39" s="42">
        <v>1064</v>
      </c>
      <c r="L39" s="41">
        <f t="shared" si="2"/>
        <v>45</v>
      </c>
      <c r="M39" s="46">
        <f t="shared" si="3"/>
        <v>4.4160942100098133E-2</v>
      </c>
      <c r="N39" s="45">
        <f t="shared" si="4"/>
        <v>1.5415747889999998</v>
      </c>
      <c r="O39" s="44">
        <f t="shared" si="5"/>
        <v>1.6101660960000002</v>
      </c>
      <c r="P39" s="43">
        <f t="shared" si="6"/>
        <v>6.8591307000000379E-2</v>
      </c>
      <c r="Q39" s="37">
        <f t="shared" si="7"/>
        <v>4.4494310291941591E-2</v>
      </c>
      <c r="R39" s="47">
        <v>531701</v>
      </c>
      <c r="S39" s="42">
        <v>557480</v>
      </c>
      <c r="T39" s="41">
        <f t="shared" si="8"/>
        <v>25779</v>
      </c>
      <c r="U39" s="37">
        <f t="shared" si="9"/>
        <v>4.8484016392671823E-2</v>
      </c>
      <c r="V39" s="40">
        <f t="shared" si="10"/>
        <v>804.37375553099992</v>
      </c>
      <c r="W39" s="39">
        <f t="shared" si="11"/>
        <v>843.64228872000001</v>
      </c>
      <c r="X39" s="38">
        <f t="shared" si="12"/>
        <v>39.268533189000095</v>
      </c>
      <c r="Y39" s="37">
        <f t="shared" si="13"/>
        <v>4.8818764808005621E-2</v>
      </c>
      <c r="Z39" s="188"/>
      <c r="AA39" s="188"/>
      <c r="AB39" s="188"/>
      <c r="AC39" s="188"/>
      <c r="AD39" s="188"/>
      <c r="AE39" s="188"/>
      <c r="AF39" s="188"/>
      <c r="AG39" s="188"/>
      <c r="AH39" s="187"/>
    </row>
    <row r="40" spans="2:34" ht="15" thickBot="1" x14ac:dyDescent="0.4">
      <c r="B40" s="70">
        <v>46134</v>
      </c>
      <c r="C40" s="68" t="s">
        <v>164</v>
      </c>
      <c r="D40" s="53" t="s">
        <v>163</v>
      </c>
      <c r="E40" s="53" t="s">
        <v>162</v>
      </c>
      <c r="F40" s="48">
        <v>1374.6189999999999</v>
      </c>
      <c r="G40" s="48">
        <v>1375.57</v>
      </c>
      <c r="H40" s="38">
        <f t="shared" si="0"/>
        <v>0.95100000000002183</v>
      </c>
      <c r="I40" s="37">
        <f t="shared" si="1"/>
        <v>6.91828062903264E-4</v>
      </c>
      <c r="J40" s="42">
        <v>1169</v>
      </c>
      <c r="K40" s="42">
        <v>1204</v>
      </c>
      <c r="L40" s="41">
        <f t="shared" si="2"/>
        <v>35</v>
      </c>
      <c r="M40" s="46">
        <f t="shared" si="3"/>
        <v>2.9940119760479042E-2</v>
      </c>
      <c r="N40" s="45">
        <f t="shared" si="4"/>
        <v>1.6069296109999998</v>
      </c>
      <c r="O40" s="44">
        <f t="shared" si="5"/>
        <v>1.65618628</v>
      </c>
      <c r="P40" s="43">
        <f t="shared" si="6"/>
        <v>4.9256669000000253E-2</v>
      </c>
      <c r="Q40" s="37">
        <f t="shared" si="7"/>
        <v>3.0652661238439436E-2</v>
      </c>
      <c r="R40" s="47">
        <v>582772</v>
      </c>
      <c r="S40" s="42">
        <v>616545</v>
      </c>
      <c r="T40" s="41">
        <f t="shared" si="8"/>
        <v>33773</v>
      </c>
      <c r="U40" s="37">
        <f t="shared" si="9"/>
        <v>5.7952338135668836E-2</v>
      </c>
      <c r="V40" s="40">
        <f t="shared" si="10"/>
        <v>801.08946386799994</v>
      </c>
      <c r="W40" s="39">
        <f t="shared" si="11"/>
        <v>848.10080564999998</v>
      </c>
      <c r="X40" s="38">
        <f t="shared" si="12"/>
        <v>47.011341782000045</v>
      </c>
      <c r="Y40" s="37">
        <f t="shared" si="13"/>
        <v>5.8684259252405259E-2</v>
      </c>
    </row>
    <row r="41" spans="2:34" ht="15" thickBot="1" x14ac:dyDescent="0.4">
      <c r="B41" s="70">
        <v>46139</v>
      </c>
      <c r="C41" s="71" t="s">
        <v>161</v>
      </c>
      <c r="D41" s="54" t="s">
        <v>160</v>
      </c>
      <c r="E41" s="53" t="s">
        <v>159</v>
      </c>
      <c r="F41" s="48">
        <v>960.74</v>
      </c>
      <c r="G41" s="48">
        <v>961.32600000000002</v>
      </c>
      <c r="H41" s="38">
        <f t="shared" si="0"/>
        <v>0.58600000000001273</v>
      </c>
      <c r="I41" s="37">
        <f t="shared" si="1"/>
        <v>6.0994649957325884E-4</v>
      </c>
      <c r="J41" s="42">
        <v>968</v>
      </c>
      <c r="K41" s="42">
        <v>1005</v>
      </c>
      <c r="L41" s="41">
        <f t="shared" si="2"/>
        <v>37</v>
      </c>
      <c r="M41" s="46">
        <f t="shared" si="3"/>
        <v>3.8223140495867766E-2</v>
      </c>
      <c r="N41" s="45">
        <f t="shared" si="4"/>
        <v>0.9299963200000001</v>
      </c>
      <c r="O41" s="44">
        <f t="shared" si="5"/>
        <v>0.96613263000000005</v>
      </c>
      <c r="P41" s="43">
        <f t="shared" si="6"/>
        <v>3.6136309999999949E-2</v>
      </c>
      <c r="Q41" s="37">
        <f t="shared" si="7"/>
        <v>3.8856401066189108E-2</v>
      </c>
      <c r="R41" s="47">
        <v>532733</v>
      </c>
      <c r="S41" s="42">
        <v>549612</v>
      </c>
      <c r="T41" s="41">
        <f t="shared" si="8"/>
        <v>16879</v>
      </c>
      <c r="U41" s="37">
        <f t="shared" si="9"/>
        <v>3.1683789065066366E-2</v>
      </c>
      <c r="V41" s="40">
        <f t="shared" si="10"/>
        <v>511.81790242</v>
      </c>
      <c r="W41" s="39">
        <f t="shared" si="11"/>
        <v>528.35630551200006</v>
      </c>
      <c r="X41" s="38">
        <f t="shared" si="12"/>
        <v>16.538403092000067</v>
      </c>
      <c r="Y41" s="37">
        <f t="shared" si="13"/>
        <v>3.2313060980873193E-2</v>
      </c>
    </row>
    <row r="42" spans="2:34" x14ac:dyDescent="0.35">
      <c r="B42" s="70">
        <v>46139</v>
      </c>
      <c r="C42" s="68" t="s">
        <v>158</v>
      </c>
      <c r="D42" s="53" t="s">
        <v>157</v>
      </c>
      <c r="E42" s="53" t="s">
        <v>156</v>
      </c>
      <c r="F42" s="48">
        <v>2230.0709999999999</v>
      </c>
      <c r="G42" s="48">
        <v>2228.337</v>
      </c>
      <c r="H42" s="38">
        <f t="shared" si="0"/>
        <v>-1.7339999999999236</v>
      </c>
      <c r="I42" s="37">
        <f t="shared" si="1"/>
        <v>-7.7755371914164332E-4</v>
      </c>
      <c r="J42" s="42">
        <v>1204</v>
      </c>
      <c r="K42" s="42">
        <v>1189</v>
      </c>
      <c r="L42" s="41">
        <f t="shared" si="2"/>
        <v>-15</v>
      </c>
      <c r="M42" s="46">
        <f t="shared" si="3"/>
        <v>-1.2458471760797342E-2</v>
      </c>
      <c r="N42" s="45">
        <f t="shared" si="4"/>
        <v>2.6850054839999995</v>
      </c>
      <c r="O42" s="44">
        <f t="shared" si="5"/>
        <v>2.649492693</v>
      </c>
      <c r="P42" s="43">
        <f t="shared" si="6"/>
        <v>-3.5512790999999488E-2</v>
      </c>
      <c r="Q42" s="37">
        <f t="shared" si="7"/>
        <v>-1.3226338348886401E-2</v>
      </c>
      <c r="R42" s="47">
        <v>591806</v>
      </c>
      <c r="S42" s="42">
        <v>599080</v>
      </c>
      <c r="T42" s="41">
        <f t="shared" si="8"/>
        <v>7274</v>
      </c>
      <c r="U42" s="37">
        <f t="shared" si="9"/>
        <v>1.2291190018350608E-2</v>
      </c>
      <c r="V42" s="40">
        <f t="shared" si="10"/>
        <v>1319.7693982259998</v>
      </c>
      <c r="W42" s="39">
        <f t="shared" si="11"/>
        <v>1334.9521299600001</v>
      </c>
      <c r="X42" s="38">
        <f t="shared" si="12"/>
        <v>15.182731734000299</v>
      </c>
      <c r="Y42" s="37">
        <f t="shared" si="13"/>
        <v>1.1504079238697713E-2</v>
      </c>
    </row>
    <row r="43" spans="2:34" x14ac:dyDescent="0.35">
      <c r="B43" s="70">
        <v>46139</v>
      </c>
      <c r="C43" s="68" t="s">
        <v>155</v>
      </c>
      <c r="D43" s="53" t="s">
        <v>154</v>
      </c>
      <c r="E43" s="53" t="s">
        <v>153</v>
      </c>
      <c r="F43" s="48">
        <v>2164.7199999999998</v>
      </c>
      <c r="G43" s="48">
        <v>2159.5729999999999</v>
      </c>
      <c r="H43" s="38">
        <f t="shared" si="0"/>
        <v>-5.1469999999999345</v>
      </c>
      <c r="I43" s="37">
        <f t="shared" si="1"/>
        <v>-2.3776747108170734E-3</v>
      </c>
      <c r="J43" s="42">
        <v>1242</v>
      </c>
      <c r="K43" s="42">
        <v>1202</v>
      </c>
      <c r="L43" s="41">
        <f t="shared" si="2"/>
        <v>-40</v>
      </c>
      <c r="M43" s="46">
        <f t="shared" si="3"/>
        <v>-3.2206119162640899E-2</v>
      </c>
      <c r="N43" s="45">
        <f t="shared" si="4"/>
        <v>2.6885822399999997</v>
      </c>
      <c r="O43" s="44">
        <f t="shared" si="5"/>
        <v>2.5958067459999996</v>
      </c>
      <c r="P43" s="43">
        <f t="shared" si="6"/>
        <v>-9.2775494000000069E-2</v>
      </c>
      <c r="Q43" s="37">
        <f t="shared" si="7"/>
        <v>-3.4507218198391462E-2</v>
      </c>
      <c r="R43" s="47">
        <v>600022</v>
      </c>
      <c r="S43" s="42">
        <v>605198</v>
      </c>
      <c r="T43" s="41">
        <f t="shared" si="8"/>
        <v>5176</v>
      </c>
      <c r="U43" s="37">
        <f t="shared" si="9"/>
        <v>8.6263503671532051E-3</v>
      </c>
      <c r="V43" s="40">
        <f t="shared" si="10"/>
        <v>1298.87962384</v>
      </c>
      <c r="W43" s="39">
        <f t="shared" si="11"/>
        <v>1306.9692604540001</v>
      </c>
      <c r="X43" s="38">
        <f t="shared" si="12"/>
        <v>8.0896366140000282</v>
      </c>
      <c r="Y43" s="37">
        <f t="shared" si="13"/>
        <v>6.228165001221495E-3</v>
      </c>
    </row>
    <row r="44" spans="2:34" x14ac:dyDescent="0.35">
      <c r="B44" s="70">
        <v>46149</v>
      </c>
      <c r="C44" s="68" t="s">
        <v>152</v>
      </c>
      <c r="D44" s="53" t="s">
        <v>151</v>
      </c>
      <c r="E44" s="53" t="s">
        <v>150</v>
      </c>
      <c r="F44" s="48">
        <v>1736.8779999999999</v>
      </c>
      <c r="G44" s="48">
        <v>1738.2550000000001</v>
      </c>
      <c r="H44" s="38">
        <f t="shared" ref="H44:H75" si="14">(IF(G44="","",G44-F44))</f>
        <v>1.3770000000001801</v>
      </c>
      <c r="I44" s="37">
        <f t="shared" ref="I44:I75" si="15">IF(H44="","",H44/F44)</f>
        <v>7.928017972478091E-4</v>
      </c>
      <c r="J44" s="42">
        <v>1081</v>
      </c>
      <c r="K44" s="42">
        <v>1049</v>
      </c>
      <c r="L44" s="41">
        <f t="shared" ref="L44:L75" si="16">(IF(K44="","",K44-J44))</f>
        <v>-32</v>
      </c>
      <c r="M44" s="46">
        <f t="shared" ref="M44:M75" si="17">IF(L44="","",L44/J44)</f>
        <v>-2.960222016651249E-2</v>
      </c>
      <c r="N44" s="45">
        <f t="shared" ref="N44:N75" si="18">IF(J44="","",(F44*J44)/1000000)</f>
        <v>1.8775651179999999</v>
      </c>
      <c r="O44" s="44">
        <f t="shared" ref="O44:O75" si="19">IF(K44="","",(G44*K44)/1000000)</f>
        <v>1.8234294950000001</v>
      </c>
      <c r="P44" s="43">
        <f t="shared" ref="P44:P75" si="20">(IF(O44="","",O44-N44))</f>
        <v>-5.4135622999999855E-2</v>
      </c>
      <c r="Q44" s="37">
        <f t="shared" ref="Q44:Q75" si="21">IF(P44="","",P44/N44)</f>
        <v>-2.8832887062615241E-2</v>
      </c>
      <c r="R44" s="47">
        <v>538790</v>
      </c>
      <c r="S44" s="42">
        <v>543343</v>
      </c>
      <c r="T44" s="41">
        <f t="shared" ref="T44:T75" si="22">(IF(S44="","",S44-R44))</f>
        <v>4553</v>
      </c>
      <c r="U44" s="37">
        <f t="shared" ref="U44:U75" si="23">IF(T44="","",T44/R44)</f>
        <v>8.450416674400045E-3</v>
      </c>
      <c r="V44" s="40">
        <f t="shared" ref="V44:V75" si="24">IF(R44="","",(F44*R44)/1000000)</f>
        <v>935.81249762000004</v>
      </c>
      <c r="W44" s="39">
        <f t="shared" ref="W44:W75" si="25">IF(S44="","",(G44*S44)/1000000)</f>
        <v>944.46868646500002</v>
      </c>
      <c r="X44" s="38">
        <f t="shared" ref="X44:X75" si="26">(IF(W44="","",W44-V44))</f>
        <v>8.6561888449999742</v>
      </c>
      <c r="Y44" s="37">
        <f t="shared" ref="Y44:Y75" si="27">IF(X44="","",X44/V44)</f>
        <v>9.2499179771746778E-3</v>
      </c>
    </row>
    <row r="45" spans="2:34" x14ac:dyDescent="0.35">
      <c r="B45" s="70">
        <v>46149</v>
      </c>
      <c r="C45" s="68" t="s">
        <v>149</v>
      </c>
      <c r="D45" s="53" t="s">
        <v>148</v>
      </c>
      <c r="E45" s="53" t="s">
        <v>147</v>
      </c>
      <c r="F45" s="48">
        <v>1720.2170000000001</v>
      </c>
      <c r="G45" s="48">
        <v>1719.0440000000001</v>
      </c>
      <c r="H45" s="38">
        <f t="shared" si="14"/>
        <v>-1.1730000000000018</v>
      </c>
      <c r="I45" s="37">
        <f t="shared" si="15"/>
        <v>-6.8189071495049854E-4</v>
      </c>
      <c r="J45" s="42">
        <v>1068</v>
      </c>
      <c r="K45" s="42">
        <v>1038</v>
      </c>
      <c r="L45" s="41">
        <f t="shared" si="16"/>
        <v>-30</v>
      </c>
      <c r="M45" s="46">
        <f t="shared" si="17"/>
        <v>-2.8089887640449437E-2</v>
      </c>
      <c r="N45" s="45">
        <f t="shared" si="18"/>
        <v>1.837191756</v>
      </c>
      <c r="O45" s="44">
        <f t="shared" si="19"/>
        <v>1.7843676720000001</v>
      </c>
      <c r="P45" s="43">
        <f t="shared" si="20"/>
        <v>-5.2824083999999827E-2</v>
      </c>
      <c r="Q45" s="37">
        <f t="shared" si="21"/>
        <v>-2.8752624121833818E-2</v>
      </c>
      <c r="R45" s="47">
        <v>539043</v>
      </c>
      <c r="S45" s="42">
        <v>544290</v>
      </c>
      <c r="T45" s="41">
        <f t="shared" si="22"/>
        <v>5247</v>
      </c>
      <c r="U45" s="37">
        <f t="shared" si="23"/>
        <v>9.7339173312704173E-3</v>
      </c>
      <c r="V45" s="40">
        <f t="shared" si="24"/>
        <v>927.27093233100004</v>
      </c>
      <c r="W45" s="39">
        <f t="shared" si="25"/>
        <v>935.65845876000014</v>
      </c>
      <c r="X45" s="38">
        <f t="shared" si="26"/>
        <v>8.3875264290001041</v>
      </c>
      <c r="Y45" s="37">
        <f t="shared" si="27"/>
        <v>9.0453891484717427E-3</v>
      </c>
      <c r="Z45" s="186"/>
      <c r="AA45" s="186"/>
      <c r="AB45" s="186"/>
      <c r="AC45" s="186"/>
      <c r="AD45" s="186"/>
      <c r="AE45" s="186"/>
      <c r="AF45" s="186"/>
      <c r="AG45" s="186"/>
      <c r="AH45" s="187"/>
    </row>
    <row r="46" spans="2:34" x14ac:dyDescent="0.35">
      <c r="B46" s="70">
        <v>46149.627569444478</v>
      </c>
      <c r="C46" s="68" t="s">
        <v>146</v>
      </c>
      <c r="D46" s="53" t="s">
        <v>145</v>
      </c>
      <c r="E46" s="53" t="s">
        <v>144</v>
      </c>
      <c r="F46" s="48">
        <v>1349.673</v>
      </c>
      <c r="G46" s="48">
        <v>1347.1769999999999</v>
      </c>
      <c r="H46" s="38">
        <f t="shared" si="14"/>
        <v>-2.4960000000000946</v>
      </c>
      <c r="I46" s="37">
        <f t="shared" si="15"/>
        <v>-1.8493368393678281E-3</v>
      </c>
      <c r="J46" s="42">
        <v>1065</v>
      </c>
      <c r="K46" s="42">
        <v>1043</v>
      </c>
      <c r="L46" s="41">
        <f t="shared" si="16"/>
        <v>-22</v>
      </c>
      <c r="M46" s="46">
        <f t="shared" si="17"/>
        <v>-2.0657276995305163E-2</v>
      </c>
      <c r="N46" s="45">
        <f t="shared" si="18"/>
        <v>1.4374017450000001</v>
      </c>
      <c r="O46" s="44">
        <f t="shared" si="19"/>
        <v>1.4051056109999998</v>
      </c>
      <c r="P46" s="43">
        <f t="shared" si="20"/>
        <v>-3.2296134000000309E-2</v>
      </c>
      <c r="Q46" s="37">
        <f t="shared" si="21"/>
        <v>-2.2468411571324693E-2</v>
      </c>
      <c r="R46" s="47">
        <v>536962</v>
      </c>
      <c r="S46" s="42">
        <v>543938</v>
      </c>
      <c r="T46" s="41">
        <f t="shared" si="22"/>
        <v>6976</v>
      </c>
      <c r="U46" s="37">
        <f t="shared" si="23"/>
        <v>1.299160834472458E-2</v>
      </c>
      <c r="V46" s="40">
        <f t="shared" si="24"/>
        <v>724.72311342600005</v>
      </c>
      <c r="W46" s="39">
        <f t="shared" si="25"/>
        <v>732.78076302599993</v>
      </c>
      <c r="X46" s="38">
        <f t="shared" si="26"/>
        <v>8.057649599999877</v>
      </c>
      <c r="Y46" s="37">
        <f t="shared" si="27"/>
        <v>1.1118245645442115E-2</v>
      </c>
      <c r="Z46" s="186"/>
      <c r="AA46" s="186"/>
      <c r="AB46" s="186"/>
      <c r="AC46" s="186"/>
      <c r="AD46" s="186"/>
      <c r="AE46" s="186"/>
      <c r="AF46" s="186"/>
      <c r="AG46" s="186"/>
      <c r="AH46" s="187"/>
    </row>
    <row r="47" spans="2:34" x14ac:dyDescent="0.35">
      <c r="B47" s="70">
        <v>46161.671574073844</v>
      </c>
      <c r="C47" s="68" t="s">
        <v>143</v>
      </c>
      <c r="D47" s="53" t="s">
        <v>142</v>
      </c>
      <c r="E47" s="53" t="s">
        <v>141</v>
      </c>
      <c r="F47" s="48">
        <v>1720.934</v>
      </c>
      <c r="G47" s="48">
        <v>1726.751</v>
      </c>
      <c r="H47" s="38">
        <f t="shared" si="14"/>
        <v>5.8170000000000073</v>
      </c>
      <c r="I47" s="37">
        <f t="shared" si="15"/>
        <v>3.3801412488799728E-3</v>
      </c>
      <c r="J47" s="42">
        <v>1055</v>
      </c>
      <c r="K47" s="42">
        <v>1064</v>
      </c>
      <c r="L47" s="41">
        <f t="shared" si="16"/>
        <v>9</v>
      </c>
      <c r="M47" s="46">
        <f t="shared" si="17"/>
        <v>8.5308056872037911E-3</v>
      </c>
      <c r="N47" s="45">
        <f t="shared" si="18"/>
        <v>1.81558537</v>
      </c>
      <c r="O47" s="44">
        <f t="shared" si="19"/>
        <v>1.8372630640000001</v>
      </c>
      <c r="P47" s="43">
        <f t="shared" si="20"/>
        <v>2.1677694000000081E-2</v>
      </c>
      <c r="Q47" s="37">
        <f t="shared" si="21"/>
        <v>1.1939782264273302E-2</v>
      </c>
      <c r="R47" s="47">
        <v>554488</v>
      </c>
      <c r="S47" s="42">
        <v>563403</v>
      </c>
      <c r="T47" s="41">
        <f t="shared" si="22"/>
        <v>8915</v>
      </c>
      <c r="U47" s="37">
        <f t="shared" si="23"/>
        <v>1.6077895283576921E-2</v>
      </c>
      <c r="V47" s="40">
        <f t="shared" si="24"/>
        <v>954.23725179199994</v>
      </c>
      <c r="W47" s="39">
        <f t="shared" si="25"/>
        <v>972.85669365299998</v>
      </c>
      <c r="X47" s="38">
        <f t="shared" si="26"/>
        <v>18.619441861000041</v>
      </c>
      <c r="Y47" s="37">
        <f t="shared" si="27"/>
        <v>1.9512382089500124E-2</v>
      </c>
      <c r="Z47" s="186"/>
      <c r="AA47" s="186"/>
      <c r="AB47" s="186"/>
      <c r="AC47" s="186"/>
      <c r="AD47" s="186"/>
      <c r="AE47" s="186"/>
      <c r="AF47" s="186"/>
      <c r="AG47" s="186"/>
      <c r="AH47" s="187"/>
    </row>
    <row r="48" spans="2:34" x14ac:dyDescent="0.35">
      <c r="B48" s="70">
        <v>46161.671655092388</v>
      </c>
      <c r="C48" s="68" t="s">
        <v>140</v>
      </c>
      <c r="D48" s="53" t="s">
        <v>139</v>
      </c>
      <c r="E48" s="53" t="s">
        <v>138</v>
      </c>
      <c r="F48" s="48">
        <v>1422.2629999999999</v>
      </c>
      <c r="G48" s="48">
        <v>1425.748</v>
      </c>
      <c r="H48" s="38">
        <f t="shared" si="14"/>
        <v>3.4850000000001273</v>
      </c>
      <c r="I48" s="37">
        <f t="shared" si="15"/>
        <v>2.450320369720739E-3</v>
      </c>
      <c r="J48" s="42">
        <v>1055</v>
      </c>
      <c r="K48" s="42">
        <v>1047</v>
      </c>
      <c r="L48" s="41">
        <f t="shared" si="16"/>
        <v>-8</v>
      </c>
      <c r="M48" s="46">
        <f t="shared" si="17"/>
        <v>-7.5829383886255926E-3</v>
      </c>
      <c r="N48" s="45">
        <f t="shared" si="18"/>
        <v>1.5004874649999997</v>
      </c>
      <c r="O48" s="44">
        <f t="shared" si="19"/>
        <v>1.4927581560000001</v>
      </c>
      <c r="P48" s="43">
        <f t="shared" si="20"/>
        <v>-7.7293089999996845E-3</v>
      </c>
      <c r="Q48" s="37">
        <f t="shared" si="21"/>
        <v>-5.1511986473007192E-3</v>
      </c>
      <c r="R48" s="47">
        <v>557392</v>
      </c>
      <c r="S48" s="42">
        <v>561900</v>
      </c>
      <c r="T48" s="41">
        <f t="shared" si="22"/>
        <v>4508</v>
      </c>
      <c r="U48" s="37">
        <f t="shared" si="23"/>
        <v>8.087665413210092E-3</v>
      </c>
      <c r="V48" s="40">
        <f t="shared" si="24"/>
        <v>792.758018096</v>
      </c>
      <c r="W48" s="39">
        <f t="shared" si="25"/>
        <v>801.12780120000002</v>
      </c>
      <c r="X48" s="38">
        <f t="shared" si="26"/>
        <v>8.369783104000021</v>
      </c>
      <c r="Y48" s="37">
        <f t="shared" si="27"/>
        <v>1.0557803154236243E-2</v>
      </c>
      <c r="Z48" s="186"/>
      <c r="AA48" s="186"/>
      <c r="AB48" s="186"/>
      <c r="AC48" s="186"/>
      <c r="AD48" s="186"/>
      <c r="AE48" s="186"/>
      <c r="AF48" s="186"/>
      <c r="AG48" s="186"/>
      <c r="AH48" s="187"/>
    </row>
    <row r="49" spans="2:34" x14ac:dyDescent="0.35">
      <c r="B49" s="70">
        <v>46161.671736110933</v>
      </c>
      <c r="C49" s="68" t="s">
        <v>137</v>
      </c>
      <c r="D49" s="53" t="s">
        <v>136</v>
      </c>
      <c r="E49" s="53" t="s">
        <v>135</v>
      </c>
      <c r="F49" s="48">
        <v>1995.7950000000001</v>
      </c>
      <c r="G49" s="48">
        <v>1991.058</v>
      </c>
      <c r="H49" s="38">
        <f t="shared" si="14"/>
        <v>-4.73700000000008</v>
      </c>
      <c r="I49" s="37">
        <f t="shared" si="15"/>
        <v>-2.3734902632785832E-3</v>
      </c>
      <c r="J49" s="42">
        <v>1002</v>
      </c>
      <c r="K49" s="42">
        <v>1005</v>
      </c>
      <c r="L49" s="41">
        <f t="shared" si="16"/>
        <v>3</v>
      </c>
      <c r="M49" s="46">
        <f t="shared" si="17"/>
        <v>2.9940119760479044E-3</v>
      </c>
      <c r="N49" s="45">
        <f t="shared" si="18"/>
        <v>1.99978659</v>
      </c>
      <c r="O49" s="44">
        <f t="shared" si="19"/>
        <v>2.0010132899999999</v>
      </c>
      <c r="P49" s="43">
        <f t="shared" si="20"/>
        <v>1.226699999999914E-3</v>
      </c>
      <c r="Q49" s="37">
        <f t="shared" si="21"/>
        <v>6.13415454496029E-4</v>
      </c>
      <c r="R49" s="47">
        <v>547730</v>
      </c>
      <c r="S49" s="42">
        <v>561415</v>
      </c>
      <c r="T49" s="41">
        <f t="shared" si="22"/>
        <v>13685</v>
      </c>
      <c r="U49" s="37">
        <f t="shared" si="23"/>
        <v>2.4984937834334434E-2</v>
      </c>
      <c r="V49" s="40">
        <f t="shared" si="24"/>
        <v>1093.15679535</v>
      </c>
      <c r="W49" s="39">
        <f t="shared" si="25"/>
        <v>1117.80982707</v>
      </c>
      <c r="X49" s="38">
        <f t="shared" si="26"/>
        <v>24.653031719999944</v>
      </c>
      <c r="Y49" s="37">
        <f t="shared" si="27"/>
        <v>2.2552146064377429E-2</v>
      </c>
      <c r="Z49" s="186"/>
      <c r="AA49" s="186"/>
      <c r="AB49" s="186"/>
      <c r="AC49" s="186"/>
      <c r="AD49" s="186"/>
      <c r="AE49" s="186"/>
      <c r="AF49" s="186"/>
      <c r="AG49" s="186"/>
      <c r="AH49" s="187"/>
    </row>
    <row r="50" spans="2:34" x14ac:dyDescent="0.35">
      <c r="B50" s="70">
        <v>46185</v>
      </c>
      <c r="C50" s="68">
        <v>39</v>
      </c>
      <c r="D50" s="53" t="s">
        <v>134</v>
      </c>
      <c r="E50" s="53" t="s">
        <v>133</v>
      </c>
      <c r="F50" s="48">
        <v>1883.2470000000001</v>
      </c>
      <c r="G50" s="48">
        <v>1886.479</v>
      </c>
      <c r="H50" s="38">
        <f t="shared" si="14"/>
        <v>3.2319999999999709</v>
      </c>
      <c r="I50" s="37">
        <f t="shared" si="15"/>
        <v>1.7161848658194972E-3</v>
      </c>
      <c r="J50" s="42">
        <v>741</v>
      </c>
      <c r="K50" s="42">
        <v>728</v>
      </c>
      <c r="L50" s="41">
        <f t="shared" si="16"/>
        <v>-13</v>
      </c>
      <c r="M50" s="46">
        <f t="shared" si="17"/>
        <v>-1.7543859649122806E-2</v>
      </c>
      <c r="N50" s="45">
        <f t="shared" si="18"/>
        <v>1.395486027</v>
      </c>
      <c r="O50" s="44">
        <f t="shared" si="19"/>
        <v>1.3733567120000001</v>
      </c>
      <c r="P50" s="43">
        <f t="shared" si="20"/>
        <v>-2.2129314999999927E-2</v>
      </c>
      <c r="Q50" s="37">
        <f t="shared" si="21"/>
        <v>-1.5857783289721129E-2</v>
      </c>
      <c r="R50" s="47">
        <v>464189</v>
      </c>
      <c r="S50" s="42">
        <v>465704</v>
      </c>
      <c r="T50" s="41">
        <f t="shared" si="22"/>
        <v>1515</v>
      </c>
      <c r="U50" s="37">
        <f t="shared" si="23"/>
        <v>3.2637567887218353E-3</v>
      </c>
      <c r="V50" s="40">
        <f t="shared" si="24"/>
        <v>874.18254168300007</v>
      </c>
      <c r="W50" s="39">
        <f t="shared" si="25"/>
        <v>878.54081621599994</v>
      </c>
      <c r="X50" s="38">
        <f t="shared" si="26"/>
        <v>4.3582745329998716</v>
      </c>
      <c r="Y50" s="37">
        <f t="shared" si="27"/>
        <v>4.9855428645477207E-3</v>
      </c>
      <c r="Z50" s="186"/>
      <c r="AA50" s="186"/>
      <c r="AB50" s="186"/>
      <c r="AC50" s="186"/>
      <c r="AD50" s="186"/>
      <c r="AE50" s="186"/>
      <c r="AF50" s="186"/>
      <c r="AG50" s="186"/>
      <c r="AH50" s="187"/>
    </row>
    <row r="51" spans="2:34" x14ac:dyDescent="0.35">
      <c r="B51" s="70">
        <v>46185</v>
      </c>
      <c r="C51" s="68">
        <v>40</v>
      </c>
      <c r="D51" s="53" t="s">
        <v>132</v>
      </c>
      <c r="E51" s="53" t="s">
        <v>131</v>
      </c>
      <c r="F51" s="48">
        <v>1573.931</v>
      </c>
      <c r="G51" s="48">
        <v>1574.838</v>
      </c>
      <c r="H51" s="38">
        <f t="shared" si="14"/>
        <v>0.90699999999992542</v>
      </c>
      <c r="I51" s="37">
        <f t="shared" si="15"/>
        <v>5.762641437267106E-4</v>
      </c>
      <c r="J51" s="42">
        <v>748</v>
      </c>
      <c r="K51" s="42">
        <v>750</v>
      </c>
      <c r="L51" s="41">
        <f t="shared" si="16"/>
        <v>2</v>
      </c>
      <c r="M51" s="46">
        <f t="shared" si="17"/>
        <v>2.6737967914438501E-3</v>
      </c>
      <c r="N51" s="45">
        <f t="shared" si="18"/>
        <v>1.1773003880000001</v>
      </c>
      <c r="O51" s="44">
        <f t="shared" si="19"/>
        <v>1.1811285</v>
      </c>
      <c r="P51" s="43">
        <f t="shared" si="20"/>
        <v>3.8281119999998836E-3</v>
      </c>
      <c r="Q51" s="37">
        <f t="shared" si="21"/>
        <v>3.2516017483890298E-3</v>
      </c>
      <c r="R51" s="47">
        <v>463198</v>
      </c>
      <c r="S51" s="42">
        <v>462883</v>
      </c>
      <c r="T51" s="41">
        <f t="shared" si="22"/>
        <v>-315</v>
      </c>
      <c r="U51" s="37">
        <f t="shared" si="23"/>
        <v>-6.8005474980461914E-4</v>
      </c>
      <c r="V51" s="40">
        <f t="shared" si="24"/>
        <v>729.04169133800008</v>
      </c>
      <c r="W51" s="39">
        <f t="shared" si="25"/>
        <v>728.96573795400002</v>
      </c>
      <c r="X51" s="38">
        <f t="shared" si="26"/>
        <v>-7.5953384000058577E-2</v>
      </c>
      <c r="Y51" s="37">
        <f t="shared" si="27"/>
        <v>-1.0418249724602497E-4</v>
      </c>
      <c r="Z51" s="186"/>
      <c r="AA51" s="186"/>
      <c r="AB51" s="186"/>
      <c r="AC51" s="186"/>
      <c r="AD51" s="186"/>
      <c r="AE51" s="186"/>
      <c r="AF51" s="186"/>
      <c r="AG51" s="186"/>
      <c r="AH51" s="187"/>
    </row>
    <row r="52" spans="2:34" x14ac:dyDescent="0.35">
      <c r="B52" s="70">
        <v>46197</v>
      </c>
      <c r="C52" s="68">
        <v>41</v>
      </c>
      <c r="D52" s="53" t="s">
        <v>130</v>
      </c>
      <c r="E52" s="53" t="s">
        <v>129</v>
      </c>
      <c r="F52" s="48">
        <v>1630.711</v>
      </c>
      <c r="G52" s="48">
        <v>1631.317</v>
      </c>
      <c r="H52" s="38">
        <f t="shared" si="14"/>
        <v>0.60599999999999454</v>
      </c>
      <c r="I52" s="37">
        <f t="shared" si="15"/>
        <v>3.7161704311799857E-4</v>
      </c>
      <c r="J52" s="42">
        <v>719</v>
      </c>
      <c r="K52" s="42">
        <v>718</v>
      </c>
      <c r="L52" s="41">
        <f t="shared" si="16"/>
        <v>-1</v>
      </c>
      <c r="M52" s="46">
        <f t="shared" si="17"/>
        <v>-1.3908205841446453E-3</v>
      </c>
      <c r="N52" s="45">
        <f t="shared" si="18"/>
        <v>1.1724812090000001</v>
      </c>
      <c r="O52" s="44">
        <f t="shared" si="19"/>
        <v>1.1712856059999999</v>
      </c>
      <c r="P52" s="43">
        <f t="shared" si="20"/>
        <v>-1.1956030000002116E-3</v>
      </c>
      <c r="Q52" s="37">
        <f t="shared" si="21"/>
        <v>-1.0197203936598113E-3</v>
      </c>
      <c r="R52" s="47">
        <v>462779</v>
      </c>
      <c r="S52" s="42">
        <v>465178</v>
      </c>
      <c r="T52" s="41">
        <f t="shared" si="22"/>
        <v>2399</v>
      </c>
      <c r="U52" s="37">
        <f t="shared" si="23"/>
        <v>5.1838998744541129E-3</v>
      </c>
      <c r="V52" s="40">
        <f t="shared" si="24"/>
        <v>754.65880586899993</v>
      </c>
      <c r="W52" s="39">
        <f t="shared" si="25"/>
        <v>758.85277942599998</v>
      </c>
      <c r="X52" s="38">
        <f t="shared" si="26"/>
        <v>4.1939735570000494</v>
      </c>
      <c r="Y52" s="37">
        <f t="shared" si="27"/>
        <v>5.5574433431153456E-3</v>
      </c>
      <c r="Z52" s="186"/>
      <c r="AA52" s="186"/>
      <c r="AB52" s="186"/>
      <c r="AC52" s="186"/>
      <c r="AD52" s="186"/>
      <c r="AE52" s="186"/>
      <c r="AF52" s="186"/>
      <c r="AG52" s="186"/>
      <c r="AH52" s="187"/>
    </row>
    <row r="53" spans="2:34" x14ac:dyDescent="0.35">
      <c r="B53" s="51">
        <v>46197</v>
      </c>
      <c r="C53" s="69">
        <v>42</v>
      </c>
      <c r="D53" s="53" t="s">
        <v>128</v>
      </c>
      <c r="E53" s="53" t="s">
        <v>127</v>
      </c>
      <c r="F53" s="48">
        <v>1211.751</v>
      </c>
      <c r="G53" s="48">
        <v>1211.1759999999999</v>
      </c>
      <c r="H53" s="38">
        <f t="shared" si="14"/>
        <v>-0.57500000000004547</v>
      </c>
      <c r="I53" s="37">
        <f t="shared" si="15"/>
        <v>-4.7451993024973403E-4</v>
      </c>
      <c r="J53" s="42">
        <v>736</v>
      </c>
      <c r="K53" s="42">
        <v>727</v>
      </c>
      <c r="L53" s="41">
        <f t="shared" si="16"/>
        <v>-9</v>
      </c>
      <c r="M53" s="46">
        <f t="shared" si="17"/>
        <v>-1.2228260869565218E-2</v>
      </c>
      <c r="N53" s="45">
        <f t="shared" si="18"/>
        <v>0.89184873600000003</v>
      </c>
      <c r="O53" s="44">
        <f t="shared" si="19"/>
        <v>0.88052495199999992</v>
      </c>
      <c r="P53" s="43">
        <f t="shared" si="20"/>
        <v>-1.1323784000000114E-2</v>
      </c>
      <c r="Q53" s="37">
        <f t="shared" si="21"/>
        <v>-1.2696978246320141E-2</v>
      </c>
      <c r="R53" s="47">
        <v>465806</v>
      </c>
      <c r="S53" s="42">
        <v>460699</v>
      </c>
      <c r="T53" s="41">
        <f t="shared" si="22"/>
        <v>-5107</v>
      </c>
      <c r="U53" s="37">
        <f t="shared" si="23"/>
        <v>-1.0963791793149939E-2</v>
      </c>
      <c r="V53" s="40">
        <f t="shared" si="24"/>
        <v>564.44088630600004</v>
      </c>
      <c r="W53" s="39">
        <f t="shared" si="25"/>
        <v>557.98757202399997</v>
      </c>
      <c r="X53" s="38">
        <f t="shared" si="26"/>
        <v>-6.4533142820000648</v>
      </c>
      <c r="Y53" s="37">
        <f t="shared" si="27"/>
        <v>-1.1433109185682791E-2</v>
      </c>
      <c r="Z53" s="186"/>
      <c r="AA53" s="186"/>
      <c r="AB53" s="186"/>
      <c r="AC53" s="186"/>
      <c r="AD53" s="186"/>
      <c r="AE53" s="186"/>
      <c r="AF53" s="186"/>
      <c r="AG53" s="186"/>
      <c r="AH53" s="187"/>
    </row>
    <row r="54" spans="2:34" x14ac:dyDescent="0.35">
      <c r="B54" s="51">
        <v>46202</v>
      </c>
      <c r="C54" s="68">
        <v>43</v>
      </c>
      <c r="D54" s="53" t="s">
        <v>126</v>
      </c>
      <c r="E54" s="53" t="s">
        <v>125</v>
      </c>
      <c r="F54" s="48">
        <v>1286.53</v>
      </c>
      <c r="G54" s="48">
        <v>1292.9349999999999</v>
      </c>
      <c r="H54" s="38">
        <f t="shared" si="14"/>
        <v>6.4049999999999727</v>
      </c>
      <c r="I54" s="37">
        <f t="shared" si="15"/>
        <v>4.9785080798737478E-3</v>
      </c>
      <c r="J54" s="42">
        <v>741</v>
      </c>
      <c r="K54" s="42">
        <v>722</v>
      </c>
      <c r="L54" s="41">
        <f t="shared" si="16"/>
        <v>-19</v>
      </c>
      <c r="M54" s="46">
        <f t="shared" si="17"/>
        <v>-2.564102564102564E-2</v>
      </c>
      <c r="N54" s="45">
        <f t="shared" si="18"/>
        <v>0.95331873</v>
      </c>
      <c r="O54" s="44">
        <f t="shared" si="19"/>
        <v>0.93349906999999999</v>
      </c>
      <c r="P54" s="43">
        <f t="shared" si="20"/>
        <v>-1.9819660000000017E-2</v>
      </c>
      <c r="Q54" s="37">
        <f t="shared" si="21"/>
        <v>-2.0790171614481986E-2</v>
      </c>
      <c r="R54" s="47">
        <v>478277</v>
      </c>
      <c r="S54" s="42">
        <v>483558</v>
      </c>
      <c r="T54" s="41">
        <f t="shared" si="22"/>
        <v>5281</v>
      </c>
      <c r="U54" s="37">
        <f t="shared" si="23"/>
        <v>1.1041718502039614E-2</v>
      </c>
      <c r="V54" s="40">
        <f t="shared" si="24"/>
        <v>615.31770881</v>
      </c>
      <c r="W54" s="39">
        <f t="shared" si="25"/>
        <v>625.20906273000003</v>
      </c>
      <c r="X54" s="38">
        <f t="shared" si="26"/>
        <v>9.8913539200000287</v>
      </c>
      <c r="Y54" s="37">
        <f t="shared" si="27"/>
        <v>1.6075197866691524E-2</v>
      </c>
      <c r="Z54" s="186"/>
      <c r="AA54" s="186"/>
      <c r="AB54" s="186"/>
      <c r="AC54" s="186"/>
      <c r="AD54" s="186"/>
      <c r="AE54" s="186"/>
      <c r="AF54" s="186"/>
      <c r="AG54" s="186"/>
    </row>
    <row r="55" spans="2:34" x14ac:dyDescent="0.35">
      <c r="B55" s="51">
        <v>46202</v>
      </c>
      <c r="C55" s="67">
        <v>44</v>
      </c>
      <c r="D55" s="53" t="s">
        <v>124</v>
      </c>
      <c r="E55" s="53" t="s">
        <v>123</v>
      </c>
      <c r="F55" s="48">
        <v>2311.6840000000002</v>
      </c>
      <c r="G55" s="48">
        <v>2317.7359999999999</v>
      </c>
      <c r="H55" s="38">
        <f t="shared" si="14"/>
        <v>6.0519999999996799</v>
      </c>
      <c r="I55" s="37">
        <f t="shared" si="15"/>
        <v>2.6180048830202049E-3</v>
      </c>
      <c r="J55" s="42">
        <v>910</v>
      </c>
      <c r="K55" s="42">
        <v>891</v>
      </c>
      <c r="L55" s="41">
        <f t="shared" si="16"/>
        <v>-19</v>
      </c>
      <c r="M55" s="46">
        <f t="shared" si="17"/>
        <v>-2.0879120879120878E-2</v>
      </c>
      <c r="N55" s="45">
        <f t="shared" si="18"/>
        <v>2.1036324400000006</v>
      </c>
      <c r="O55" s="44">
        <f t="shared" si="19"/>
        <v>2.0651027759999998</v>
      </c>
      <c r="P55" s="43">
        <f t="shared" si="20"/>
        <v>-3.8529664000000796E-2</v>
      </c>
      <c r="Q55" s="37">
        <f t="shared" si="21"/>
        <v>-1.831577763651562E-2</v>
      </c>
      <c r="R55" s="47">
        <v>598555</v>
      </c>
      <c r="S55" s="42">
        <v>603621</v>
      </c>
      <c r="T55" s="41">
        <f t="shared" si="22"/>
        <v>5066</v>
      </c>
      <c r="U55" s="37">
        <f t="shared" si="23"/>
        <v>8.4637167845895526E-3</v>
      </c>
      <c r="V55" s="40">
        <f t="shared" si="24"/>
        <v>1383.6700166200001</v>
      </c>
      <c r="W55" s="39">
        <f t="shared" si="25"/>
        <v>1399.0341220559999</v>
      </c>
      <c r="X55" s="38">
        <f t="shared" si="26"/>
        <v>15.364105435999818</v>
      </c>
      <c r="Y55" s="37">
        <f t="shared" si="27"/>
        <v>1.1103879719480321E-2</v>
      </c>
      <c r="Z55" s="186"/>
      <c r="AA55" s="186"/>
      <c r="AB55" s="186"/>
      <c r="AC55" s="186"/>
      <c r="AD55" s="186"/>
      <c r="AE55" s="186"/>
      <c r="AF55" s="186"/>
      <c r="AG55" s="186"/>
    </row>
    <row r="56" spans="2:34" x14ac:dyDescent="0.35">
      <c r="B56" s="51">
        <v>46216</v>
      </c>
      <c r="C56" s="66">
        <v>45</v>
      </c>
      <c r="D56" s="54" t="s">
        <v>122</v>
      </c>
      <c r="E56" s="53" t="s">
        <v>121</v>
      </c>
      <c r="F56" s="48">
        <v>1546.84</v>
      </c>
      <c r="G56" s="48">
        <v>1544.704</v>
      </c>
      <c r="H56" s="38">
        <f t="shared" si="14"/>
        <v>-2.1359999999999673</v>
      </c>
      <c r="I56" s="37">
        <f t="shared" si="15"/>
        <v>-1.3808797289958674E-3</v>
      </c>
      <c r="J56" s="42">
        <v>818</v>
      </c>
      <c r="K56" s="42">
        <v>819</v>
      </c>
      <c r="L56" s="41">
        <f t="shared" si="16"/>
        <v>1</v>
      </c>
      <c r="M56" s="46">
        <f t="shared" si="17"/>
        <v>1.2224938875305623E-3</v>
      </c>
      <c r="N56" s="45">
        <f t="shared" si="18"/>
        <v>1.2653151199999999</v>
      </c>
      <c r="O56" s="44">
        <f t="shared" si="19"/>
        <v>1.2651125759999999</v>
      </c>
      <c r="P56" s="43">
        <f t="shared" si="20"/>
        <v>-2.0254399999997119E-4</v>
      </c>
      <c r="Q56" s="37">
        <f t="shared" si="21"/>
        <v>-1.6007395849341563E-4</v>
      </c>
      <c r="R56" s="47">
        <v>519776</v>
      </c>
      <c r="S56" s="42">
        <v>525236</v>
      </c>
      <c r="T56" s="41">
        <f t="shared" si="22"/>
        <v>5460</v>
      </c>
      <c r="U56" s="37">
        <f t="shared" si="23"/>
        <v>1.0504525026165118E-2</v>
      </c>
      <c r="V56" s="40">
        <f t="shared" si="24"/>
        <v>804.01030783999988</v>
      </c>
      <c r="W56" s="39">
        <f t="shared" si="25"/>
        <v>811.33415014399998</v>
      </c>
      <c r="X56" s="38">
        <f t="shared" si="26"/>
        <v>7.3238423040000953</v>
      </c>
      <c r="Y56" s="37">
        <f t="shared" si="27"/>
        <v>9.1091398114979873E-3</v>
      </c>
      <c r="Z56" s="186"/>
      <c r="AA56" s="186"/>
      <c r="AB56" s="186"/>
      <c r="AC56" s="186"/>
      <c r="AD56" s="186"/>
      <c r="AE56" s="186"/>
      <c r="AF56" s="186"/>
      <c r="AG56" s="186"/>
    </row>
    <row r="57" spans="2:34" x14ac:dyDescent="0.35">
      <c r="B57" s="51">
        <v>46216</v>
      </c>
      <c r="C57" s="66">
        <v>46</v>
      </c>
      <c r="D57" s="54" t="s">
        <v>120</v>
      </c>
      <c r="E57" s="53" t="s">
        <v>119</v>
      </c>
      <c r="F57" s="48">
        <v>1871.8420000000001</v>
      </c>
      <c r="G57" s="48">
        <v>1871.098</v>
      </c>
      <c r="H57" s="38">
        <f t="shared" si="14"/>
        <v>-0.74400000000014188</v>
      </c>
      <c r="I57" s="37">
        <f t="shared" si="15"/>
        <v>-3.9746944453652701E-4</v>
      </c>
      <c r="J57" s="42">
        <v>733</v>
      </c>
      <c r="K57" s="42">
        <v>725</v>
      </c>
      <c r="L57" s="41">
        <f t="shared" si="16"/>
        <v>-8</v>
      </c>
      <c r="M57" s="46">
        <f t="shared" si="17"/>
        <v>-1.0914051841746248E-2</v>
      </c>
      <c r="N57" s="45">
        <f t="shared" si="18"/>
        <v>1.3720601859999999</v>
      </c>
      <c r="O57" s="44">
        <f t="shared" si="19"/>
        <v>1.3565460499999999</v>
      </c>
      <c r="P57" s="43">
        <f t="shared" si="20"/>
        <v>-1.5514135999999956E-2</v>
      </c>
      <c r="Q57" s="37">
        <f t="shared" si="21"/>
        <v>-1.1307183284159488E-2</v>
      </c>
      <c r="R57" s="47">
        <v>452007</v>
      </c>
      <c r="S57" s="42">
        <v>455665</v>
      </c>
      <c r="T57" s="41">
        <f t="shared" si="22"/>
        <v>3658</v>
      </c>
      <c r="U57" s="37">
        <f t="shared" si="23"/>
        <v>8.0927950230859254E-3</v>
      </c>
      <c r="V57" s="40">
        <f t="shared" si="24"/>
        <v>846.0856868940001</v>
      </c>
      <c r="W57" s="39">
        <f t="shared" si="25"/>
        <v>852.59387016999995</v>
      </c>
      <c r="X57" s="38">
        <f t="shared" si="26"/>
        <v>6.5081832759998406</v>
      </c>
      <c r="Y57" s="37">
        <f t="shared" si="27"/>
        <v>7.6921089398067121E-3</v>
      </c>
      <c r="Z57" s="186"/>
      <c r="AA57" s="186"/>
      <c r="AB57" s="186"/>
      <c r="AC57" s="186"/>
      <c r="AD57" s="186"/>
      <c r="AE57" s="186"/>
      <c r="AF57" s="186"/>
      <c r="AG57" s="186"/>
    </row>
    <row r="58" spans="2:34" x14ac:dyDescent="0.35">
      <c r="B58" s="51">
        <v>46216</v>
      </c>
      <c r="C58" s="66">
        <v>47</v>
      </c>
      <c r="D58" s="54" t="s">
        <v>118</v>
      </c>
      <c r="E58" s="53" t="s">
        <v>117</v>
      </c>
      <c r="F58" s="48">
        <v>1561.1969999999999</v>
      </c>
      <c r="G58" s="48">
        <v>1560.12</v>
      </c>
      <c r="H58" s="38">
        <f t="shared" si="14"/>
        <v>-1.0769999999999982</v>
      </c>
      <c r="I58" s="37">
        <f t="shared" si="15"/>
        <v>-6.8985528411853096E-4</v>
      </c>
      <c r="J58" s="42">
        <v>680</v>
      </c>
      <c r="K58" s="42">
        <v>672</v>
      </c>
      <c r="L58" s="41">
        <f t="shared" si="16"/>
        <v>-8</v>
      </c>
      <c r="M58" s="46">
        <f t="shared" si="17"/>
        <v>-1.1764705882352941E-2</v>
      </c>
      <c r="N58" s="45">
        <f t="shared" si="18"/>
        <v>1.0616139599999999</v>
      </c>
      <c r="O58" s="44">
        <f t="shared" si="19"/>
        <v>1.0484006399999999</v>
      </c>
      <c r="P58" s="43">
        <f t="shared" si="20"/>
        <v>-1.3213319999999973E-2</v>
      </c>
      <c r="Q58" s="37">
        <f t="shared" si="21"/>
        <v>-1.2446445221952408E-2</v>
      </c>
      <c r="R58" s="47">
        <v>413632</v>
      </c>
      <c r="S58" s="42">
        <v>416114</v>
      </c>
      <c r="T58" s="41">
        <f t="shared" si="22"/>
        <v>2482</v>
      </c>
      <c r="U58" s="37">
        <f t="shared" si="23"/>
        <v>6.0005028624477794E-3</v>
      </c>
      <c r="V58" s="40">
        <f t="shared" si="24"/>
        <v>645.761037504</v>
      </c>
      <c r="W58" s="39">
        <f t="shared" si="25"/>
        <v>649.18777367999996</v>
      </c>
      <c r="X58" s="38">
        <f t="shared" si="26"/>
        <v>3.4267361759999631</v>
      </c>
      <c r="Y58" s="37">
        <f t="shared" si="27"/>
        <v>5.3065080997221625E-3</v>
      </c>
      <c r="Z58" s="186"/>
      <c r="AA58" s="186"/>
      <c r="AB58" s="186"/>
      <c r="AC58" s="186"/>
      <c r="AD58" s="186"/>
      <c r="AE58" s="186"/>
      <c r="AF58" s="186"/>
      <c r="AG58" s="186"/>
    </row>
    <row r="59" spans="2:34" x14ac:dyDescent="0.35">
      <c r="B59" s="51">
        <v>46230</v>
      </c>
      <c r="C59" s="62">
        <v>48</v>
      </c>
      <c r="D59" s="54" t="s">
        <v>116</v>
      </c>
      <c r="E59" s="53" t="s">
        <v>115</v>
      </c>
      <c r="F59" s="48">
        <v>1406.617</v>
      </c>
      <c r="G59" s="48">
        <v>1405.761</v>
      </c>
      <c r="H59" s="38">
        <f t="shared" si="14"/>
        <v>-0.85599999999999454</v>
      </c>
      <c r="I59" s="37">
        <f t="shared" si="15"/>
        <v>-6.0855229248615264E-4</v>
      </c>
      <c r="J59" s="64">
        <v>723</v>
      </c>
      <c r="K59" s="64">
        <v>710</v>
      </c>
      <c r="L59" s="63">
        <f t="shared" si="16"/>
        <v>-13</v>
      </c>
      <c r="M59" s="46">
        <f t="shared" si="17"/>
        <v>-1.7980636237897647E-2</v>
      </c>
      <c r="N59" s="45">
        <f t="shared" si="18"/>
        <v>1.0169840910000001</v>
      </c>
      <c r="O59" s="44">
        <f t="shared" si="19"/>
        <v>0.99809030999999993</v>
      </c>
      <c r="P59" s="43">
        <f t="shared" si="20"/>
        <v>-1.8893781000000165E-2</v>
      </c>
      <c r="Q59" s="37">
        <f t="shared" si="21"/>
        <v>-1.8578246372981035E-2</v>
      </c>
      <c r="R59" s="65">
        <v>442919</v>
      </c>
      <c r="S59" s="64">
        <v>449691</v>
      </c>
      <c r="T59" s="63">
        <f t="shared" si="22"/>
        <v>6772</v>
      </c>
      <c r="U59" s="37">
        <f t="shared" si="23"/>
        <v>1.5289477308492071E-2</v>
      </c>
      <c r="V59" s="40">
        <f t="shared" si="24"/>
        <v>623.01739502299995</v>
      </c>
      <c r="W59" s="39">
        <f t="shared" si="25"/>
        <v>632.15806985099994</v>
      </c>
      <c r="X59" s="38">
        <f t="shared" si="26"/>
        <v>9.1406748279999874</v>
      </c>
      <c r="Y59" s="37">
        <f t="shared" si="27"/>
        <v>1.4671620569538898E-2</v>
      </c>
      <c r="Z59" s="186"/>
      <c r="AA59" s="186"/>
      <c r="AB59" s="186"/>
      <c r="AC59" s="186"/>
      <c r="AD59" s="186"/>
      <c r="AE59" s="186"/>
      <c r="AF59" s="186"/>
      <c r="AG59" s="186"/>
    </row>
    <row r="60" spans="2:34" x14ac:dyDescent="0.35">
      <c r="B60" s="51">
        <v>46230</v>
      </c>
      <c r="C60" s="62">
        <v>49</v>
      </c>
      <c r="D60" s="54" t="s">
        <v>114</v>
      </c>
      <c r="E60" s="53" t="s">
        <v>113</v>
      </c>
      <c r="F60" s="48">
        <v>1218.422</v>
      </c>
      <c r="G60" s="48">
        <v>1216.107</v>
      </c>
      <c r="H60" s="38">
        <f t="shared" si="14"/>
        <v>-2.3150000000000546</v>
      </c>
      <c r="I60" s="37">
        <f t="shared" si="15"/>
        <v>-1.8999985226793791E-3</v>
      </c>
      <c r="J60" s="64">
        <v>737</v>
      </c>
      <c r="K60" s="64">
        <v>700</v>
      </c>
      <c r="L60" s="63">
        <f t="shared" si="16"/>
        <v>-37</v>
      </c>
      <c r="M60" s="46">
        <f t="shared" si="17"/>
        <v>-5.0203527815468114E-2</v>
      </c>
      <c r="N60" s="45">
        <f t="shared" si="18"/>
        <v>0.89797701399999996</v>
      </c>
      <c r="O60" s="44">
        <f t="shared" si="19"/>
        <v>0.85127490000000006</v>
      </c>
      <c r="P60" s="43">
        <f t="shared" si="20"/>
        <v>-4.6702113999999906E-2</v>
      </c>
      <c r="Q60" s="37">
        <f t="shared" si="21"/>
        <v>-5.2008139709464662E-2</v>
      </c>
      <c r="R60" s="65">
        <v>443201</v>
      </c>
      <c r="S60" s="64">
        <v>442592</v>
      </c>
      <c r="T60" s="63">
        <f t="shared" si="22"/>
        <v>-609</v>
      </c>
      <c r="U60" s="37">
        <f t="shared" si="23"/>
        <v>-1.374094372530748E-3</v>
      </c>
      <c r="V60" s="40">
        <f t="shared" si="24"/>
        <v>540.00584882200008</v>
      </c>
      <c r="W60" s="39">
        <f t="shared" si="25"/>
        <v>538.23922934400002</v>
      </c>
      <c r="X60" s="38">
        <f t="shared" si="26"/>
        <v>-1.7666194780000524</v>
      </c>
      <c r="Y60" s="37">
        <f t="shared" si="27"/>
        <v>-3.2714821179323484E-3</v>
      </c>
    </row>
    <row r="61" spans="2:34" x14ac:dyDescent="0.35">
      <c r="B61" s="51">
        <v>46230</v>
      </c>
      <c r="C61" s="62">
        <v>50</v>
      </c>
      <c r="D61" s="54" t="s">
        <v>112</v>
      </c>
      <c r="E61" s="53" t="s">
        <v>111</v>
      </c>
      <c r="F61" s="48">
        <v>1361.673</v>
      </c>
      <c r="G61" s="48">
        <v>1357.8969999999999</v>
      </c>
      <c r="H61" s="38">
        <f t="shared" si="14"/>
        <v>-3.7760000000000673</v>
      </c>
      <c r="I61" s="37">
        <f t="shared" si="15"/>
        <v>-2.7730593174720122E-3</v>
      </c>
      <c r="J61" s="64">
        <v>779</v>
      </c>
      <c r="K61" s="64">
        <v>745</v>
      </c>
      <c r="L61" s="63">
        <f t="shared" si="16"/>
        <v>-34</v>
      </c>
      <c r="M61" s="46">
        <f t="shared" si="17"/>
        <v>-4.3645699614890884E-2</v>
      </c>
      <c r="N61" s="45">
        <f t="shared" si="18"/>
        <v>1.0607432670000001</v>
      </c>
      <c r="O61" s="44">
        <f t="shared" si="19"/>
        <v>1.0116332649999999</v>
      </c>
      <c r="P61" s="43">
        <f t="shared" si="20"/>
        <v>-4.9110002000000152E-2</v>
      </c>
      <c r="Q61" s="37">
        <f t="shared" si="21"/>
        <v>-4.6297726818378335E-2</v>
      </c>
      <c r="R61" s="65">
        <v>481952</v>
      </c>
      <c r="S61" s="64">
        <v>483336</v>
      </c>
      <c r="T61" s="63">
        <f t="shared" si="22"/>
        <v>1384</v>
      </c>
      <c r="U61" s="37">
        <f t="shared" si="23"/>
        <v>2.8716552685744638E-3</v>
      </c>
      <c r="V61" s="40">
        <f t="shared" si="24"/>
        <v>656.26102569599993</v>
      </c>
      <c r="W61" s="39">
        <f t="shared" si="25"/>
        <v>656.32050439199998</v>
      </c>
      <c r="X61" s="38">
        <f t="shared" si="26"/>
        <v>5.9478696000041964E-2</v>
      </c>
      <c r="Y61" s="37">
        <f t="shared" si="27"/>
        <v>9.0632680703477128E-5</v>
      </c>
    </row>
    <row r="62" spans="2:34" x14ac:dyDescent="0.35">
      <c r="B62" s="51">
        <v>46230</v>
      </c>
      <c r="C62" s="62">
        <v>51</v>
      </c>
      <c r="D62" s="54" t="s">
        <v>110</v>
      </c>
      <c r="E62" s="53" t="s">
        <v>109</v>
      </c>
      <c r="F62" s="48">
        <v>1218.386</v>
      </c>
      <c r="G62" s="48">
        <v>1215.078</v>
      </c>
      <c r="H62" s="38">
        <f t="shared" si="14"/>
        <v>-3.3079999999999927</v>
      </c>
      <c r="I62" s="37">
        <f t="shared" si="15"/>
        <v>-2.7150673103597651E-3</v>
      </c>
      <c r="J62" s="64">
        <v>788</v>
      </c>
      <c r="K62" s="64">
        <v>772</v>
      </c>
      <c r="L62" s="63">
        <f t="shared" si="16"/>
        <v>-16</v>
      </c>
      <c r="M62" s="46">
        <f t="shared" si="17"/>
        <v>-2.030456852791878E-2</v>
      </c>
      <c r="N62" s="45">
        <f t="shared" si="18"/>
        <v>0.96008816799999996</v>
      </c>
      <c r="O62" s="44">
        <f t="shared" si="19"/>
        <v>0.93804021599999998</v>
      </c>
      <c r="P62" s="43">
        <f t="shared" si="20"/>
        <v>-2.2047951999999982E-2</v>
      </c>
      <c r="Q62" s="37">
        <f t="shared" si="21"/>
        <v>-2.2964507568017423E-2</v>
      </c>
      <c r="R62" s="65">
        <v>497981</v>
      </c>
      <c r="S62" s="64">
        <v>501837</v>
      </c>
      <c r="T62" s="63">
        <f t="shared" si="22"/>
        <v>3856</v>
      </c>
      <c r="U62" s="37">
        <f t="shared" si="23"/>
        <v>7.7432673134115561E-3</v>
      </c>
      <c r="V62" s="40">
        <f t="shared" si="24"/>
        <v>606.73307866599998</v>
      </c>
      <c r="W62" s="39">
        <f t="shared" si="25"/>
        <v>609.77109828599998</v>
      </c>
      <c r="X62" s="38">
        <f t="shared" si="26"/>
        <v>3.03801962</v>
      </c>
      <c r="Y62" s="37">
        <f t="shared" si="27"/>
        <v>5.007176511093764E-3</v>
      </c>
    </row>
    <row r="63" spans="2:34" x14ac:dyDescent="0.35">
      <c r="B63" s="51">
        <v>46247</v>
      </c>
      <c r="C63" s="62">
        <v>52</v>
      </c>
      <c r="D63" s="61" t="s">
        <v>108</v>
      </c>
      <c r="E63" s="60" t="s">
        <v>107</v>
      </c>
      <c r="F63" s="59">
        <v>1236.039</v>
      </c>
      <c r="G63" s="59">
        <v>1237.92</v>
      </c>
      <c r="H63" s="58">
        <f t="shared" si="14"/>
        <v>1.8810000000000855</v>
      </c>
      <c r="I63" s="37">
        <f t="shared" si="15"/>
        <v>1.5217966423390246E-3</v>
      </c>
      <c r="J63" s="56">
        <v>643</v>
      </c>
      <c r="K63" s="56">
        <v>629</v>
      </c>
      <c r="L63" s="55">
        <f t="shared" si="16"/>
        <v>-14</v>
      </c>
      <c r="M63" s="46">
        <f t="shared" si="17"/>
        <v>-2.177293934681182E-2</v>
      </c>
      <c r="N63" s="45">
        <f t="shared" si="18"/>
        <v>0.79477307699999999</v>
      </c>
      <c r="O63" s="44">
        <f t="shared" si="19"/>
        <v>0.77865168000000007</v>
      </c>
      <c r="P63" s="43">
        <f t="shared" si="20"/>
        <v>-1.6121396999999926E-2</v>
      </c>
      <c r="Q63" s="37">
        <f t="shared" si="21"/>
        <v>-2.0284276690464599E-2</v>
      </c>
      <c r="R63" s="57">
        <v>443656</v>
      </c>
      <c r="S63" s="56">
        <v>445822</v>
      </c>
      <c r="T63" s="55">
        <f t="shared" si="22"/>
        <v>2166</v>
      </c>
      <c r="U63" s="37">
        <f t="shared" si="23"/>
        <v>4.8821609535315653E-3</v>
      </c>
      <c r="V63" s="40">
        <f t="shared" si="24"/>
        <v>548.37611858399998</v>
      </c>
      <c r="W63" s="39">
        <f t="shared" si="25"/>
        <v>551.89197023999998</v>
      </c>
      <c r="X63" s="38">
        <f t="shared" si="26"/>
        <v>3.5158516559999953</v>
      </c>
      <c r="Y63" s="37">
        <f t="shared" si="27"/>
        <v>6.4113872520169543E-3</v>
      </c>
    </row>
    <row r="64" spans="2:34" x14ac:dyDescent="0.35">
      <c r="B64" s="51">
        <v>46247</v>
      </c>
      <c r="C64" s="50">
        <v>53</v>
      </c>
      <c r="D64" s="54" t="s">
        <v>106</v>
      </c>
      <c r="E64" s="53" t="s">
        <v>105</v>
      </c>
      <c r="F64" s="48">
        <v>968.06700000000001</v>
      </c>
      <c r="G64" s="48">
        <v>967.63599999999997</v>
      </c>
      <c r="H64" s="38">
        <f t="shared" si="14"/>
        <v>-0.43100000000004002</v>
      </c>
      <c r="I64" s="37">
        <f t="shared" si="15"/>
        <v>-4.4521711823669233E-4</v>
      </c>
      <c r="J64" s="42">
        <v>645</v>
      </c>
      <c r="K64" s="42"/>
      <c r="L64" s="41" t="str">
        <f t="shared" si="16"/>
        <v/>
      </c>
      <c r="M64" s="46" t="str">
        <f t="shared" si="17"/>
        <v/>
      </c>
      <c r="N64" s="45">
        <f t="shared" si="18"/>
        <v>0.62440321499999996</v>
      </c>
      <c r="O64" s="44" t="str">
        <f t="shared" si="19"/>
        <v/>
      </c>
      <c r="P64" s="43" t="str">
        <f t="shared" si="20"/>
        <v/>
      </c>
      <c r="Q64" s="37" t="str">
        <f t="shared" si="21"/>
        <v/>
      </c>
      <c r="R64" s="47">
        <v>445244</v>
      </c>
      <c r="S64" s="42"/>
      <c r="T64" s="41" t="str">
        <f t="shared" si="22"/>
        <v/>
      </c>
      <c r="U64" s="37" t="str">
        <f t="shared" si="23"/>
        <v/>
      </c>
      <c r="V64" s="40">
        <f t="shared" si="24"/>
        <v>431.02602334799997</v>
      </c>
      <c r="W64" s="39" t="str">
        <f t="shared" si="25"/>
        <v/>
      </c>
      <c r="X64" s="38" t="str">
        <f t="shared" si="26"/>
        <v/>
      </c>
      <c r="Y64" s="37" t="str">
        <f t="shared" si="27"/>
        <v/>
      </c>
    </row>
    <row r="65" spans="2:33" x14ac:dyDescent="0.35">
      <c r="B65" s="51">
        <v>46247</v>
      </c>
      <c r="C65" s="62">
        <v>54</v>
      </c>
      <c r="D65" s="61" t="s">
        <v>104</v>
      </c>
      <c r="E65" s="60" t="s">
        <v>103</v>
      </c>
      <c r="F65" s="59">
        <v>2217.5129999999999</v>
      </c>
      <c r="G65" s="59">
        <v>2225.1210000000001</v>
      </c>
      <c r="H65" s="58">
        <f t="shared" si="14"/>
        <v>7.6080000000001746</v>
      </c>
      <c r="I65" s="37">
        <f t="shared" si="15"/>
        <v>3.430870529282207E-3</v>
      </c>
      <c r="J65" s="56">
        <v>671</v>
      </c>
      <c r="K65" s="56">
        <v>662</v>
      </c>
      <c r="L65" s="55">
        <f t="shared" si="16"/>
        <v>-9</v>
      </c>
      <c r="M65" s="46">
        <f t="shared" si="17"/>
        <v>-1.3412816691505217E-2</v>
      </c>
      <c r="N65" s="45">
        <f t="shared" si="18"/>
        <v>1.487951223</v>
      </c>
      <c r="O65" s="44">
        <f t="shared" si="19"/>
        <v>1.4730301020000001</v>
      </c>
      <c r="P65" s="43">
        <f t="shared" si="20"/>
        <v>-1.4921120999999982E-2</v>
      </c>
      <c r="Q65" s="37">
        <f t="shared" si="21"/>
        <v>-1.0027963799724624E-2</v>
      </c>
      <c r="R65" s="57">
        <v>448005</v>
      </c>
      <c r="S65" s="56">
        <v>451028</v>
      </c>
      <c r="T65" s="55">
        <f t="shared" si="22"/>
        <v>3023</v>
      </c>
      <c r="U65" s="37">
        <f t="shared" si="23"/>
        <v>6.7476925480742401E-3</v>
      </c>
      <c r="V65" s="40">
        <f t="shared" si="24"/>
        <v>993.45691156499993</v>
      </c>
      <c r="W65" s="39">
        <f t="shared" si="25"/>
        <v>1003.5918743880001</v>
      </c>
      <c r="X65" s="38">
        <f t="shared" si="26"/>
        <v>10.134962823000137</v>
      </c>
      <c r="Y65" s="37">
        <f t="shared" si="27"/>
        <v>1.0201713536860352E-2</v>
      </c>
    </row>
    <row r="66" spans="2:33" x14ac:dyDescent="0.35">
      <c r="B66" s="51">
        <v>46247</v>
      </c>
      <c r="C66" s="50">
        <v>55</v>
      </c>
      <c r="D66" s="54" t="s">
        <v>102</v>
      </c>
      <c r="E66" s="53" t="s">
        <v>101</v>
      </c>
      <c r="F66" s="48">
        <v>2257.4160000000002</v>
      </c>
      <c r="G66" s="48">
        <v>2262.6239999999998</v>
      </c>
      <c r="H66" s="38">
        <f t="shared" si="14"/>
        <v>5.2079999999996289</v>
      </c>
      <c r="I66" s="37">
        <f t="shared" si="15"/>
        <v>2.307062588375217E-3</v>
      </c>
      <c r="J66" s="42">
        <v>667</v>
      </c>
      <c r="K66" s="42"/>
      <c r="L66" s="41" t="str">
        <f t="shared" si="16"/>
        <v/>
      </c>
      <c r="M66" s="46" t="str">
        <f t="shared" si="17"/>
        <v/>
      </c>
      <c r="N66" s="45">
        <f t="shared" si="18"/>
        <v>1.5056964720000001</v>
      </c>
      <c r="O66" s="44" t="str">
        <f t="shared" si="19"/>
        <v/>
      </c>
      <c r="P66" s="43" t="str">
        <f t="shared" si="20"/>
        <v/>
      </c>
      <c r="Q66" s="37" t="str">
        <f t="shared" si="21"/>
        <v/>
      </c>
      <c r="R66" s="47">
        <v>445797</v>
      </c>
      <c r="S66" s="42"/>
      <c r="T66" s="41" t="str">
        <f t="shared" si="22"/>
        <v/>
      </c>
      <c r="U66" s="37" t="str">
        <f t="shared" si="23"/>
        <v/>
      </c>
      <c r="V66" s="40">
        <f t="shared" si="24"/>
        <v>1006.3492805520001</v>
      </c>
      <c r="W66" s="39" t="str">
        <f t="shared" si="25"/>
        <v/>
      </c>
      <c r="X66" s="38" t="str">
        <f t="shared" si="26"/>
        <v/>
      </c>
      <c r="Y66" s="37" t="str">
        <f t="shared" si="27"/>
        <v/>
      </c>
    </row>
    <row r="67" spans="2:33" x14ac:dyDescent="0.35">
      <c r="B67" s="51">
        <v>46262</v>
      </c>
      <c r="C67" s="50">
        <v>56</v>
      </c>
      <c r="D67" s="54" t="s">
        <v>100</v>
      </c>
      <c r="E67" s="53" t="s">
        <v>99</v>
      </c>
      <c r="F67" s="48">
        <v>1437.134</v>
      </c>
      <c r="G67" s="48">
        <v>0</v>
      </c>
      <c r="H67" s="38" t="str">
        <f t="shared" si="14"/>
        <v/>
      </c>
      <c r="I67" s="37" t="str">
        <f t="shared" si="15"/>
        <v/>
      </c>
      <c r="J67" s="42">
        <v>692</v>
      </c>
      <c r="K67" s="42"/>
      <c r="L67" s="41" t="str">
        <f t="shared" si="16"/>
        <v/>
      </c>
      <c r="M67" s="46" t="str">
        <f t="shared" si="17"/>
        <v/>
      </c>
      <c r="N67" s="45">
        <f t="shared" si="18"/>
        <v>0.994496728</v>
      </c>
      <c r="O67" s="44" t="str">
        <f t="shared" si="19"/>
        <v/>
      </c>
      <c r="P67" s="43" t="str">
        <f t="shared" si="20"/>
        <v/>
      </c>
      <c r="Q67" s="37" t="str">
        <f t="shared" si="21"/>
        <v/>
      </c>
      <c r="R67" s="47">
        <v>439915</v>
      </c>
      <c r="S67" s="42"/>
      <c r="T67" s="41" t="str">
        <f t="shared" si="22"/>
        <v/>
      </c>
      <c r="U67" s="37" t="str">
        <f t="shared" si="23"/>
        <v/>
      </c>
      <c r="V67" s="40">
        <f t="shared" si="24"/>
        <v>632.21680361000006</v>
      </c>
      <c r="W67" s="39" t="str">
        <f t="shared" si="25"/>
        <v/>
      </c>
      <c r="X67" s="38" t="str">
        <f t="shared" si="26"/>
        <v/>
      </c>
      <c r="Y67" s="37" t="str">
        <f t="shared" si="27"/>
        <v/>
      </c>
    </row>
    <row r="68" spans="2:33" x14ac:dyDescent="0.35">
      <c r="B68" s="51">
        <v>46262</v>
      </c>
      <c r="C68" s="50">
        <v>57</v>
      </c>
      <c r="D68" s="54" t="s">
        <v>98</v>
      </c>
      <c r="E68" s="53" t="s">
        <v>97</v>
      </c>
      <c r="F68" s="48">
        <v>1097.048</v>
      </c>
      <c r="G68" s="48">
        <v>0</v>
      </c>
      <c r="H68" s="38" t="str">
        <f t="shared" si="14"/>
        <v/>
      </c>
      <c r="I68" s="37" t="str">
        <f t="shared" si="15"/>
        <v/>
      </c>
      <c r="J68" s="42">
        <v>689</v>
      </c>
      <c r="K68" s="42"/>
      <c r="L68" s="41" t="str">
        <f t="shared" si="16"/>
        <v/>
      </c>
      <c r="M68" s="46" t="str">
        <f t="shared" si="17"/>
        <v/>
      </c>
      <c r="N68" s="45">
        <f t="shared" si="18"/>
        <v>0.755866072</v>
      </c>
      <c r="O68" s="44" t="str">
        <f t="shared" si="19"/>
        <v/>
      </c>
      <c r="P68" s="43" t="str">
        <f t="shared" si="20"/>
        <v/>
      </c>
      <c r="Q68" s="37" t="str">
        <f t="shared" si="21"/>
        <v/>
      </c>
      <c r="R68" s="47">
        <v>453051</v>
      </c>
      <c r="S68" s="42"/>
      <c r="T68" s="41" t="str">
        <f t="shared" si="22"/>
        <v/>
      </c>
      <c r="U68" s="37" t="str">
        <f t="shared" si="23"/>
        <v/>
      </c>
      <c r="V68" s="40">
        <f t="shared" si="24"/>
        <v>497.01869344800002</v>
      </c>
      <c r="W68" s="39" t="str">
        <f t="shared" si="25"/>
        <v/>
      </c>
      <c r="X68" s="38" t="str">
        <f t="shared" si="26"/>
        <v/>
      </c>
      <c r="Y68" s="37" t="str">
        <f t="shared" si="27"/>
        <v/>
      </c>
    </row>
    <row r="69" spans="2:33" x14ac:dyDescent="0.35">
      <c r="B69" s="51">
        <v>46262</v>
      </c>
      <c r="C69" s="50">
        <v>58</v>
      </c>
      <c r="D69" s="54" t="s">
        <v>96</v>
      </c>
      <c r="E69" s="53" t="s">
        <v>95</v>
      </c>
      <c r="F69" s="48">
        <v>1116.2149999999999</v>
      </c>
      <c r="G69" s="48">
        <v>0</v>
      </c>
      <c r="H69" s="38" t="str">
        <f t="shared" si="14"/>
        <v/>
      </c>
      <c r="I69" s="37" t="str">
        <f t="shared" si="15"/>
        <v/>
      </c>
      <c r="J69" s="42">
        <v>736</v>
      </c>
      <c r="K69" s="42"/>
      <c r="L69" s="41" t="str">
        <f t="shared" si="16"/>
        <v/>
      </c>
      <c r="M69" s="46" t="str">
        <f t="shared" si="17"/>
        <v/>
      </c>
      <c r="N69" s="45">
        <f t="shared" si="18"/>
        <v>0.82153423999999997</v>
      </c>
      <c r="O69" s="44" t="str">
        <f t="shared" si="19"/>
        <v/>
      </c>
      <c r="P69" s="43" t="str">
        <f t="shared" si="20"/>
        <v/>
      </c>
      <c r="Q69" s="37" t="str">
        <f t="shared" si="21"/>
        <v/>
      </c>
      <c r="R69" s="47">
        <v>453225</v>
      </c>
      <c r="S69" s="42"/>
      <c r="T69" s="41" t="str">
        <f t="shared" si="22"/>
        <v/>
      </c>
      <c r="U69" s="37" t="str">
        <f t="shared" si="23"/>
        <v/>
      </c>
      <c r="V69" s="40">
        <f t="shared" si="24"/>
        <v>505.89654337499996</v>
      </c>
      <c r="W69" s="39" t="str">
        <f t="shared" si="25"/>
        <v/>
      </c>
      <c r="X69" s="38" t="str">
        <f t="shared" si="26"/>
        <v/>
      </c>
      <c r="Y69" s="37" t="str">
        <f t="shared" si="27"/>
        <v/>
      </c>
    </row>
    <row r="70" spans="2:33" x14ac:dyDescent="0.35">
      <c r="B70" s="51">
        <v>46262</v>
      </c>
      <c r="C70" s="50">
        <v>59</v>
      </c>
      <c r="D70" s="54" t="s">
        <v>94</v>
      </c>
      <c r="E70" s="53" t="s">
        <v>93</v>
      </c>
      <c r="F70" s="48">
        <v>1047.242</v>
      </c>
      <c r="G70" s="48">
        <v>0</v>
      </c>
      <c r="H70" s="38" t="str">
        <f t="shared" si="14"/>
        <v/>
      </c>
      <c r="I70" s="37" t="str">
        <f t="shared" si="15"/>
        <v/>
      </c>
      <c r="J70" s="42">
        <v>837</v>
      </c>
      <c r="K70" s="42"/>
      <c r="L70" s="41" t="str">
        <f t="shared" si="16"/>
        <v/>
      </c>
      <c r="M70" s="46" t="str">
        <f t="shared" si="17"/>
        <v/>
      </c>
      <c r="N70" s="45">
        <f t="shared" si="18"/>
        <v>0.876541554</v>
      </c>
      <c r="O70" s="44" t="str">
        <f t="shared" si="19"/>
        <v/>
      </c>
      <c r="P70" s="43" t="str">
        <f t="shared" si="20"/>
        <v/>
      </c>
      <c r="Q70" s="37" t="str">
        <f t="shared" si="21"/>
        <v/>
      </c>
      <c r="R70" s="47">
        <v>476208</v>
      </c>
      <c r="S70" s="42"/>
      <c r="T70" s="41" t="str">
        <f t="shared" si="22"/>
        <v/>
      </c>
      <c r="U70" s="37" t="str">
        <f t="shared" si="23"/>
        <v/>
      </c>
      <c r="V70" s="40">
        <f t="shared" si="24"/>
        <v>498.70501833599997</v>
      </c>
      <c r="W70" s="39" t="str">
        <f t="shared" si="25"/>
        <v/>
      </c>
      <c r="X70" s="38" t="str">
        <f t="shared" si="26"/>
        <v/>
      </c>
      <c r="Y70" s="37" t="str">
        <f t="shared" si="27"/>
        <v/>
      </c>
    </row>
    <row r="71" spans="2:33" x14ac:dyDescent="0.35">
      <c r="B71" s="51"/>
      <c r="C71" s="52"/>
      <c r="D71" s="49"/>
      <c r="E71" s="49"/>
      <c r="F71" s="48"/>
      <c r="G71" s="48"/>
      <c r="H71" s="38" t="str">
        <f t="shared" si="14"/>
        <v/>
      </c>
      <c r="I71" s="37" t="str">
        <f t="shared" si="15"/>
        <v/>
      </c>
      <c r="J71" s="42"/>
      <c r="K71" s="42"/>
      <c r="L71" s="41" t="str">
        <f t="shared" si="16"/>
        <v/>
      </c>
      <c r="M71" s="46" t="str">
        <f t="shared" si="17"/>
        <v/>
      </c>
      <c r="N71" s="45" t="str">
        <f t="shared" si="18"/>
        <v/>
      </c>
      <c r="O71" s="44" t="str">
        <f t="shared" si="19"/>
        <v/>
      </c>
      <c r="P71" s="43" t="str">
        <f t="shared" si="20"/>
        <v/>
      </c>
      <c r="Q71" s="37" t="str">
        <f t="shared" si="21"/>
        <v/>
      </c>
      <c r="R71" s="47"/>
      <c r="S71" s="42"/>
      <c r="T71" s="41" t="str">
        <f t="shared" si="22"/>
        <v/>
      </c>
      <c r="U71" s="37" t="str">
        <f t="shared" si="23"/>
        <v/>
      </c>
      <c r="V71" s="40" t="str">
        <f t="shared" si="24"/>
        <v/>
      </c>
      <c r="W71" s="39" t="str">
        <f t="shared" si="25"/>
        <v/>
      </c>
      <c r="X71" s="38" t="str">
        <f t="shared" si="26"/>
        <v/>
      </c>
      <c r="Y71" s="37" t="str">
        <f t="shared" si="27"/>
        <v/>
      </c>
      <c r="Z71" s="186"/>
      <c r="AA71" s="186"/>
      <c r="AB71" s="186"/>
      <c r="AC71" s="186"/>
      <c r="AD71" s="186"/>
      <c r="AE71" s="186"/>
      <c r="AF71" s="186"/>
      <c r="AG71" s="186"/>
    </row>
    <row r="72" spans="2:33" x14ac:dyDescent="0.35">
      <c r="B72" s="51"/>
      <c r="C72" s="52"/>
      <c r="D72" s="49"/>
      <c r="E72" s="49"/>
      <c r="F72" s="48"/>
      <c r="G72" s="48"/>
      <c r="H72" s="38" t="str">
        <f t="shared" si="14"/>
        <v/>
      </c>
      <c r="I72" s="37" t="str">
        <f t="shared" si="15"/>
        <v/>
      </c>
      <c r="J72" s="42"/>
      <c r="K72" s="42"/>
      <c r="L72" s="41" t="str">
        <f t="shared" si="16"/>
        <v/>
      </c>
      <c r="M72" s="46" t="str">
        <f t="shared" si="17"/>
        <v/>
      </c>
      <c r="N72" s="45" t="str">
        <f t="shared" si="18"/>
        <v/>
      </c>
      <c r="O72" s="44" t="str">
        <f t="shared" si="19"/>
        <v/>
      </c>
      <c r="P72" s="43" t="str">
        <f t="shared" si="20"/>
        <v/>
      </c>
      <c r="Q72" s="37" t="str">
        <f t="shared" si="21"/>
        <v/>
      </c>
      <c r="R72" s="47"/>
      <c r="S72" s="42"/>
      <c r="T72" s="41" t="str">
        <f t="shared" si="22"/>
        <v/>
      </c>
      <c r="U72" s="37" t="str">
        <f t="shared" si="23"/>
        <v/>
      </c>
      <c r="V72" s="40" t="str">
        <f t="shared" si="24"/>
        <v/>
      </c>
      <c r="W72" s="39" t="str">
        <f t="shared" si="25"/>
        <v/>
      </c>
      <c r="X72" s="38" t="str">
        <f t="shared" si="26"/>
        <v/>
      </c>
      <c r="Y72" s="37" t="str">
        <f t="shared" si="27"/>
        <v/>
      </c>
      <c r="Z72" s="186"/>
      <c r="AA72" s="186"/>
      <c r="AB72" s="186"/>
      <c r="AC72" s="186"/>
      <c r="AD72" s="186"/>
      <c r="AE72" s="186"/>
      <c r="AF72" s="186"/>
      <c r="AG72" s="186"/>
    </row>
    <row r="73" spans="2:33" x14ac:dyDescent="0.35">
      <c r="B73" s="51"/>
      <c r="C73" s="50"/>
      <c r="D73" s="49"/>
      <c r="E73" s="49"/>
      <c r="F73" s="48"/>
      <c r="G73" s="48"/>
      <c r="H73" s="38" t="str">
        <f t="shared" si="14"/>
        <v/>
      </c>
      <c r="I73" s="37" t="str">
        <f t="shared" si="15"/>
        <v/>
      </c>
      <c r="J73" s="42"/>
      <c r="K73" s="42"/>
      <c r="L73" s="41" t="str">
        <f t="shared" si="16"/>
        <v/>
      </c>
      <c r="M73" s="46" t="str">
        <f t="shared" si="17"/>
        <v/>
      </c>
      <c r="N73" s="45" t="str">
        <f t="shared" si="18"/>
        <v/>
      </c>
      <c r="O73" s="44" t="str">
        <f t="shared" si="19"/>
        <v/>
      </c>
      <c r="P73" s="43" t="str">
        <f t="shared" si="20"/>
        <v/>
      </c>
      <c r="Q73" s="37" t="str">
        <f t="shared" si="21"/>
        <v/>
      </c>
      <c r="R73" s="47"/>
      <c r="S73" s="42"/>
      <c r="T73" s="41" t="str">
        <f t="shared" si="22"/>
        <v/>
      </c>
      <c r="U73" s="37" t="str">
        <f t="shared" si="23"/>
        <v/>
      </c>
      <c r="V73" s="40" t="str">
        <f t="shared" si="24"/>
        <v/>
      </c>
      <c r="W73" s="39" t="str">
        <f t="shared" si="25"/>
        <v/>
      </c>
      <c r="X73" s="38" t="str">
        <f t="shared" si="26"/>
        <v/>
      </c>
      <c r="Y73" s="37" t="str">
        <f t="shared" si="27"/>
        <v/>
      </c>
    </row>
    <row r="74" spans="2:33" x14ac:dyDescent="0.35">
      <c r="B74" s="51"/>
      <c r="C74" s="52"/>
      <c r="D74" s="49"/>
      <c r="E74" s="49"/>
      <c r="F74" s="48"/>
      <c r="G74" s="48"/>
      <c r="H74" s="38" t="str">
        <f t="shared" si="14"/>
        <v/>
      </c>
      <c r="I74" s="37" t="str">
        <f t="shared" si="15"/>
        <v/>
      </c>
      <c r="J74" s="42"/>
      <c r="K74" s="42"/>
      <c r="L74" s="41" t="str">
        <f t="shared" si="16"/>
        <v/>
      </c>
      <c r="M74" s="46" t="str">
        <f t="shared" si="17"/>
        <v/>
      </c>
      <c r="N74" s="45" t="str">
        <f t="shared" si="18"/>
        <v/>
      </c>
      <c r="O74" s="44" t="str">
        <f t="shared" si="19"/>
        <v/>
      </c>
      <c r="P74" s="43" t="str">
        <f t="shared" si="20"/>
        <v/>
      </c>
      <c r="Q74" s="37" t="str">
        <f t="shared" si="21"/>
        <v/>
      </c>
      <c r="R74" s="47"/>
      <c r="S74" s="42"/>
      <c r="T74" s="41" t="str">
        <f t="shared" si="22"/>
        <v/>
      </c>
      <c r="U74" s="37" t="str">
        <f t="shared" si="23"/>
        <v/>
      </c>
      <c r="V74" s="40" t="str">
        <f t="shared" si="24"/>
        <v/>
      </c>
      <c r="W74" s="39" t="str">
        <f t="shared" si="25"/>
        <v/>
      </c>
      <c r="X74" s="38" t="str">
        <f t="shared" si="26"/>
        <v/>
      </c>
      <c r="Y74" s="37" t="str">
        <f t="shared" si="27"/>
        <v/>
      </c>
      <c r="Z74" s="186"/>
      <c r="AA74" s="186"/>
      <c r="AB74" s="186"/>
      <c r="AC74" s="186"/>
      <c r="AD74" s="186"/>
      <c r="AE74" s="186"/>
      <c r="AF74" s="186"/>
      <c r="AG74" s="186"/>
    </row>
    <row r="75" spans="2:33" x14ac:dyDescent="0.35">
      <c r="B75" s="51"/>
      <c r="C75" s="52"/>
      <c r="D75" s="49"/>
      <c r="E75" s="49"/>
      <c r="F75" s="48"/>
      <c r="G75" s="48"/>
      <c r="H75" s="38" t="str">
        <f t="shared" si="14"/>
        <v/>
      </c>
      <c r="I75" s="37" t="str">
        <f t="shared" si="15"/>
        <v/>
      </c>
      <c r="J75" s="42"/>
      <c r="K75" s="42"/>
      <c r="L75" s="41" t="str">
        <f t="shared" si="16"/>
        <v/>
      </c>
      <c r="M75" s="46" t="str">
        <f t="shared" si="17"/>
        <v/>
      </c>
      <c r="N75" s="45" t="str">
        <f t="shared" si="18"/>
        <v/>
      </c>
      <c r="O75" s="44" t="str">
        <f t="shared" si="19"/>
        <v/>
      </c>
      <c r="P75" s="43" t="str">
        <f t="shared" si="20"/>
        <v/>
      </c>
      <c r="Q75" s="37" t="str">
        <f t="shared" si="21"/>
        <v/>
      </c>
      <c r="R75" s="47"/>
      <c r="S75" s="42"/>
      <c r="T75" s="41" t="str">
        <f t="shared" si="22"/>
        <v/>
      </c>
      <c r="U75" s="37" t="str">
        <f t="shared" si="23"/>
        <v/>
      </c>
      <c r="V75" s="40" t="str">
        <f t="shared" si="24"/>
        <v/>
      </c>
      <c r="W75" s="39" t="str">
        <f t="shared" si="25"/>
        <v/>
      </c>
      <c r="X75" s="38" t="str">
        <f t="shared" si="26"/>
        <v/>
      </c>
      <c r="Y75" s="37" t="str">
        <f t="shared" si="27"/>
        <v/>
      </c>
      <c r="Z75" s="186"/>
      <c r="AA75" s="186"/>
      <c r="AB75" s="186"/>
      <c r="AC75" s="186"/>
      <c r="AD75" s="186"/>
      <c r="AE75" s="186"/>
      <c r="AF75" s="186"/>
      <c r="AG75" s="186"/>
    </row>
    <row r="76" spans="2:33" x14ac:dyDescent="0.35">
      <c r="B76" s="51"/>
      <c r="C76" s="50"/>
      <c r="E76" s="49"/>
      <c r="F76" s="48"/>
      <c r="G76" s="48"/>
      <c r="H76" s="38" t="str">
        <f t="shared" ref="H76:H94" si="28">(IF(G76="","",G76-F76))</f>
        <v/>
      </c>
      <c r="I76" s="37" t="str">
        <f t="shared" ref="I76:I94" si="29">IF(H76="","",H76/F76)</f>
        <v/>
      </c>
      <c r="J76" s="42"/>
      <c r="K76" s="42"/>
      <c r="L76" s="41" t="str">
        <f t="shared" ref="L76:L94" si="30">(IF(K76="","",K76-J76))</f>
        <v/>
      </c>
      <c r="M76" s="46" t="str">
        <f t="shared" ref="M76:M94" si="31">IF(L76="","",L76/J76)</f>
        <v/>
      </c>
      <c r="N76" s="45" t="str">
        <f t="shared" ref="N76:N94" si="32">IF(J76="","",(F76*J76)/1000000)</f>
        <v/>
      </c>
      <c r="O76" s="44" t="str">
        <f t="shared" ref="O76:O94" si="33">IF(K76="","",(G76*K76)/1000000)</f>
        <v/>
      </c>
      <c r="P76" s="43" t="str">
        <f t="shared" ref="P76:P94" si="34">(IF(O76="","",O76-N76))</f>
        <v/>
      </c>
      <c r="Q76" s="37" t="str">
        <f t="shared" ref="Q76:Q94" si="35">IF(P76="","",P76/N76)</f>
        <v/>
      </c>
      <c r="R76" s="47"/>
      <c r="S76" s="42"/>
      <c r="T76" s="41" t="str">
        <f t="shared" ref="T76:T94" si="36">(IF(S76="","",S76-R76))</f>
        <v/>
      </c>
      <c r="U76" s="37" t="str">
        <f t="shared" ref="U76:U94" si="37">IF(T76="","",T76/R76)</f>
        <v/>
      </c>
      <c r="V76" s="40" t="str">
        <f t="shared" ref="V76:V94" si="38">IF(R76="","",(F76*R76)/1000000)</f>
        <v/>
      </c>
      <c r="W76" s="39" t="str">
        <f t="shared" ref="W76:W94" si="39">IF(S76="","",(G76*S76)/1000000)</f>
        <v/>
      </c>
      <c r="X76" s="38" t="str">
        <f t="shared" ref="X76:X94" si="40">(IF(W76="","",W76-V76))</f>
        <v/>
      </c>
      <c r="Y76" s="37" t="str">
        <f t="shared" ref="Y76:Y94" si="41">IF(X76="","",X76/V76)</f>
        <v/>
      </c>
    </row>
    <row r="77" spans="2:33" x14ac:dyDescent="0.35">
      <c r="B77" s="51"/>
      <c r="C77" s="50"/>
      <c r="E77" s="49"/>
      <c r="F77" s="48"/>
      <c r="G77" s="48"/>
      <c r="H77" s="38" t="str">
        <f t="shared" si="28"/>
        <v/>
      </c>
      <c r="I77" s="37" t="str">
        <f t="shared" si="29"/>
        <v/>
      </c>
      <c r="J77" s="42"/>
      <c r="K77" s="42"/>
      <c r="L77" s="41" t="str">
        <f t="shared" si="30"/>
        <v/>
      </c>
      <c r="M77" s="46" t="str">
        <f t="shared" si="31"/>
        <v/>
      </c>
      <c r="N77" s="45" t="str">
        <f t="shared" si="32"/>
        <v/>
      </c>
      <c r="O77" s="44" t="str">
        <f t="shared" si="33"/>
        <v/>
      </c>
      <c r="P77" s="43" t="str">
        <f t="shared" si="34"/>
        <v/>
      </c>
      <c r="Q77" s="37" t="str">
        <f t="shared" si="35"/>
        <v/>
      </c>
      <c r="R77" s="47"/>
      <c r="S77" s="42"/>
      <c r="T77" s="41" t="str">
        <f t="shared" si="36"/>
        <v/>
      </c>
      <c r="U77" s="37" t="str">
        <f t="shared" si="37"/>
        <v/>
      </c>
      <c r="V77" s="40" t="str">
        <f t="shared" si="38"/>
        <v/>
      </c>
      <c r="W77" s="39" t="str">
        <f t="shared" si="39"/>
        <v/>
      </c>
      <c r="X77" s="38" t="str">
        <f t="shared" si="40"/>
        <v/>
      </c>
      <c r="Y77" s="37" t="str">
        <f t="shared" si="41"/>
        <v/>
      </c>
    </row>
    <row r="78" spans="2:33" x14ac:dyDescent="0.35">
      <c r="B78" s="51"/>
      <c r="C78" s="50"/>
      <c r="E78" s="49"/>
      <c r="F78" s="48"/>
      <c r="G78" s="48"/>
      <c r="H78" s="38" t="str">
        <f t="shared" si="28"/>
        <v/>
      </c>
      <c r="I78" s="37" t="str">
        <f t="shared" si="29"/>
        <v/>
      </c>
      <c r="J78" s="42"/>
      <c r="K78" s="42"/>
      <c r="L78" s="41" t="str">
        <f t="shared" si="30"/>
        <v/>
      </c>
      <c r="M78" s="46" t="str">
        <f t="shared" si="31"/>
        <v/>
      </c>
      <c r="N78" s="45" t="str">
        <f t="shared" si="32"/>
        <v/>
      </c>
      <c r="O78" s="44" t="str">
        <f t="shared" si="33"/>
        <v/>
      </c>
      <c r="P78" s="43" t="str">
        <f t="shared" si="34"/>
        <v/>
      </c>
      <c r="Q78" s="37" t="str">
        <f t="shared" si="35"/>
        <v/>
      </c>
      <c r="R78" s="47"/>
      <c r="S78" s="42"/>
      <c r="T78" s="41" t="str">
        <f t="shared" si="36"/>
        <v/>
      </c>
      <c r="U78" s="37" t="str">
        <f t="shared" si="37"/>
        <v/>
      </c>
      <c r="V78" s="40" t="str">
        <f t="shared" si="38"/>
        <v/>
      </c>
      <c r="W78" s="39" t="str">
        <f t="shared" si="39"/>
        <v/>
      </c>
      <c r="X78" s="38" t="str">
        <f t="shared" si="40"/>
        <v/>
      </c>
      <c r="Y78" s="37" t="str">
        <f t="shared" si="41"/>
        <v/>
      </c>
    </row>
    <row r="79" spans="2:33" x14ac:dyDescent="0.35">
      <c r="B79" s="51"/>
      <c r="C79" s="50"/>
      <c r="E79" s="49"/>
      <c r="F79" s="48"/>
      <c r="G79" s="48"/>
      <c r="H79" s="38" t="str">
        <f t="shared" si="28"/>
        <v/>
      </c>
      <c r="I79" s="37" t="str">
        <f t="shared" si="29"/>
        <v/>
      </c>
      <c r="J79" s="42"/>
      <c r="K79" s="42"/>
      <c r="L79" s="41" t="str">
        <f t="shared" si="30"/>
        <v/>
      </c>
      <c r="M79" s="46" t="str">
        <f t="shared" si="31"/>
        <v/>
      </c>
      <c r="N79" s="45" t="str">
        <f t="shared" si="32"/>
        <v/>
      </c>
      <c r="O79" s="44" t="str">
        <f t="shared" si="33"/>
        <v/>
      </c>
      <c r="P79" s="43" t="str">
        <f t="shared" si="34"/>
        <v/>
      </c>
      <c r="Q79" s="37" t="str">
        <f t="shared" si="35"/>
        <v/>
      </c>
      <c r="R79" s="47"/>
      <c r="S79" s="42"/>
      <c r="T79" s="41" t="str">
        <f t="shared" si="36"/>
        <v/>
      </c>
      <c r="U79" s="37" t="str">
        <f t="shared" si="37"/>
        <v/>
      </c>
      <c r="V79" s="40" t="str">
        <f t="shared" si="38"/>
        <v/>
      </c>
      <c r="W79" s="39" t="str">
        <f t="shared" si="39"/>
        <v/>
      </c>
      <c r="X79" s="38" t="str">
        <f t="shared" si="40"/>
        <v/>
      </c>
      <c r="Y79" s="37" t="str">
        <f t="shared" si="41"/>
        <v/>
      </c>
    </row>
    <row r="80" spans="2:33" x14ac:dyDescent="0.35">
      <c r="B80" s="51"/>
      <c r="C80" s="50"/>
      <c r="E80" s="49"/>
      <c r="F80" s="48"/>
      <c r="G80" s="48"/>
      <c r="H80" s="38" t="str">
        <f t="shared" si="28"/>
        <v/>
      </c>
      <c r="I80" s="37" t="str">
        <f t="shared" si="29"/>
        <v/>
      </c>
      <c r="J80" s="42"/>
      <c r="K80" s="42"/>
      <c r="L80" s="41" t="str">
        <f t="shared" si="30"/>
        <v/>
      </c>
      <c r="M80" s="46" t="str">
        <f t="shared" si="31"/>
        <v/>
      </c>
      <c r="N80" s="45" t="str">
        <f t="shared" si="32"/>
        <v/>
      </c>
      <c r="O80" s="44" t="str">
        <f t="shared" si="33"/>
        <v/>
      </c>
      <c r="P80" s="43" t="str">
        <f t="shared" si="34"/>
        <v/>
      </c>
      <c r="Q80" s="37" t="str">
        <f t="shared" si="35"/>
        <v/>
      </c>
      <c r="R80" s="47"/>
      <c r="S80" s="42"/>
      <c r="T80" s="41" t="str">
        <f t="shared" si="36"/>
        <v/>
      </c>
      <c r="U80" s="37" t="str">
        <f t="shared" si="37"/>
        <v/>
      </c>
      <c r="V80" s="40" t="str">
        <f t="shared" si="38"/>
        <v/>
      </c>
      <c r="W80" s="39" t="str">
        <f t="shared" si="39"/>
        <v/>
      </c>
      <c r="X80" s="38" t="str">
        <f t="shared" si="40"/>
        <v/>
      </c>
      <c r="Y80" s="37" t="str">
        <f t="shared" si="41"/>
        <v/>
      </c>
    </row>
    <row r="81" spans="2:25" x14ac:dyDescent="0.35">
      <c r="B81" s="51"/>
      <c r="C81" s="50"/>
      <c r="E81" s="49"/>
      <c r="F81" s="48"/>
      <c r="G81" s="48"/>
      <c r="H81" s="38" t="str">
        <f t="shared" si="28"/>
        <v/>
      </c>
      <c r="I81" s="37" t="str">
        <f t="shared" si="29"/>
        <v/>
      </c>
      <c r="J81" s="42"/>
      <c r="K81" s="42"/>
      <c r="L81" s="41" t="str">
        <f t="shared" si="30"/>
        <v/>
      </c>
      <c r="M81" s="46" t="str">
        <f t="shared" si="31"/>
        <v/>
      </c>
      <c r="N81" s="45" t="str">
        <f t="shared" si="32"/>
        <v/>
      </c>
      <c r="O81" s="44" t="str">
        <f t="shared" si="33"/>
        <v/>
      </c>
      <c r="P81" s="43" t="str">
        <f t="shared" si="34"/>
        <v/>
      </c>
      <c r="Q81" s="37" t="str">
        <f t="shared" si="35"/>
        <v/>
      </c>
      <c r="R81" s="47"/>
      <c r="S81" s="42"/>
      <c r="T81" s="41" t="str">
        <f t="shared" si="36"/>
        <v/>
      </c>
      <c r="U81" s="37" t="str">
        <f t="shared" si="37"/>
        <v/>
      </c>
      <c r="V81" s="40" t="str">
        <f t="shared" si="38"/>
        <v/>
      </c>
      <c r="W81" s="39" t="str">
        <f t="shared" si="39"/>
        <v/>
      </c>
      <c r="X81" s="38" t="str">
        <f t="shared" si="40"/>
        <v/>
      </c>
      <c r="Y81" s="37" t="str">
        <f t="shared" si="41"/>
        <v/>
      </c>
    </row>
    <row r="82" spans="2:25" x14ac:dyDescent="0.35">
      <c r="B82" s="51"/>
      <c r="C82" s="50"/>
      <c r="E82" s="49"/>
      <c r="F82" s="48"/>
      <c r="G82" s="48"/>
      <c r="H82" s="38" t="str">
        <f t="shared" si="28"/>
        <v/>
      </c>
      <c r="I82" s="37" t="str">
        <f t="shared" si="29"/>
        <v/>
      </c>
      <c r="J82" s="42"/>
      <c r="K82" s="42"/>
      <c r="L82" s="41" t="str">
        <f t="shared" si="30"/>
        <v/>
      </c>
      <c r="M82" s="46" t="str">
        <f t="shared" si="31"/>
        <v/>
      </c>
      <c r="N82" s="45" t="str">
        <f t="shared" si="32"/>
        <v/>
      </c>
      <c r="O82" s="44" t="str">
        <f t="shared" si="33"/>
        <v/>
      </c>
      <c r="P82" s="43" t="str">
        <f t="shared" si="34"/>
        <v/>
      </c>
      <c r="Q82" s="37" t="str">
        <f t="shared" si="35"/>
        <v/>
      </c>
      <c r="R82" s="47"/>
      <c r="S82" s="42"/>
      <c r="T82" s="41" t="str">
        <f t="shared" si="36"/>
        <v/>
      </c>
      <c r="U82" s="37" t="str">
        <f t="shared" si="37"/>
        <v/>
      </c>
      <c r="V82" s="40" t="str">
        <f t="shared" si="38"/>
        <v/>
      </c>
      <c r="W82" s="39" t="str">
        <f t="shared" si="39"/>
        <v/>
      </c>
      <c r="X82" s="38" t="str">
        <f t="shared" si="40"/>
        <v/>
      </c>
      <c r="Y82" s="37" t="str">
        <f t="shared" si="41"/>
        <v/>
      </c>
    </row>
    <row r="83" spans="2:25" x14ac:dyDescent="0.35">
      <c r="B83" s="51"/>
      <c r="C83" s="50"/>
      <c r="E83" s="49"/>
      <c r="F83" s="48"/>
      <c r="G83" s="48"/>
      <c r="H83" s="38" t="str">
        <f t="shared" si="28"/>
        <v/>
      </c>
      <c r="I83" s="37" t="str">
        <f t="shared" si="29"/>
        <v/>
      </c>
      <c r="J83" s="42"/>
      <c r="K83" s="42"/>
      <c r="L83" s="41" t="str">
        <f t="shared" si="30"/>
        <v/>
      </c>
      <c r="M83" s="46" t="str">
        <f t="shared" si="31"/>
        <v/>
      </c>
      <c r="N83" s="45" t="str">
        <f t="shared" si="32"/>
        <v/>
      </c>
      <c r="O83" s="44" t="str">
        <f t="shared" si="33"/>
        <v/>
      </c>
      <c r="P83" s="43" t="str">
        <f t="shared" si="34"/>
        <v/>
      </c>
      <c r="Q83" s="37" t="str">
        <f t="shared" si="35"/>
        <v/>
      </c>
      <c r="R83" s="47"/>
      <c r="S83" s="42"/>
      <c r="T83" s="41" t="str">
        <f t="shared" si="36"/>
        <v/>
      </c>
      <c r="U83" s="37" t="str">
        <f t="shared" si="37"/>
        <v/>
      </c>
      <c r="V83" s="40" t="str">
        <f t="shared" si="38"/>
        <v/>
      </c>
      <c r="W83" s="39" t="str">
        <f t="shared" si="39"/>
        <v/>
      </c>
      <c r="X83" s="38" t="str">
        <f t="shared" si="40"/>
        <v/>
      </c>
      <c r="Y83" s="37" t="str">
        <f t="shared" si="41"/>
        <v/>
      </c>
    </row>
    <row r="84" spans="2:25" x14ac:dyDescent="0.35">
      <c r="B84" s="51"/>
      <c r="C84" s="50"/>
      <c r="E84" s="49"/>
      <c r="F84" s="48"/>
      <c r="G84" s="48"/>
      <c r="H84" s="38" t="str">
        <f t="shared" si="28"/>
        <v/>
      </c>
      <c r="I84" s="37" t="str">
        <f t="shared" si="29"/>
        <v/>
      </c>
      <c r="J84" s="42"/>
      <c r="K84" s="42"/>
      <c r="L84" s="41" t="str">
        <f t="shared" si="30"/>
        <v/>
      </c>
      <c r="M84" s="46" t="str">
        <f t="shared" si="31"/>
        <v/>
      </c>
      <c r="N84" s="45" t="str">
        <f t="shared" si="32"/>
        <v/>
      </c>
      <c r="O84" s="44" t="str">
        <f t="shared" si="33"/>
        <v/>
      </c>
      <c r="P84" s="43" t="str">
        <f t="shared" si="34"/>
        <v/>
      </c>
      <c r="Q84" s="37" t="str">
        <f t="shared" si="35"/>
        <v/>
      </c>
      <c r="R84" s="47"/>
      <c r="S84" s="42"/>
      <c r="T84" s="41" t="str">
        <f t="shared" si="36"/>
        <v/>
      </c>
      <c r="U84" s="37" t="str">
        <f t="shared" si="37"/>
        <v/>
      </c>
      <c r="V84" s="40" t="str">
        <f t="shared" si="38"/>
        <v/>
      </c>
      <c r="W84" s="39" t="str">
        <f t="shared" si="39"/>
        <v/>
      </c>
      <c r="X84" s="38" t="str">
        <f t="shared" si="40"/>
        <v/>
      </c>
      <c r="Y84" s="37" t="str">
        <f t="shared" si="41"/>
        <v/>
      </c>
    </row>
    <row r="85" spans="2:25" x14ac:dyDescent="0.35">
      <c r="B85" s="51"/>
      <c r="C85" s="50"/>
      <c r="E85" s="49"/>
      <c r="F85" s="48"/>
      <c r="G85" s="48"/>
      <c r="H85" s="38" t="str">
        <f t="shared" si="28"/>
        <v/>
      </c>
      <c r="I85" s="37" t="str">
        <f t="shared" si="29"/>
        <v/>
      </c>
      <c r="J85" s="42"/>
      <c r="K85" s="42"/>
      <c r="L85" s="41" t="str">
        <f t="shared" si="30"/>
        <v/>
      </c>
      <c r="M85" s="46" t="str">
        <f t="shared" si="31"/>
        <v/>
      </c>
      <c r="N85" s="45" t="str">
        <f t="shared" si="32"/>
        <v/>
      </c>
      <c r="O85" s="44" t="str">
        <f t="shared" si="33"/>
        <v/>
      </c>
      <c r="P85" s="43" t="str">
        <f t="shared" si="34"/>
        <v/>
      </c>
      <c r="Q85" s="37" t="str">
        <f t="shared" si="35"/>
        <v/>
      </c>
      <c r="R85" s="47"/>
      <c r="S85" s="42"/>
      <c r="T85" s="41" t="str">
        <f t="shared" si="36"/>
        <v/>
      </c>
      <c r="U85" s="37" t="str">
        <f t="shared" si="37"/>
        <v/>
      </c>
      <c r="V85" s="40" t="str">
        <f t="shared" si="38"/>
        <v/>
      </c>
      <c r="W85" s="39" t="str">
        <f t="shared" si="39"/>
        <v/>
      </c>
      <c r="X85" s="38" t="str">
        <f t="shared" si="40"/>
        <v/>
      </c>
      <c r="Y85" s="37" t="str">
        <f t="shared" si="41"/>
        <v/>
      </c>
    </row>
    <row r="86" spans="2:25" x14ac:dyDescent="0.35">
      <c r="B86" s="51"/>
      <c r="C86" s="50"/>
      <c r="E86" s="49"/>
      <c r="F86" s="48"/>
      <c r="G86" s="48"/>
      <c r="H86" s="38" t="str">
        <f t="shared" si="28"/>
        <v/>
      </c>
      <c r="I86" s="37" t="str">
        <f t="shared" si="29"/>
        <v/>
      </c>
      <c r="J86" s="42"/>
      <c r="K86" s="42"/>
      <c r="L86" s="41" t="str">
        <f t="shared" si="30"/>
        <v/>
      </c>
      <c r="M86" s="46" t="str">
        <f t="shared" si="31"/>
        <v/>
      </c>
      <c r="N86" s="45" t="str">
        <f t="shared" si="32"/>
        <v/>
      </c>
      <c r="O86" s="44" t="str">
        <f t="shared" si="33"/>
        <v/>
      </c>
      <c r="P86" s="43" t="str">
        <f t="shared" si="34"/>
        <v/>
      </c>
      <c r="Q86" s="37" t="str">
        <f t="shared" si="35"/>
        <v/>
      </c>
      <c r="R86" s="47"/>
      <c r="S86" s="42"/>
      <c r="T86" s="41" t="str">
        <f t="shared" si="36"/>
        <v/>
      </c>
      <c r="U86" s="37" t="str">
        <f t="shared" si="37"/>
        <v/>
      </c>
      <c r="V86" s="40" t="str">
        <f t="shared" si="38"/>
        <v/>
      </c>
      <c r="W86" s="39" t="str">
        <f t="shared" si="39"/>
        <v/>
      </c>
      <c r="X86" s="38" t="str">
        <f t="shared" si="40"/>
        <v/>
      </c>
      <c r="Y86" s="37" t="str">
        <f t="shared" si="41"/>
        <v/>
      </c>
    </row>
    <row r="87" spans="2:25" x14ac:dyDescent="0.35">
      <c r="B87" s="51"/>
      <c r="C87" s="50"/>
      <c r="E87" s="49"/>
      <c r="F87" s="48"/>
      <c r="G87" s="48"/>
      <c r="H87" s="38" t="str">
        <f t="shared" si="28"/>
        <v/>
      </c>
      <c r="I87" s="37" t="str">
        <f t="shared" si="29"/>
        <v/>
      </c>
      <c r="J87" s="42"/>
      <c r="K87" s="42"/>
      <c r="L87" s="41" t="str">
        <f t="shared" si="30"/>
        <v/>
      </c>
      <c r="M87" s="46" t="str">
        <f t="shared" si="31"/>
        <v/>
      </c>
      <c r="N87" s="45" t="str">
        <f t="shared" si="32"/>
        <v/>
      </c>
      <c r="O87" s="44" t="str">
        <f t="shared" si="33"/>
        <v/>
      </c>
      <c r="P87" s="43" t="str">
        <f t="shared" si="34"/>
        <v/>
      </c>
      <c r="Q87" s="37" t="str">
        <f t="shared" si="35"/>
        <v/>
      </c>
      <c r="R87" s="47"/>
      <c r="S87" s="42"/>
      <c r="T87" s="41" t="str">
        <f t="shared" si="36"/>
        <v/>
      </c>
      <c r="U87" s="37" t="str">
        <f t="shared" si="37"/>
        <v/>
      </c>
      <c r="V87" s="40" t="str">
        <f t="shared" si="38"/>
        <v/>
      </c>
      <c r="W87" s="39" t="str">
        <f t="shared" si="39"/>
        <v/>
      </c>
      <c r="X87" s="38" t="str">
        <f t="shared" si="40"/>
        <v/>
      </c>
      <c r="Y87" s="37" t="str">
        <f t="shared" si="41"/>
        <v/>
      </c>
    </row>
    <row r="88" spans="2:25" x14ac:dyDescent="0.35">
      <c r="B88" s="51"/>
      <c r="C88" s="50"/>
      <c r="E88" s="49"/>
      <c r="F88" s="48"/>
      <c r="G88" s="48"/>
      <c r="H88" s="38" t="str">
        <f t="shared" si="28"/>
        <v/>
      </c>
      <c r="I88" s="37" t="str">
        <f t="shared" si="29"/>
        <v/>
      </c>
      <c r="J88" s="42"/>
      <c r="K88" s="42"/>
      <c r="L88" s="41" t="str">
        <f t="shared" si="30"/>
        <v/>
      </c>
      <c r="M88" s="46" t="str">
        <f t="shared" si="31"/>
        <v/>
      </c>
      <c r="N88" s="45" t="str">
        <f t="shared" si="32"/>
        <v/>
      </c>
      <c r="O88" s="44" t="str">
        <f t="shared" si="33"/>
        <v/>
      </c>
      <c r="P88" s="43" t="str">
        <f t="shared" si="34"/>
        <v/>
      </c>
      <c r="Q88" s="37" t="str">
        <f t="shared" si="35"/>
        <v/>
      </c>
      <c r="R88" s="47"/>
      <c r="S88" s="42"/>
      <c r="T88" s="41" t="str">
        <f t="shared" si="36"/>
        <v/>
      </c>
      <c r="U88" s="37" t="str">
        <f t="shared" si="37"/>
        <v/>
      </c>
      <c r="V88" s="40" t="str">
        <f t="shared" si="38"/>
        <v/>
      </c>
      <c r="W88" s="39" t="str">
        <f t="shared" si="39"/>
        <v/>
      </c>
      <c r="X88" s="38" t="str">
        <f t="shared" si="40"/>
        <v/>
      </c>
      <c r="Y88" s="37" t="str">
        <f t="shared" si="41"/>
        <v/>
      </c>
    </row>
    <row r="89" spans="2:25" x14ac:dyDescent="0.35">
      <c r="B89" s="51"/>
      <c r="C89" s="50"/>
      <c r="E89" s="49"/>
      <c r="F89" s="48"/>
      <c r="G89" s="48"/>
      <c r="H89" s="38" t="str">
        <f t="shared" si="28"/>
        <v/>
      </c>
      <c r="I89" s="37" t="str">
        <f t="shared" si="29"/>
        <v/>
      </c>
      <c r="J89" s="42"/>
      <c r="K89" s="42"/>
      <c r="L89" s="41" t="str">
        <f t="shared" si="30"/>
        <v/>
      </c>
      <c r="M89" s="46" t="str">
        <f t="shared" si="31"/>
        <v/>
      </c>
      <c r="N89" s="45" t="str">
        <f t="shared" si="32"/>
        <v/>
      </c>
      <c r="O89" s="44" t="str">
        <f t="shared" si="33"/>
        <v/>
      </c>
      <c r="P89" s="43" t="str">
        <f t="shared" si="34"/>
        <v/>
      </c>
      <c r="Q89" s="37" t="str">
        <f t="shared" si="35"/>
        <v/>
      </c>
      <c r="R89" s="47"/>
      <c r="S89" s="42"/>
      <c r="T89" s="41" t="str">
        <f t="shared" si="36"/>
        <v/>
      </c>
      <c r="U89" s="37" t="str">
        <f t="shared" si="37"/>
        <v/>
      </c>
      <c r="V89" s="40" t="str">
        <f t="shared" si="38"/>
        <v/>
      </c>
      <c r="W89" s="39" t="str">
        <f t="shared" si="39"/>
        <v/>
      </c>
      <c r="X89" s="38" t="str">
        <f t="shared" si="40"/>
        <v/>
      </c>
      <c r="Y89" s="37" t="str">
        <f t="shared" si="41"/>
        <v/>
      </c>
    </row>
    <row r="90" spans="2:25" x14ac:dyDescent="0.35">
      <c r="B90" s="51"/>
      <c r="C90" s="50"/>
      <c r="E90" s="49"/>
      <c r="F90" s="48"/>
      <c r="G90" s="48"/>
      <c r="H90" s="38" t="str">
        <f t="shared" si="28"/>
        <v/>
      </c>
      <c r="I90" s="37" t="str">
        <f t="shared" si="29"/>
        <v/>
      </c>
      <c r="J90" s="42"/>
      <c r="K90" s="42"/>
      <c r="L90" s="41" t="str">
        <f t="shared" si="30"/>
        <v/>
      </c>
      <c r="M90" s="46" t="str">
        <f t="shared" si="31"/>
        <v/>
      </c>
      <c r="N90" s="45" t="str">
        <f t="shared" si="32"/>
        <v/>
      </c>
      <c r="O90" s="44" t="str">
        <f t="shared" si="33"/>
        <v/>
      </c>
      <c r="P90" s="43" t="str">
        <f t="shared" si="34"/>
        <v/>
      </c>
      <c r="Q90" s="37" t="str">
        <f t="shared" si="35"/>
        <v/>
      </c>
      <c r="R90" s="47"/>
      <c r="S90" s="42"/>
      <c r="T90" s="41" t="str">
        <f t="shared" si="36"/>
        <v/>
      </c>
      <c r="U90" s="37" t="str">
        <f t="shared" si="37"/>
        <v/>
      </c>
      <c r="V90" s="40" t="str">
        <f t="shared" si="38"/>
        <v/>
      </c>
      <c r="W90" s="39" t="str">
        <f t="shared" si="39"/>
        <v/>
      </c>
      <c r="X90" s="38" t="str">
        <f t="shared" si="40"/>
        <v/>
      </c>
      <c r="Y90" s="37" t="str">
        <f t="shared" si="41"/>
        <v/>
      </c>
    </row>
    <row r="91" spans="2:25" x14ac:dyDescent="0.35">
      <c r="B91" s="51"/>
      <c r="C91" s="50"/>
      <c r="E91" s="49"/>
      <c r="F91" s="48"/>
      <c r="G91" s="48"/>
      <c r="H91" s="38" t="str">
        <f t="shared" si="28"/>
        <v/>
      </c>
      <c r="I91" s="37" t="str">
        <f t="shared" si="29"/>
        <v/>
      </c>
      <c r="J91" s="42"/>
      <c r="K91" s="42"/>
      <c r="L91" s="41" t="str">
        <f t="shared" si="30"/>
        <v/>
      </c>
      <c r="M91" s="46" t="str">
        <f t="shared" si="31"/>
        <v/>
      </c>
      <c r="N91" s="45" t="str">
        <f t="shared" si="32"/>
        <v/>
      </c>
      <c r="O91" s="44" t="str">
        <f t="shared" si="33"/>
        <v/>
      </c>
      <c r="P91" s="43" t="str">
        <f t="shared" si="34"/>
        <v/>
      </c>
      <c r="Q91" s="37" t="str">
        <f t="shared" si="35"/>
        <v/>
      </c>
      <c r="R91" s="47"/>
      <c r="S91" s="42"/>
      <c r="T91" s="41" t="str">
        <f t="shared" si="36"/>
        <v/>
      </c>
      <c r="U91" s="37" t="str">
        <f t="shared" si="37"/>
        <v/>
      </c>
      <c r="V91" s="40" t="str">
        <f t="shared" si="38"/>
        <v/>
      </c>
      <c r="W91" s="39" t="str">
        <f t="shared" si="39"/>
        <v/>
      </c>
      <c r="X91" s="38" t="str">
        <f t="shared" si="40"/>
        <v/>
      </c>
      <c r="Y91" s="37" t="str">
        <f t="shared" si="41"/>
        <v/>
      </c>
    </row>
    <row r="92" spans="2:25" x14ac:dyDescent="0.35">
      <c r="B92" s="51"/>
      <c r="C92" s="50"/>
      <c r="E92" s="49"/>
      <c r="F92" s="48"/>
      <c r="G92" s="48"/>
      <c r="H92" s="38" t="str">
        <f t="shared" si="28"/>
        <v/>
      </c>
      <c r="I92" s="37" t="str">
        <f t="shared" si="29"/>
        <v/>
      </c>
      <c r="J92" s="42"/>
      <c r="K92" s="42"/>
      <c r="L92" s="41" t="str">
        <f t="shared" si="30"/>
        <v/>
      </c>
      <c r="M92" s="46" t="str">
        <f t="shared" si="31"/>
        <v/>
      </c>
      <c r="N92" s="45" t="str">
        <f t="shared" si="32"/>
        <v/>
      </c>
      <c r="O92" s="44" t="str">
        <f t="shared" si="33"/>
        <v/>
      </c>
      <c r="P92" s="43" t="str">
        <f t="shared" si="34"/>
        <v/>
      </c>
      <c r="Q92" s="37" t="str">
        <f t="shared" si="35"/>
        <v/>
      </c>
      <c r="R92" s="47"/>
      <c r="S92" s="42"/>
      <c r="T92" s="41" t="str">
        <f t="shared" si="36"/>
        <v/>
      </c>
      <c r="U92" s="37" t="str">
        <f t="shared" si="37"/>
        <v/>
      </c>
      <c r="V92" s="40" t="str">
        <f t="shared" si="38"/>
        <v/>
      </c>
      <c r="W92" s="39" t="str">
        <f t="shared" si="39"/>
        <v/>
      </c>
      <c r="X92" s="38" t="str">
        <f t="shared" si="40"/>
        <v/>
      </c>
      <c r="Y92" s="37" t="str">
        <f t="shared" si="41"/>
        <v/>
      </c>
    </row>
    <row r="93" spans="2:25" x14ac:dyDescent="0.35">
      <c r="H93" s="38" t="str">
        <f t="shared" si="28"/>
        <v/>
      </c>
      <c r="I93" s="37" t="str">
        <f t="shared" si="29"/>
        <v/>
      </c>
      <c r="K93" s="42"/>
      <c r="L93" s="41" t="str">
        <f t="shared" si="30"/>
        <v/>
      </c>
      <c r="M93" s="46" t="str">
        <f t="shared" si="31"/>
        <v/>
      </c>
      <c r="N93" s="45" t="str">
        <f t="shared" si="32"/>
        <v/>
      </c>
      <c r="O93" s="44" t="str">
        <f t="shared" si="33"/>
        <v/>
      </c>
      <c r="P93" s="43" t="str">
        <f t="shared" si="34"/>
        <v/>
      </c>
      <c r="Q93" s="37" t="str">
        <f t="shared" si="35"/>
        <v/>
      </c>
      <c r="S93" s="42"/>
      <c r="T93" s="41" t="str">
        <f t="shared" si="36"/>
        <v/>
      </c>
      <c r="U93" s="37" t="str">
        <f t="shared" si="37"/>
        <v/>
      </c>
      <c r="V93" s="40" t="str">
        <f t="shared" si="38"/>
        <v/>
      </c>
      <c r="W93" s="39" t="str">
        <f t="shared" si="39"/>
        <v/>
      </c>
      <c r="X93" s="38" t="str">
        <f t="shared" si="40"/>
        <v/>
      </c>
      <c r="Y93" s="37" t="str">
        <f t="shared" si="41"/>
        <v/>
      </c>
    </row>
    <row r="94" spans="2:25" x14ac:dyDescent="0.35">
      <c r="H94" s="38" t="str">
        <f t="shared" si="28"/>
        <v/>
      </c>
      <c r="I94" s="37" t="str">
        <f t="shared" si="29"/>
        <v/>
      </c>
      <c r="K94" s="42"/>
      <c r="L94" s="41" t="str">
        <f t="shared" si="30"/>
        <v/>
      </c>
      <c r="M94" s="46" t="str">
        <f t="shared" si="31"/>
        <v/>
      </c>
      <c r="N94" s="45" t="str">
        <f t="shared" si="32"/>
        <v/>
      </c>
      <c r="O94" s="44" t="str">
        <f t="shared" si="33"/>
        <v/>
      </c>
      <c r="P94" s="43" t="str">
        <f t="shared" si="34"/>
        <v/>
      </c>
      <c r="Q94" s="37" t="str">
        <f t="shared" si="35"/>
        <v/>
      </c>
      <c r="S94" s="42"/>
      <c r="T94" s="41" t="str">
        <f t="shared" si="36"/>
        <v/>
      </c>
      <c r="U94" s="37" t="str">
        <f t="shared" si="37"/>
        <v/>
      </c>
      <c r="V94" s="40" t="str">
        <f t="shared" si="38"/>
        <v/>
      </c>
      <c r="W94" s="39" t="str">
        <f t="shared" si="39"/>
        <v/>
      </c>
      <c r="X94" s="38" t="str">
        <f t="shared" si="40"/>
        <v/>
      </c>
      <c r="Y94" s="37" t="str">
        <f t="shared" si="41"/>
        <v/>
      </c>
    </row>
  </sheetData>
  <mergeCells count="46">
    <mergeCell ref="A2:Y2"/>
    <mergeCell ref="C10:E10"/>
    <mergeCell ref="Z10:AG11"/>
    <mergeCell ref="Z12:AG12"/>
    <mergeCell ref="Z13:AG13"/>
    <mergeCell ref="Z14:AG14"/>
    <mergeCell ref="Z16:AG16"/>
    <mergeCell ref="Z18:AG18"/>
    <mergeCell ref="Z19:AG19"/>
    <mergeCell ref="Z20:AG20"/>
    <mergeCell ref="Z21:AG21"/>
    <mergeCell ref="Z22:AG22"/>
    <mergeCell ref="Z24:AG24"/>
    <mergeCell ref="Z25:AG25"/>
    <mergeCell ref="Z26:AG26"/>
    <mergeCell ref="Z27:AG27"/>
    <mergeCell ref="Z28:AG28"/>
    <mergeCell ref="AH28:AH29"/>
    <mergeCell ref="Z29:AG29"/>
    <mergeCell ref="Z30:AG30"/>
    <mergeCell ref="Z31:AG31"/>
    <mergeCell ref="Z36:AG36"/>
    <mergeCell ref="Z37:AG37"/>
    <mergeCell ref="AH37:AH39"/>
    <mergeCell ref="Z38:AG38"/>
    <mergeCell ref="Z39:AG39"/>
    <mergeCell ref="Z45:AG45"/>
    <mergeCell ref="AH45:AH53"/>
    <mergeCell ref="Z46:AG46"/>
    <mergeCell ref="Z47:AG47"/>
    <mergeCell ref="Z48:AG48"/>
    <mergeCell ref="Z49:AG49"/>
    <mergeCell ref="Z50:AG50"/>
    <mergeCell ref="Z51:AG51"/>
    <mergeCell ref="Z52:AG52"/>
    <mergeCell ref="Z53:AG53"/>
    <mergeCell ref="Z71:AG71"/>
    <mergeCell ref="Z72:AG72"/>
    <mergeCell ref="Z74:AG74"/>
    <mergeCell ref="Z75:AG75"/>
    <mergeCell ref="Z54:AG54"/>
    <mergeCell ref="Z55:AG55"/>
    <mergeCell ref="Z56:AG56"/>
    <mergeCell ref="Z57:AG57"/>
    <mergeCell ref="Z58:AG58"/>
    <mergeCell ref="Z59:AG59"/>
  </mergeCells>
  <printOptions horizontalCentered="1" verticalCentered="1"/>
  <pageMargins left="0" right="0" top="0" bottom="0" header="0" footer="0"/>
  <pageSetup scale="34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E396-87F0-4E46-8360-3DC4629224EB}">
  <sheetPr transitionEvaluation="1" transitionEntry="1">
    <pageSetUpPr fitToPage="1"/>
  </sheetPr>
  <dimension ref="B2:AF211"/>
  <sheetViews>
    <sheetView showGridLines="0" zoomScale="115" zoomScaleNormal="115" workbookViewId="0">
      <pane xSplit="4" ySplit="12" topLeftCell="E113" activePane="bottomRight" state="frozen"/>
      <selection pane="topRight" activeCell="E1" sqref="E1"/>
      <selection pane="bottomLeft" activeCell="A13" sqref="A13"/>
      <selection pane="bottomRight" activeCell="J142" sqref="J142"/>
    </sheetView>
  </sheetViews>
  <sheetFormatPr baseColWidth="10" defaultColWidth="12.453125" defaultRowHeight="14.5" x14ac:dyDescent="0.35"/>
  <cols>
    <col min="1" max="1" width="5" style="33" customWidth="1"/>
    <col min="2" max="2" width="11.54296875" style="33" bestFit="1" customWidth="1"/>
    <col min="3" max="3" width="5.26953125" style="36" bestFit="1" customWidth="1"/>
    <col min="4" max="4" width="11.1796875" style="33" bestFit="1" customWidth="1"/>
    <col min="5" max="6" width="8.81640625" style="33" customWidth="1"/>
    <col min="7" max="7" width="7.54296875" style="33" customWidth="1"/>
    <col min="8" max="8" width="6.54296875" style="33" bestFit="1" customWidth="1"/>
    <col min="9" max="9" width="7.54296875" style="33" customWidth="1"/>
    <col min="10" max="10" width="10" style="33" bestFit="1" customWidth="1"/>
    <col min="11" max="11" width="7.1796875" style="33" customWidth="1"/>
    <col min="12" max="12" width="8.1796875" style="34" customWidth="1"/>
    <col min="13" max="14" width="7.1796875" style="33" customWidth="1"/>
    <col min="15" max="15" width="6.54296875" style="33" customWidth="1"/>
    <col min="16" max="16" width="7.81640625" style="33" customWidth="1"/>
    <col min="17" max="17" width="10" style="33" bestFit="1" customWidth="1"/>
    <col min="18" max="18" width="9.453125" style="33" bestFit="1" customWidth="1"/>
    <col min="19" max="19" width="10" style="33" customWidth="1"/>
    <col min="20" max="20" width="6.54296875" style="33" customWidth="1"/>
    <col min="21" max="21" width="10.453125" style="33" customWidth="1"/>
    <col min="22" max="22" width="9.54296875" style="33" customWidth="1"/>
    <col min="23" max="23" width="7.54296875" style="33" customWidth="1"/>
    <col min="24" max="24" width="6.54296875" style="33" customWidth="1"/>
    <col min="25" max="25" width="2.81640625" style="33" customWidth="1"/>
    <col min="26" max="28" width="12.453125" style="33"/>
    <col min="29" max="29" width="16.7265625" style="33" customWidth="1"/>
    <col min="30" max="30" width="12.453125" style="33"/>
    <col min="31" max="31" width="21.54296875" style="33" customWidth="1"/>
    <col min="32" max="32" width="43.7265625" style="33" customWidth="1"/>
    <col min="33" max="16384" width="12.453125" style="33"/>
  </cols>
  <sheetData>
    <row r="2" spans="2:32" x14ac:dyDescent="0.35">
      <c r="Y2" s="169" t="s">
        <v>442</v>
      </c>
    </row>
    <row r="3" spans="2:32" ht="5.25" customHeight="1" x14ac:dyDescent="0.35">
      <c r="Y3" s="169"/>
    </row>
    <row r="4" spans="2:32" ht="15.75" customHeight="1" x14ac:dyDescent="0.35">
      <c r="B4" s="167" t="s">
        <v>441</v>
      </c>
      <c r="C4" s="104"/>
      <c r="D4" s="112"/>
      <c r="E4" s="103"/>
      <c r="F4" s="100"/>
      <c r="G4" s="100"/>
      <c r="H4" s="100"/>
      <c r="I4" s="100"/>
      <c r="J4" s="100"/>
      <c r="K4" s="165"/>
      <c r="L4" s="166"/>
      <c r="M4" s="164"/>
      <c r="N4" s="165"/>
      <c r="O4" s="164"/>
      <c r="P4" s="98"/>
      <c r="Q4" s="98"/>
      <c r="R4" s="98"/>
      <c r="S4" s="98"/>
      <c r="T4" s="98"/>
      <c r="U4" s="98"/>
      <c r="V4" s="98"/>
      <c r="W4" s="98"/>
      <c r="X4" s="98"/>
      <c r="Y4" s="168"/>
      <c r="Z4" s="33" t="s">
        <v>440</v>
      </c>
    </row>
    <row r="5" spans="2:32" ht="15" customHeight="1" x14ac:dyDescent="0.35">
      <c r="B5" s="167"/>
      <c r="C5" s="104"/>
      <c r="D5" s="112"/>
      <c r="E5" s="103"/>
      <c r="F5" s="100"/>
      <c r="G5" s="100"/>
      <c r="H5" s="100"/>
      <c r="I5" s="100"/>
      <c r="J5" s="100"/>
      <c r="K5" s="165"/>
      <c r="L5" s="166"/>
      <c r="M5" s="164"/>
      <c r="N5" s="165"/>
      <c r="O5" s="164"/>
      <c r="P5" s="98"/>
      <c r="Q5" s="98"/>
      <c r="R5" s="98"/>
      <c r="S5" s="98"/>
      <c r="T5" s="98"/>
      <c r="U5" s="98"/>
      <c r="V5" s="98"/>
      <c r="W5" s="98"/>
      <c r="X5" s="98"/>
      <c r="Y5" s="163"/>
      <c r="Z5" s="33" t="s">
        <v>439</v>
      </c>
    </row>
    <row r="6" spans="2:32" ht="15" customHeight="1" x14ac:dyDescent="0.35">
      <c r="B6" s="162" t="s">
        <v>274</v>
      </c>
      <c r="C6" s="104"/>
      <c r="D6" s="112"/>
      <c r="E6" s="103"/>
      <c r="F6" s="100"/>
      <c r="G6" s="100"/>
      <c r="H6" s="100"/>
      <c r="I6" s="155"/>
      <c r="J6" s="155"/>
      <c r="K6" s="155"/>
      <c r="L6" s="156"/>
      <c r="M6" s="155"/>
      <c r="N6" s="155"/>
      <c r="O6" s="154"/>
      <c r="P6" s="154"/>
      <c r="Q6" s="154"/>
      <c r="R6" s="98"/>
      <c r="S6" s="98"/>
      <c r="T6" s="98"/>
      <c r="U6" s="98"/>
      <c r="V6" s="98"/>
      <c r="W6" s="98"/>
      <c r="X6" s="98"/>
      <c r="Y6" s="161"/>
      <c r="Z6" s="33" t="s">
        <v>438</v>
      </c>
    </row>
    <row r="7" spans="2:32" ht="15" customHeight="1" x14ac:dyDescent="0.35">
      <c r="B7" s="157" t="s">
        <v>272</v>
      </c>
      <c r="C7" s="104"/>
      <c r="D7" s="98"/>
      <c r="E7" s="103"/>
      <c r="F7" s="100"/>
      <c r="G7" s="100"/>
      <c r="H7" s="100"/>
      <c r="I7" s="155"/>
      <c r="J7" s="155"/>
      <c r="K7" s="155"/>
      <c r="L7" s="156"/>
      <c r="M7" s="155"/>
      <c r="N7" s="155"/>
      <c r="O7" s="154"/>
      <c r="P7" s="154"/>
      <c r="Q7" s="154"/>
      <c r="R7" s="98"/>
      <c r="S7" s="98"/>
      <c r="T7" s="98"/>
      <c r="U7" s="98"/>
      <c r="V7" s="98"/>
      <c r="W7" s="98"/>
      <c r="X7" s="98"/>
      <c r="Y7" s="160"/>
      <c r="Z7" s="33" t="s">
        <v>437</v>
      </c>
    </row>
    <row r="8" spans="2:32" ht="15" customHeight="1" x14ac:dyDescent="0.35">
      <c r="B8" s="157"/>
      <c r="C8" s="104"/>
      <c r="D8" s="98"/>
      <c r="E8" s="103"/>
      <c r="F8" s="100"/>
      <c r="G8" s="100"/>
      <c r="H8" s="100"/>
      <c r="I8" s="155"/>
      <c r="J8" s="155"/>
      <c r="K8" s="155"/>
      <c r="L8" s="156"/>
      <c r="M8" s="155"/>
      <c r="N8" s="155"/>
      <c r="O8" s="154"/>
      <c r="P8" s="154"/>
      <c r="Q8" s="154"/>
      <c r="R8" s="98"/>
      <c r="S8" s="98"/>
      <c r="T8" s="98"/>
      <c r="U8" s="98"/>
      <c r="Y8" s="159"/>
      <c r="Z8" s="33" t="s">
        <v>436</v>
      </c>
    </row>
    <row r="9" spans="2:32" ht="15" customHeight="1" x14ac:dyDescent="0.35">
      <c r="B9" s="157"/>
      <c r="C9" s="104"/>
      <c r="D9" s="98"/>
      <c r="E9" s="103"/>
      <c r="F9" s="100"/>
      <c r="G9" s="100"/>
      <c r="H9" s="100"/>
      <c r="I9" s="155"/>
      <c r="J9" s="155"/>
      <c r="K9" s="155"/>
      <c r="L9" s="156"/>
      <c r="M9" s="155"/>
      <c r="N9" s="155"/>
      <c r="O9" s="154"/>
      <c r="P9" s="154"/>
      <c r="Q9" s="154"/>
      <c r="R9" s="98"/>
      <c r="S9" s="98"/>
      <c r="T9" s="98"/>
      <c r="U9" s="98"/>
      <c r="Y9" s="158"/>
      <c r="Z9" s="33" t="s">
        <v>269</v>
      </c>
    </row>
    <row r="10" spans="2:32" ht="4.5" customHeight="1" x14ac:dyDescent="0.35">
      <c r="B10" s="157"/>
      <c r="C10" s="104"/>
      <c r="D10" s="98"/>
      <c r="E10" s="103"/>
      <c r="F10" s="100"/>
      <c r="G10" s="100"/>
      <c r="H10" s="100"/>
      <c r="I10" s="155"/>
      <c r="J10" s="155"/>
      <c r="K10" s="155"/>
      <c r="L10" s="156"/>
      <c r="M10" s="155"/>
      <c r="N10" s="155"/>
      <c r="O10" s="154"/>
      <c r="P10" s="154"/>
      <c r="Q10" s="154"/>
      <c r="R10" s="98"/>
      <c r="S10" s="98"/>
      <c r="T10" s="98"/>
      <c r="U10" s="98"/>
      <c r="V10" s="98"/>
      <c r="W10" s="98"/>
      <c r="X10" s="98"/>
    </row>
    <row r="11" spans="2:32" s="77" customFormat="1" ht="26.15" customHeight="1" x14ac:dyDescent="0.35">
      <c r="B11" s="153" t="s">
        <v>267</v>
      </c>
      <c r="C11" s="152" t="s">
        <v>266</v>
      </c>
      <c r="D11" s="151"/>
      <c r="E11" s="96" t="s">
        <v>86</v>
      </c>
      <c r="F11" s="95"/>
      <c r="G11" s="95"/>
      <c r="H11" s="95"/>
      <c r="I11" s="94" t="s">
        <v>265</v>
      </c>
      <c r="J11" s="92"/>
      <c r="K11" s="92"/>
      <c r="L11" s="92"/>
      <c r="M11" s="93" t="s">
        <v>264</v>
      </c>
      <c r="N11" s="92"/>
      <c r="O11" s="91"/>
      <c r="P11" s="90"/>
      <c r="Q11" s="89" t="s">
        <v>263</v>
      </c>
      <c r="R11" s="87"/>
      <c r="S11" s="87"/>
      <c r="T11" s="87"/>
      <c r="U11" s="88" t="s">
        <v>262</v>
      </c>
      <c r="V11" s="87"/>
      <c r="W11" s="86"/>
      <c r="X11" s="85"/>
      <c r="Y11" s="193" t="s">
        <v>261</v>
      </c>
      <c r="Z11" s="193"/>
      <c r="AA11" s="193"/>
      <c r="AB11" s="193"/>
      <c r="AC11" s="193"/>
      <c r="AD11" s="193"/>
      <c r="AE11" s="193"/>
      <c r="AF11" s="193"/>
    </row>
    <row r="12" spans="2:32" s="77" customFormat="1" ht="10.5" x14ac:dyDescent="0.35">
      <c r="B12" s="84" t="s">
        <v>435</v>
      </c>
      <c r="C12" s="83" t="s">
        <v>258</v>
      </c>
      <c r="D12" s="83" t="s">
        <v>257</v>
      </c>
      <c r="E12" s="80" t="s">
        <v>258</v>
      </c>
      <c r="F12" s="79" t="s">
        <v>257</v>
      </c>
      <c r="G12" s="79" t="s">
        <v>256</v>
      </c>
      <c r="H12" s="150" t="s">
        <v>255</v>
      </c>
      <c r="I12" s="80" t="s">
        <v>258</v>
      </c>
      <c r="J12" s="79" t="s">
        <v>257</v>
      </c>
      <c r="K12" s="79" t="s">
        <v>256</v>
      </c>
      <c r="L12" s="81" t="s">
        <v>255</v>
      </c>
      <c r="M12" s="80" t="s">
        <v>258</v>
      </c>
      <c r="N12" s="79" t="s">
        <v>257</v>
      </c>
      <c r="O12" s="79" t="s">
        <v>256</v>
      </c>
      <c r="P12" s="78" t="s">
        <v>255</v>
      </c>
      <c r="Q12" s="80" t="s">
        <v>258</v>
      </c>
      <c r="R12" s="79" t="s">
        <v>257</v>
      </c>
      <c r="S12" s="79" t="s">
        <v>256</v>
      </c>
      <c r="T12" s="81" t="s">
        <v>255</v>
      </c>
      <c r="U12" s="80" t="s">
        <v>258</v>
      </c>
      <c r="V12" s="79" t="s">
        <v>257</v>
      </c>
      <c r="W12" s="79" t="s">
        <v>256</v>
      </c>
      <c r="X12" s="78" t="s">
        <v>255</v>
      </c>
      <c r="Y12" s="193"/>
      <c r="Z12" s="193"/>
      <c r="AA12" s="193"/>
      <c r="AB12" s="193"/>
      <c r="AC12" s="193"/>
      <c r="AD12" s="193"/>
      <c r="AE12" s="193"/>
      <c r="AF12" s="193"/>
    </row>
    <row r="13" spans="2:32" x14ac:dyDescent="0.35">
      <c r="B13" s="142">
        <v>46028</v>
      </c>
      <c r="C13" s="149" t="s">
        <v>254</v>
      </c>
      <c r="D13" s="54" t="s">
        <v>434</v>
      </c>
      <c r="E13" s="145">
        <v>1749.298</v>
      </c>
      <c r="F13" s="144">
        <v>1747.6990000000001</v>
      </c>
      <c r="G13" s="38">
        <f t="shared" ref="G13:G44" si="0">(IF(F13="","",F13-E13))</f>
        <v>-1.5989999999999327</v>
      </c>
      <c r="H13" s="120">
        <f t="shared" ref="H13:H44" si="1">IF(G13="","",G13/E13)</f>
        <v>-9.1408096276331E-4</v>
      </c>
      <c r="I13" s="42">
        <v>4810.4040000000005</v>
      </c>
      <c r="J13" s="42">
        <v>4882</v>
      </c>
      <c r="K13" s="41">
        <f t="shared" ref="K13:K44" si="2">(IF(J13="","",J13-I13))</f>
        <v>71.595999999999549</v>
      </c>
      <c r="L13" s="37">
        <f t="shared" ref="L13:L44" si="3">IF(K13="","",K13/I13)</f>
        <v>1.4883573188447279E-2</v>
      </c>
      <c r="M13" s="141">
        <f t="shared" ref="M13:M44" si="4">IF(I13="","",(E13*I13)/1000000)</f>
        <v>8.4148300963920004</v>
      </c>
      <c r="N13" s="119">
        <f t="shared" ref="N13:N44" si="5">IF(J13="","",(F13*J13)/1000000)</f>
        <v>8.5322665180000019</v>
      </c>
      <c r="O13" s="118">
        <f t="shared" ref="O13:O44" si="6">(IF(N13="","",N13-M13))</f>
        <v>0.1174364216080015</v>
      </c>
      <c r="P13" s="37">
        <f t="shared" ref="P13:P44" si="7">IF(O13="","",O13/M13)</f>
        <v>1.3955887434774748E-2</v>
      </c>
      <c r="Q13" s="47">
        <v>825420.23499999999</v>
      </c>
      <c r="R13" s="42">
        <v>832772</v>
      </c>
      <c r="S13" s="41">
        <f t="shared" ref="S13:S44" si="8">(IF(R13="","",R13-Q13))</f>
        <v>7351.765000000014</v>
      </c>
      <c r="T13" s="37">
        <f t="shared" ref="T13:T44" si="9">IF(S13="","",S13/Q13)</f>
        <v>8.9066934493070848E-3</v>
      </c>
      <c r="U13" s="40">
        <f t="shared" ref="U13:U44" si="10">IF(Q13="","",(E13*Q13)/1000000)</f>
        <v>1443.90596624503</v>
      </c>
      <c r="V13" s="39">
        <f t="shared" ref="V13:V44" si="11">IF(R13="","",(F13*R13)/1000000)</f>
        <v>1455.4347916280001</v>
      </c>
      <c r="W13" s="38">
        <f t="shared" ref="W13:W44" si="12">(IF(V13="","",V13-U13))</f>
        <v>11.528825382970126</v>
      </c>
      <c r="X13" s="37">
        <f t="shared" ref="X13:X44" si="13">IF(W13="","",W13/U13)</f>
        <v>7.9844710476206261E-3</v>
      </c>
      <c r="Y13" s="194" t="s">
        <v>299</v>
      </c>
      <c r="Z13" s="195"/>
      <c r="AA13" s="195"/>
      <c r="AB13" s="195"/>
      <c r="AC13" s="195"/>
      <c r="AD13" s="195"/>
      <c r="AE13" s="195"/>
      <c r="AF13" s="196"/>
    </row>
    <row r="14" spans="2:32" x14ac:dyDescent="0.35">
      <c r="B14" s="142">
        <v>46028</v>
      </c>
      <c r="C14" s="67" t="s">
        <v>250</v>
      </c>
      <c r="D14" s="54" t="s">
        <v>433</v>
      </c>
      <c r="E14" s="145">
        <v>1691.355</v>
      </c>
      <c r="F14" s="144">
        <v>1686.6880000000001</v>
      </c>
      <c r="G14" s="38">
        <f t="shared" si="0"/>
        <v>-4.6669999999999163</v>
      </c>
      <c r="H14" s="120">
        <f t="shared" si="1"/>
        <v>-2.7593261024444404E-3</v>
      </c>
      <c r="I14" s="42">
        <v>4714.0619999999999</v>
      </c>
      <c r="J14" s="42">
        <v>4789</v>
      </c>
      <c r="K14" s="41">
        <f t="shared" si="2"/>
        <v>74.938000000000102</v>
      </c>
      <c r="L14" s="37">
        <f t="shared" si="3"/>
        <v>1.5896693764316232E-2</v>
      </c>
      <c r="M14" s="141">
        <f t="shared" si="4"/>
        <v>7.9731523340099999</v>
      </c>
      <c r="N14" s="119">
        <f t="shared" si="5"/>
        <v>8.0775488319999997</v>
      </c>
      <c r="O14" s="118">
        <f t="shared" si="6"/>
        <v>0.10439649798999984</v>
      </c>
      <c r="P14" s="37">
        <f t="shared" si="7"/>
        <v>1.3093503499825255E-2</v>
      </c>
      <c r="Q14" s="47">
        <v>811376.33400000003</v>
      </c>
      <c r="R14" s="42">
        <v>820113</v>
      </c>
      <c r="S14" s="41">
        <f t="shared" si="8"/>
        <v>8736.6659999999683</v>
      </c>
      <c r="T14" s="37">
        <f t="shared" si="9"/>
        <v>1.0767711151900528E-2</v>
      </c>
      <c r="U14" s="40">
        <f t="shared" si="10"/>
        <v>1372.32541939257</v>
      </c>
      <c r="V14" s="39">
        <f t="shared" si="11"/>
        <v>1383.2747557440002</v>
      </c>
      <c r="W14" s="38">
        <f t="shared" si="12"/>
        <v>10.949336351430247</v>
      </c>
      <c r="X14" s="37">
        <f t="shared" si="13"/>
        <v>7.9786734230112375E-3</v>
      </c>
      <c r="Y14" s="197"/>
      <c r="Z14" s="188"/>
      <c r="AA14" s="188"/>
      <c r="AB14" s="188"/>
      <c r="AC14" s="188"/>
      <c r="AD14" s="188"/>
      <c r="AE14" s="188"/>
      <c r="AF14" s="198"/>
    </row>
    <row r="15" spans="2:32" x14ac:dyDescent="0.35">
      <c r="B15" s="142">
        <v>46028</v>
      </c>
      <c r="C15" s="67" t="s">
        <v>246</v>
      </c>
      <c r="D15" s="54" t="s">
        <v>432</v>
      </c>
      <c r="E15" s="145">
        <v>1750.703</v>
      </c>
      <c r="F15" s="144">
        <v>1748.9259999999999</v>
      </c>
      <c r="G15" s="38">
        <f t="shared" si="0"/>
        <v>-1.7770000000000437</v>
      </c>
      <c r="H15" s="120">
        <f t="shared" si="1"/>
        <v>-1.0150208230636742E-3</v>
      </c>
      <c r="I15" s="42">
        <v>4800.0559999999996</v>
      </c>
      <c r="J15" s="42">
        <v>4828</v>
      </c>
      <c r="K15" s="41">
        <f t="shared" si="2"/>
        <v>27.944000000000415</v>
      </c>
      <c r="L15" s="37">
        <f t="shared" si="3"/>
        <v>5.8215987480146935E-3</v>
      </c>
      <c r="M15" s="141">
        <f t="shared" si="4"/>
        <v>8.4034724393679987</v>
      </c>
      <c r="N15" s="119">
        <f t="shared" si="5"/>
        <v>8.4438147279999995</v>
      </c>
      <c r="O15" s="118">
        <f t="shared" si="6"/>
        <v>4.0342288632000844E-2</v>
      </c>
      <c r="P15" s="37">
        <f t="shared" si="7"/>
        <v>4.8006688809983022E-3</v>
      </c>
      <c r="Q15" s="47">
        <v>824648.875</v>
      </c>
      <c r="R15" s="42">
        <v>822004</v>
      </c>
      <c r="S15" s="41">
        <f t="shared" si="8"/>
        <v>-2644.875</v>
      </c>
      <c r="T15" s="37">
        <f t="shared" si="9"/>
        <v>-3.2072741262152331E-3</v>
      </c>
      <c r="U15" s="40">
        <f t="shared" si="10"/>
        <v>1443.7152594091251</v>
      </c>
      <c r="V15" s="39">
        <f t="shared" si="11"/>
        <v>1437.624167704</v>
      </c>
      <c r="W15" s="38">
        <f t="shared" si="12"/>
        <v>-6.091091705125109</v>
      </c>
      <c r="X15" s="37">
        <f t="shared" si="13"/>
        <v>-4.2190394992555761E-3</v>
      </c>
      <c r="Y15" s="197"/>
      <c r="Z15" s="188"/>
      <c r="AA15" s="188"/>
      <c r="AB15" s="188"/>
      <c r="AC15" s="188"/>
      <c r="AD15" s="188"/>
      <c r="AE15" s="188"/>
      <c r="AF15" s="198"/>
    </row>
    <row r="16" spans="2:32" x14ac:dyDescent="0.35">
      <c r="B16" s="142">
        <v>46039</v>
      </c>
      <c r="C16" s="67" t="s">
        <v>243</v>
      </c>
      <c r="D16" s="54" t="s">
        <v>431</v>
      </c>
      <c r="E16" s="145">
        <v>1724.163</v>
      </c>
      <c r="F16" s="144">
        <v>1721.298</v>
      </c>
      <c r="G16" s="38">
        <f t="shared" si="0"/>
        <v>-2.8650000000000091</v>
      </c>
      <c r="H16" s="120">
        <f t="shared" si="1"/>
        <v>-1.6616758392333029E-3</v>
      </c>
      <c r="I16" s="42">
        <v>4769.1980000000003</v>
      </c>
      <c r="J16" s="42">
        <v>4867</v>
      </c>
      <c r="K16" s="41">
        <f t="shared" si="2"/>
        <v>97.80199999999968</v>
      </c>
      <c r="L16" s="37">
        <f t="shared" si="3"/>
        <v>2.0507011870758915E-2</v>
      </c>
      <c r="M16" s="141">
        <f t="shared" si="4"/>
        <v>8.2228747312740005</v>
      </c>
      <c r="N16" s="119">
        <f t="shared" si="5"/>
        <v>8.3775573659999996</v>
      </c>
      <c r="O16" s="118">
        <f t="shared" si="6"/>
        <v>0.15468263472599908</v>
      </c>
      <c r="P16" s="37">
        <f t="shared" si="7"/>
        <v>1.8811260025365061E-2</v>
      </c>
      <c r="Q16" s="47">
        <v>841157.12600000005</v>
      </c>
      <c r="R16" s="42">
        <v>843734</v>
      </c>
      <c r="S16" s="41">
        <f t="shared" si="8"/>
        <v>2576.8739999999525</v>
      </c>
      <c r="T16" s="37">
        <f t="shared" si="9"/>
        <v>3.0634870945621074E-3</v>
      </c>
      <c r="U16" s="40">
        <f t="shared" si="10"/>
        <v>1450.2919938355381</v>
      </c>
      <c r="V16" s="39">
        <f t="shared" si="11"/>
        <v>1452.3176467320002</v>
      </c>
      <c r="W16" s="38">
        <f t="shared" si="12"/>
        <v>2.0256528964621339</v>
      </c>
      <c r="X16" s="37">
        <f t="shared" si="13"/>
        <v>1.3967207328401217E-3</v>
      </c>
      <c r="Y16" s="199"/>
      <c r="Z16" s="200"/>
      <c r="AA16" s="200"/>
      <c r="AB16" s="200"/>
      <c r="AC16" s="200"/>
      <c r="AD16" s="200"/>
      <c r="AE16" s="200"/>
      <c r="AF16" s="201"/>
    </row>
    <row r="17" spans="2:32" x14ac:dyDescent="0.35">
      <c r="B17" s="142">
        <v>46039</v>
      </c>
      <c r="C17" s="67" t="s">
        <v>240</v>
      </c>
      <c r="D17" s="54" t="s">
        <v>430</v>
      </c>
      <c r="E17" s="145">
        <v>1771.82</v>
      </c>
      <c r="F17" s="144">
        <v>1769.2249999999999</v>
      </c>
      <c r="G17" s="38">
        <f t="shared" si="0"/>
        <v>-2.5950000000000273</v>
      </c>
      <c r="H17" s="120">
        <f t="shared" si="1"/>
        <v>-1.4645957264282079E-3</v>
      </c>
      <c r="I17" s="42">
        <v>5272.7520000000004</v>
      </c>
      <c r="J17" s="42">
        <v>5304</v>
      </c>
      <c r="K17" s="41">
        <f t="shared" si="2"/>
        <v>31.247999999999593</v>
      </c>
      <c r="L17" s="37">
        <f t="shared" si="3"/>
        <v>5.9263170352027916E-3</v>
      </c>
      <c r="M17" s="141">
        <f t="shared" si="4"/>
        <v>9.3423674486399992</v>
      </c>
      <c r="N17" s="119">
        <f t="shared" si="5"/>
        <v>9.3839693999999998</v>
      </c>
      <c r="O17" s="118">
        <f t="shared" si="6"/>
        <v>4.1601951360000555E-2</v>
      </c>
      <c r="P17" s="37">
        <f t="shared" si="7"/>
        <v>4.4530416501715204E-3</v>
      </c>
      <c r="Q17" s="47">
        <v>839651.82299999997</v>
      </c>
      <c r="R17" s="42">
        <v>839574</v>
      </c>
      <c r="S17" s="41">
        <f t="shared" si="8"/>
        <v>-77.822999999974854</v>
      </c>
      <c r="T17" s="37">
        <f t="shared" si="9"/>
        <v>-9.2684846109093551E-5</v>
      </c>
      <c r="U17" s="40">
        <f t="shared" si="10"/>
        <v>1487.71189302786</v>
      </c>
      <c r="V17" s="39">
        <f t="shared" si="11"/>
        <v>1485.3953101499999</v>
      </c>
      <c r="W17" s="38">
        <f t="shared" si="12"/>
        <v>-2.3165828778601281</v>
      </c>
      <c r="X17" s="37">
        <f t="shared" si="13"/>
        <v>-1.5571448267078861E-3</v>
      </c>
      <c r="Y17" s="202" t="s">
        <v>299</v>
      </c>
      <c r="Z17" s="203"/>
      <c r="AA17" s="203"/>
      <c r="AB17" s="203"/>
      <c r="AC17" s="203"/>
      <c r="AD17" s="203"/>
      <c r="AE17" s="203"/>
      <c r="AF17" s="204"/>
    </row>
    <row r="18" spans="2:32" x14ac:dyDescent="0.35">
      <c r="B18" s="142">
        <v>46039</v>
      </c>
      <c r="C18" s="67" t="s">
        <v>236</v>
      </c>
      <c r="D18" s="54" t="s">
        <v>429</v>
      </c>
      <c r="E18" s="145">
        <v>1739.384</v>
      </c>
      <c r="F18" s="144">
        <v>1741.54</v>
      </c>
      <c r="G18" s="38">
        <f t="shared" si="0"/>
        <v>2.1559999999999491</v>
      </c>
      <c r="H18" s="120">
        <f t="shared" si="1"/>
        <v>1.2395192780892254E-3</v>
      </c>
      <c r="I18" s="42">
        <v>5512</v>
      </c>
      <c r="J18" s="42">
        <v>5552</v>
      </c>
      <c r="K18" s="41">
        <f t="shared" si="2"/>
        <v>40</v>
      </c>
      <c r="L18" s="37">
        <f t="shared" si="3"/>
        <v>7.2568940493468797E-3</v>
      </c>
      <c r="M18" s="141">
        <f t="shared" si="4"/>
        <v>9.5874846080000005</v>
      </c>
      <c r="N18" s="119">
        <f t="shared" si="5"/>
        <v>9.6690300800000006</v>
      </c>
      <c r="O18" s="118">
        <f t="shared" si="6"/>
        <v>8.1545472000000174E-2</v>
      </c>
      <c r="P18" s="37">
        <f t="shared" si="7"/>
        <v>8.5054083875093691E-3</v>
      </c>
      <c r="Q18" s="47">
        <v>834288</v>
      </c>
      <c r="R18" s="42">
        <v>832713</v>
      </c>
      <c r="S18" s="41">
        <f t="shared" si="8"/>
        <v>-1575</v>
      </c>
      <c r="T18" s="37">
        <f t="shared" si="9"/>
        <v>-1.8878372935964558E-3</v>
      </c>
      <c r="U18" s="40">
        <f t="shared" si="10"/>
        <v>1451.147198592</v>
      </c>
      <c r="V18" s="39">
        <f t="shared" si="11"/>
        <v>1450.20299802</v>
      </c>
      <c r="W18" s="38">
        <f t="shared" si="12"/>
        <v>-0.94420057199999974</v>
      </c>
      <c r="X18" s="37">
        <f t="shared" si="13"/>
        <v>-6.5065802622650982E-4</v>
      </c>
      <c r="Y18" s="202" t="s">
        <v>393</v>
      </c>
      <c r="Z18" s="203"/>
      <c r="AA18" s="203"/>
      <c r="AB18" s="203"/>
      <c r="AC18" s="203"/>
      <c r="AD18" s="203"/>
      <c r="AE18" s="203"/>
      <c r="AF18" s="204"/>
    </row>
    <row r="19" spans="2:32" x14ac:dyDescent="0.35">
      <c r="B19" s="142">
        <v>46042</v>
      </c>
      <c r="C19" s="67" t="s">
        <v>233</v>
      </c>
      <c r="D19" s="54" t="s">
        <v>428</v>
      </c>
      <c r="E19" s="145">
        <v>1657.155</v>
      </c>
      <c r="F19" s="144">
        <v>1656.098</v>
      </c>
      <c r="G19" s="38">
        <f t="shared" si="0"/>
        <v>-1.0570000000000164</v>
      </c>
      <c r="H19" s="120">
        <f t="shared" si="1"/>
        <v>-6.3784015375750389E-4</v>
      </c>
      <c r="I19" s="42">
        <v>5221.8239999999996</v>
      </c>
      <c r="J19" s="42">
        <v>5226</v>
      </c>
      <c r="K19" s="41">
        <f t="shared" si="2"/>
        <v>4.1760000000003856</v>
      </c>
      <c r="L19" s="37">
        <f t="shared" si="3"/>
        <v>7.9972055741449463E-4</v>
      </c>
      <c r="M19" s="141">
        <f t="shared" si="4"/>
        <v>8.6533717507199999</v>
      </c>
      <c r="N19" s="119">
        <f t="shared" si="5"/>
        <v>8.6547681480000005</v>
      </c>
      <c r="O19" s="118">
        <f t="shared" si="6"/>
        <v>1.3963972800006275E-3</v>
      </c>
      <c r="P19" s="37">
        <f t="shared" si="7"/>
        <v>1.6137030977369496E-4</v>
      </c>
      <c r="Q19" s="47">
        <v>826382.48699999996</v>
      </c>
      <c r="R19" s="42">
        <v>821632</v>
      </c>
      <c r="S19" s="41">
        <f t="shared" si="8"/>
        <v>-4750.4869999999646</v>
      </c>
      <c r="T19" s="37">
        <f t="shared" si="9"/>
        <v>-5.7485330034589234E-3</v>
      </c>
      <c r="U19" s="40">
        <f t="shared" si="10"/>
        <v>1369.443870244485</v>
      </c>
      <c r="V19" s="39">
        <f t="shared" si="11"/>
        <v>1360.7031119359999</v>
      </c>
      <c r="W19" s="38">
        <f t="shared" si="12"/>
        <v>-8.7407583084850557</v>
      </c>
      <c r="X19" s="37">
        <f t="shared" si="13"/>
        <v>-6.3827065120416948E-3</v>
      </c>
      <c r="Y19" s="194" t="s">
        <v>299</v>
      </c>
      <c r="Z19" s="195"/>
      <c r="AA19" s="195"/>
      <c r="AB19" s="195"/>
      <c r="AC19" s="195"/>
      <c r="AD19" s="195"/>
      <c r="AE19" s="195"/>
      <c r="AF19" s="196"/>
    </row>
    <row r="20" spans="2:32" x14ac:dyDescent="0.35">
      <c r="B20" s="142">
        <v>46042</v>
      </c>
      <c r="C20" s="67" t="s">
        <v>230</v>
      </c>
      <c r="D20" s="54" t="s">
        <v>427</v>
      </c>
      <c r="E20" s="145">
        <v>1607.3510000000001</v>
      </c>
      <c r="F20" s="144">
        <v>1604.9</v>
      </c>
      <c r="G20" s="38">
        <f t="shared" si="0"/>
        <v>-2.4510000000000218</v>
      </c>
      <c r="H20" s="120">
        <f t="shared" si="1"/>
        <v>-1.5248691791649874E-3</v>
      </c>
      <c r="I20" s="42">
        <v>5048.5479999999998</v>
      </c>
      <c r="J20" s="42">
        <v>5050</v>
      </c>
      <c r="K20" s="41">
        <f t="shared" si="2"/>
        <v>1.4520000000002256</v>
      </c>
      <c r="L20" s="37">
        <f t="shared" si="3"/>
        <v>2.8760744673522477E-4</v>
      </c>
      <c r="M20" s="141">
        <f t="shared" si="4"/>
        <v>8.1147886763480006</v>
      </c>
      <c r="N20" s="119">
        <f t="shared" si="5"/>
        <v>8.1047449999999994</v>
      </c>
      <c r="O20" s="118">
        <f t="shared" si="6"/>
        <v>-1.0043676348001185E-2</v>
      </c>
      <c r="P20" s="37">
        <f t="shared" si="7"/>
        <v>-1.2377002961611646E-3</v>
      </c>
      <c r="Q20" s="47">
        <v>816588.67299999995</v>
      </c>
      <c r="R20" s="42">
        <v>813313</v>
      </c>
      <c r="S20" s="41">
        <f t="shared" si="8"/>
        <v>-3275.6729999999516</v>
      </c>
      <c r="T20" s="37">
        <f t="shared" si="9"/>
        <v>-4.0114112628647147E-3</v>
      </c>
      <c r="U20" s="40">
        <f t="shared" si="10"/>
        <v>1312.5446201352229</v>
      </c>
      <c r="V20" s="39">
        <f t="shared" si="11"/>
        <v>1305.2860337</v>
      </c>
      <c r="W20" s="38">
        <f t="shared" si="12"/>
        <v>-7.2585864352229237</v>
      </c>
      <c r="X20" s="37">
        <f t="shared" si="13"/>
        <v>-5.5301635646299923E-3</v>
      </c>
      <c r="Y20" s="199"/>
      <c r="Z20" s="200"/>
      <c r="AA20" s="200"/>
      <c r="AB20" s="200"/>
      <c r="AC20" s="200"/>
      <c r="AD20" s="200"/>
      <c r="AE20" s="200"/>
      <c r="AF20" s="201"/>
    </row>
    <row r="21" spans="2:32" x14ac:dyDescent="0.35">
      <c r="B21" s="142">
        <v>46042</v>
      </c>
      <c r="C21" s="67" t="s">
        <v>226</v>
      </c>
      <c r="D21" s="54" t="s">
        <v>426</v>
      </c>
      <c r="E21" s="145">
        <v>1562.107</v>
      </c>
      <c r="F21" s="144">
        <v>1559.19</v>
      </c>
      <c r="G21" s="38">
        <f t="shared" si="0"/>
        <v>-2.9169999999999163</v>
      </c>
      <c r="H21" s="120">
        <f t="shared" si="1"/>
        <v>-1.8673496757904012E-3</v>
      </c>
      <c r="I21" s="42">
        <v>4706</v>
      </c>
      <c r="J21" s="42">
        <v>4707</v>
      </c>
      <c r="K21" s="41">
        <f t="shared" si="2"/>
        <v>1</v>
      </c>
      <c r="L21" s="37">
        <f t="shared" si="3"/>
        <v>2.1249468763280918E-4</v>
      </c>
      <c r="M21" s="141">
        <f t="shared" si="4"/>
        <v>7.3512755419999998</v>
      </c>
      <c r="N21" s="119">
        <f t="shared" si="5"/>
        <v>7.33910733</v>
      </c>
      <c r="O21" s="118">
        <f t="shared" si="6"/>
        <v>-1.2168211999999734E-2</v>
      </c>
      <c r="P21" s="37">
        <f t="shared" si="7"/>
        <v>-1.6552517900436678E-3</v>
      </c>
      <c r="Q21" s="47">
        <v>804594</v>
      </c>
      <c r="R21" s="42">
        <v>803185</v>
      </c>
      <c r="S21" s="41">
        <f t="shared" si="8"/>
        <v>-1409</v>
      </c>
      <c r="T21" s="37">
        <f t="shared" si="9"/>
        <v>-1.7511937697770553E-3</v>
      </c>
      <c r="U21" s="40">
        <f t="shared" si="10"/>
        <v>1256.8619195580002</v>
      </c>
      <c r="V21" s="39">
        <f t="shared" si="11"/>
        <v>1252.3180201500002</v>
      </c>
      <c r="W21" s="38">
        <f t="shared" si="12"/>
        <v>-4.5438994080000157</v>
      </c>
      <c r="X21" s="37">
        <f t="shared" si="13"/>
        <v>-3.6152733544492824E-3</v>
      </c>
      <c r="Y21" s="202" t="s">
        <v>393</v>
      </c>
      <c r="Z21" s="203"/>
      <c r="AA21" s="203"/>
      <c r="AB21" s="203"/>
      <c r="AC21" s="203"/>
      <c r="AD21" s="203"/>
      <c r="AE21" s="203"/>
      <c r="AF21" s="204"/>
    </row>
    <row r="22" spans="2:32" x14ac:dyDescent="0.35">
      <c r="B22" s="142">
        <v>46045</v>
      </c>
      <c r="C22" s="67" t="s">
        <v>223</v>
      </c>
      <c r="D22" s="54" t="s">
        <v>425</v>
      </c>
      <c r="E22" s="145">
        <v>1578.1179999999999</v>
      </c>
      <c r="F22" s="144">
        <v>1578.3630000000001</v>
      </c>
      <c r="G22" s="38">
        <f t="shared" si="0"/>
        <v>0.24500000000011823</v>
      </c>
      <c r="H22" s="120">
        <f t="shared" si="1"/>
        <v>1.5524821337828873E-4</v>
      </c>
      <c r="I22" s="42">
        <v>4478</v>
      </c>
      <c r="J22" s="42">
        <v>4481</v>
      </c>
      <c r="K22" s="41">
        <f t="shared" si="2"/>
        <v>3</v>
      </c>
      <c r="L22" s="37">
        <f t="shared" si="3"/>
        <v>6.6994193836534166E-4</v>
      </c>
      <c r="M22" s="141">
        <f t="shared" si="4"/>
        <v>7.0668124040000002</v>
      </c>
      <c r="N22" s="119">
        <f t="shared" si="5"/>
        <v>7.0726446030000005</v>
      </c>
      <c r="O22" s="118">
        <f t="shared" si="6"/>
        <v>5.8321990000003154E-3</v>
      </c>
      <c r="P22" s="37">
        <f t="shared" si="7"/>
        <v>8.2529415903259847E-4</v>
      </c>
      <c r="Q22" s="47">
        <v>800203</v>
      </c>
      <c r="R22" s="42">
        <v>797870</v>
      </c>
      <c r="S22" s="41">
        <f t="shared" si="8"/>
        <v>-2333</v>
      </c>
      <c r="T22" s="37">
        <f t="shared" si="9"/>
        <v>-2.9155101892894678E-3</v>
      </c>
      <c r="U22" s="40">
        <f t="shared" si="10"/>
        <v>1262.814757954</v>
      </c>
      <c r="V22" s="39">
        <f t="shared" si="11"/>
        <v>1259.32848681</v>
      </c>
      <c r="W22" s="38">
        <f t="shared" si="12"/>
        <v>-3.4862711440000567</v>
      </c>
      <c r="X22" s="37">
        <f t="shared" si="13"/>
        <v>-2.7607146036592719E-3</v>
      </c>
      <c r="Y22" s="202" t="s">
        <v>424</v>
      </c>
      <c r="Z22" s="203"/>
      <c r="AA22" s="203"/>
      <c r="AB22" s="203"/>
      <c r="AC22" s="203"/>
      <c r="AD22" s="203"/>
      <c r="AE22" s="203"/>
      <c r="AF22" s="204"/>
    </row>
    <row r="23" spans="2:32" x14ac:dyDescent="0.35">
      <c r="B23" s="142">
        <v>46045</v>
      </c>
      <c r="C23" s="67" t="s">
        <v>220</v>
      </c>
      <c r="D23" s="54" t="s">
        <v>423</v>
      </c>
      <c r="E23" s="145">
        <v>1668.239</v>
      </c>
      <c r="F23" s="144">
        <v>1670.5650000000001</v>
      </c>
      <c r="G23" s="38">
        <f t="shared" si="0"/>
        <v>2.3260000000000218</v>
      </c>
      <c r="H23" s="120">
        <f t="shared" si="1"/>
        <v>1.394284631878299E-3</v>
      </c>
      <c r="I23" s="42">
        <v>4497.8670000000002</v>
      </c>
      <c r="J23" s="42">
        <v>4499</v>
      </c>
      <c r="K23" s="41">
        <f t="shared" si="2"/>
        <v>1.1329999999998108</v>
      </c>
      <c r="L23" s="37">
        <f t="shared" si="3"/>
        <v>2.5189717703965253E-4</v>
      </c>
      <c r="M23" s="141">
        <f t="shared" si="4"/>
        <v>7.5035171462130004</v>
      </c>
      <c r="N23" s="119">
        <f t="shared" si="5"/>
        <v>7.5158719350000007</v>
      </c>
      <c r="O23" s="118">
        <f t="shared" si="6"/>
        <v>1.2354788787000359E-2</v>
      </c>
      <c r="P23" s="37">
        <f t="shared" si="7"/>
        <v>1.6465330252807885E-3</v>
      </c>
      <c r="Q23" s="47">
        <v>819906.11899999995</v>
      </c>
      <c r="R23" s="42">
        <v>817441</v>
      </c>
      <c r="S23" s="41">
        <f t="shared" si="8"/>
        <v>-2465.1189999999478</v>
      </c>
      <c r="T23" s="37">
        <f t="shared" si="9"/>
        <v>-3.0065869041281642E-3</v>
      </c>
      <c r="U23" s="40">
        <f t="shared" si="10"/>
        <v>1367.799364054441</v>
      </c>
      <c r="V23" s="39">
        <f t="shared" si="11"/>
        <v>1365.5883241649999</v>
      </c>
      <c r="W23" s="38">
        <f t="shared" si="12"/>
        <v>-2.2110398894410537</v>
      </c>
      <c r="X23" s="37">
        <f t="shared" si="13"/>
        <v>-1.6164943101648131E-3</v>
      </c>
      <c r="Y23" s="194" t="s">
        <v>299</v>
      </c>
      <c r="Z23" s="195"/>
      <c r="AA23" s="195"/>
      <c r="AB23" s="195"/>
      <c r="AC23" s="195"/>
      <c r="AD23" s="195"/>
      <c r="AE23" s="195"/>
      <c r="AF23" s="196"/>
    </row>
    <row r="24" spans="2:32" x14ac:dyDescent="0.35">
      <c r="B24" s="142">
        <v>46045</v>
      </c>
      <c r="C24" s="67" t="s">
        <v>217</v>
      </c>
      <c r="D24" s="54" t="s">
        <v>422</v>
      </c>
      <c r="E24" s="145">
        <v>1629.777</v>
      </c>
      <c r="F24" s="144">
        <v>1631.078</v>
      </c>
      <c r="G24" s="38">
        <f t="shared" si="0"/>
        <v>1.3009999999999309</v>
      </c>
      <c r="H24" s="120">
        <f t="shared" si="1"/>
        <v>7.982687201991014E-4</v>
      </c>
      <c r="I24" s="42">
        <v>4623.8609999999999</v>
      </c>
      <c r="J24" s="42">
        <v>4651</v>
      </c>
      <c r="K24" s="41">
        <f t="shared" si="2"/>
        <v>27.139000000000124</v>
      </c>
      <c r="L24" s="37">
        <f t="shared" si="3"/>
        <v>5.8693373351837615E-3</v>
      </c>
      <c r="M24" s="141">
        <f t="shared" si="4"/>
        <v>7.5358623089969994</v>
      </c>
      <c r="N24" s="119">
        <f t="shared" si="5"/>
        <v>7.5861437780000003</v>
      </c>
      <c r="O24" s="118">
        <f t="shared" si="6"/>
        <v>5.02814690030009E-2</v>
      </c>
      <c r="P24" s="37">
        <f t="shared" si="7"/>
        <v>6.672291363785973E-3</v>
      </c>
      <c r="Q24" s="47">
        <v>798370.91700000002</v>
      </c>
      <c r="R24" s="42">
        <v>798887</v>
      </c>
      <c r="S24" s="41">
        <f t="shared" si="8"/>
        <v>516.08299999998417</v>
      </c>
      <c r="T24" s="37">
        <f t="shared" si="9"/>
        <v>6.4642008997427465E-4</v>
      </c>
      <c r="U24" s="40">
        <f t="shared" si="10"/>
        <v>1301.166557995509</v>
      </c>
      <c r="V24" s="39">
        <f t="shared" si="11"/>
        <v>1303.0470101859999</v>
      </c>
      <c r="W24" s="38">
        <f t="shared" si="12"/>
        <v>1.8804521904908142</v>
      </c>
      <c r="X24" s="37">
        <f t="shared" si="13"/>
        <v>1.4452048271112303E-3</v>
      </c>
      <c r="Y24" s="197"/>
      <c r="Z24" s="188"/>
      <c r="AA24" s="188"/>
      <c r="AB24" s="188"/>
      <c r="AC24" s="188"/>
      <c r="AD24" s="188"/>
      <c r="AE24" s="188"/>
      <c r="AF24" s="198"/>
    </row>
    <row r="25" spans="2:32" x14ac:dyDescent="0.35">
      <c r="B25" s="142">
        <v>46050</v>
      </c>
      <c r="C25" s="67" t="s">
        <v>214</v>
      </c>
      <c r="D25" s="54" t="s">
        <v>421</v>
      </c>
      <c r="E25" s="145">
        <v>1650.191</v>
      </c>
      <c r="F25" s="144">
        <v>1650.02</v>
      </c>
      <c r="G25" s="38">
        <f t="shared" si="0"/>
        <v>-0.17100000000004911</v>
      </c>
      <c r="H25" s="120">
        <f t="shared" si="1"/>
        <v>-1.0362436833072602E-4</v>
      </c>
      <c r="I25" s="42">
        <v>4423.8100000000004</v>
      </c>
      <c r="J25" s="42">
        <v>4423</v>
      </c>
      <c r="K25" s="41">
        <f t="shared" si="2"/>
        <v>-0.81000000000040018</v>
      </c>
      <c r="L25" s="37">
        <f t="shared" si="3"/>
        <v>-1.8310008793334255E-4</v>
      </c>
      <c r="M25" s="141">
        <f t="shared" si="4"/>
        <v>7.300131447710001</v>
      </c>
      <c r="N25" s="119">
        <f t="shared" si="5"/>
        <v>7.2980384599999999</v>
      </c>
      <c r="O25" s="118">
        <f t="shared" si="6"/>
        <v>-2.0929877100011041E-3</v>
      </c>
      <c r="P25" s="37">
        <f t="shared" si="7"/>
        <v>-2.8670548263314618E-4</v>
      </c>
      <c r="Q25" s="47">
        <v>785291.28700000001</v>
      </c>
      <c r="R25" s="42">
        <v>782843</v>
      </c>
      <c r="S25" s="41">
        <f t="shared" si="8"/>
        <v>-2448.2870000000112</v>
      </c>
      <c r="T25" s="37">
        <f t="shared" si="9"/>
        <v>-3.1176800768451811E-3</v>
      </c>
      <c r="U25" s="40">
        <f t="shared" si="10"/>
        <v>1295.880614185817</v>
      </c>
      <c r="V25" s="39">
        <f t="shared" si="11"/>
        <v>1291.70660686</v>
      </c>
      <c r="W25" s="38">
        <f t="shared" si="12"/>
        <v>-4.1740073258170014</v>
      </c>
      <c r="X25" s="37">
        <f t="shared" si="13"/>
        <v>-3.2209813775472438E-3</v>
      </c>
      <c r="Y25" s="197"/>
      <c r="Z25" s="188"/>
      <c r="AA25" s="188"/>
      <c r="AB25" s="188"/>
      <c r="AC25" s="188"/>
      <c r="AD25" s="188"/>
      <c r="AE25" s="188"/>
      <c r="AF25" s="198"/>
    </row>
    <row r="26" spans="2:32" x14ac:dyDescent="0.35">
      <c r="B26" s="142">
        <v>46050</v>
      </c>
      <c r="C26" s="67" t="s">
        <v>210</v>
      </c>
      <c r="D26" s="54" t="s">
        <v>420</v>
      </c>
      <c r="E26" s="145">
        <v>1623.4179999999999</v>
      </c>
      <c r="F26" s="144">
        <v>1622.884</v>
      </c>
      <c r="G26" s="38">
        <f t="shared" si="0"/>
        <v>-0.53399999999987813</v>
      </c>
      <c r="H26" s="120">
        <f t="shared" si="1"/>
        <v>-3.2893561608894205E-4</v>
      </c>
      <c r="I26" s="42">
        <v>4371.6949999999997</v>
      </c>
      <c r="J26" s="42">
        <v>4325</v>
      </c>
      <c r="K26" s="41">
        <f t="shared" si="2"/>
        <v>-46.694999999999709</v>
      </c>
      <c r="L26" s="37">
        <f t="shared" si="3"/>
        <v>-1.0681211749675975E-2</v>
      </c>
      <c r="M26" s="141">
        <f t="shared" si="4"/>
        <v>7.0970883535099984</v>
      </c>
      <c r="N26" s="119">
        <f t="shared" si="5"/>
        <v>7.0189732999999999</v>
      </c>
      <c r="O26" s="118">
        <f t="shared" si="6"/>
        <v>-7.8115053509998589E-2</v>
      </c>
      <c r="P26" s="37">
        <f t="shared" si="7"/>
        <v>-1.1006633934797404E-2</v>
      </c>
      <c r="Q26" s="47">
        <v>774967.88300000003</v>
      </c>
      <c r="R26" s="42">
        <v>774779</v>
      </c>
      <c r="S26" s="41">
        <f t="shared" si="8"/>
        <v>-188.88300000003073</v>
      </c>
      <c r="T26" s="37">
        <f t="shared" si="9"/>
        <v>-2.437301004898944E-4</v>
      </c>
      <c r="U26" s="40">
        <f t="shared" si="10"/>
        <v>1258.096810684094</v>
      </c>
      <c r="V26" s="39">
        <f t="shared" si="11"/>
        <v>1257.3764426359999</v>
      </c>
      <c r="W26" s="38">
        <f t="shared" si="12"/>
        <v>-0.7203680480940875</v>
      </c>
      <c r="X26" s="37">
        <f t="shared" si="13"/>
        <v>-5.7258554506817735E-4</v>
      </c>
      <c r="Y26" s="197"/>
      <c r="Z26" s="188"/>
      <c r="AA26" s="188"/>
      <c r="AB26" s="188"/>
      <c r="AC26" s="188"/>
      <c r="AD26" s="188"/>
      <c r="AE26" s="188"/>
      <c r="AF26" s="198"/>
    </row>
    <row r="27" spans="2:32" x14ac:dyDescent="0.35">
      <c r="B27" s="142">
        <v>46050</v>
      </c>
      <c r="C27" s="67" t="s">
        <v>206</v>
      </c>
      <c r="D27" s="54" t="s">
        <v>419</v>
      </c>
      <c r="E27" s="145">
        <v>1657.297</v>
      </c>
      <c r="F27" s="144">
        <v>1657.6389999999999</v>
      </c>
      <c r="G27" s="38">
        <f t="shared" si="0"/>
        <v>0.34199999999987085</v>
      </c>
      <c r="H27" s="120">
        <f t="shared" si="1"/>
        <v>2.0636011529609409E-4</v>
      </c>
      <c r="I27" s="42">
        <v>4607.9709999999995</v>
      </c>
      <c r="J27" s="42">
        <v>4555</v>
      </c>
      <c r="K27" s="41">
        <f t="shared" si="2"/>
        <v>-52.970999999999549</v>
      </c>
      <c r="L27" s="37">
        <f t="shared" si="3"/>
        <v>-1.1495515054239611E-2</v>
      </c>
      <c r="M27" s="141">
        <f t="shared" si="4"/>
        <v>7.636776514386999</v>
      </c>
      <c r="N27" s="119">
        <f t="shared" si="5"/>
        <v>7.5505456449999997</v>
      </c>
      <c r="O27" s="118">
        <f t="shared" si="6"/>
        <v>-8.6230869386999309E-2</v>
      </c>
      <c r="P27" s="37">
        <f t="shared" si="7"/>
        <v>-1.1291527154755428E-2</v>
      </c>
      <c r="Q27" s="47">
        <v>785260.076</v>
      </c>
      <c r="R27" s="42">
        <v>787158</v>
      </c>
      <c r="S27" s="41">
        <f t="shared" si="8"/>
        <v>1897.9239999999991</v>
      </c>
      <c r="T27" s="37">
        <f t="shared" si="9"/>
        <v>2.4169368315116011E-3</v>
      </c>
      <c r="U27" s="40">
        <f t="shared" si="10"/>
        <v>1301.409168174572</v>
      </c>
      <c r="V27" s="39">
        <f t="shared" si="11"/>
        <v>1304.8237999619998</v>
      </c>
      <c r="W27" s="38">
        <f t="shared" si="12"/>
        <v>3.4146317874278793</v>
      </c>
      <c r="X27" s="37">
        <f t="shared" si="13"/>
        <v>2.623795706170896E-3</v>
      </c>
      <c r="Y27" s="199"/>
      <c r="Z27" s="200"/>
      <c r="AA27" s="200"/>
      <c r="AB27" s="200"/>
      <c r="AC27" s="200"/>
      <c r="AD27" s="200"/>
      <c r="AE27" s="200"/>
      <c r="AF27" s="201"/>
    </row>
    <row r="28" spans="2:32" x14ac:dyDescent="0.35">
      <c r="B28" s="142">
        <v>46053</v>
      </c>
      <c r="C28" s="67" t="s">
        <v>203</v>
      </c>
      <c r="D28" s="54" t="s">
        <v>418</v>
      </c>
      <c r="E28" s="145">
        <v>1718.6669999999999</v>
      </c>
      <c r="F28" s="144">
        <v>1719.0409999999999</v>
      </c>
      <c r="G28" s="38">
        <f t="shared" si="0"/>
        <v>0.37400000000002365</v>
      </c>
      <c r="H28" s="120">
        <f t="shared" si="1"/>
        <v>2.1761050860930224E-4</v>
      </c>
      <c r="I28" s="42">
        <v>5140</v>
      </c>
      <c r="J28" s="42">
        <v>5157</v>
      </c>
      <c r="K28" s="41">
        <f t="shared" si="2"/>
        <v>17</v>
      </c>
      <c r="L28" s="37">
        <f t="shared" si="3"/>
        <v>3.3073929961089494E-3</v>
      </c>
      <c r="M28" s="141">
        <f t="shared" si="4"/>
        <v>8.8339483799999989</v>
      </c>
      <c r="N28" s="119">
        <f t="shared" si="5"/>
        <v>8.8650944369999998</v>
      </c>
      <c r="O28" s="118">
        <f t="shared" si="6"/>
        <v>3.1146057000000837E-2</v>
      </c>
      <c r="P28" s="37">
        <f t="shared" si="7"/>
        <v>3.5257232281903873E-3</v>
      </c>
      <c r="Q28" s="47">
        <v>833854</v>
      </c>
      <c r="R28" s="42">
        <v>832978</v>
      </c>
      <c r="S28" s="41">
        <f t="shared" si="8"/>
        <v>-876</v>
      </c>
      <c r="T28" s="37">
        <f t="shared" si="9"/>
        <v>-1.0505436203460078E-3</v>
      </c>
      <c r="U28" s="40">
        <f t="shared" si="10"/>
        <v>1433.117352618</v>
      </c>
      <c r="V28" s="39">
        <f t="shared" si="11"/>
        <v>1431.9233340979999</v>
      </c>
      <c r="W28" s="38">
        <f t="shared" si="12"/>
        <v>-1.1940185200000997</v>
      </c>
      <c r="X28" s="37">
        <f t="shared" si="13"/>
        <v>-8.3316172106832865E-4</v>
      </c>
      <c r="Y28" s="202" t="s">
        <v>393</v>
      </c>
      <c r="Z28" s="203"/>
      <c r="AA28" s="203"/>
      <c r="AB28" s="203"/>
      <c r="AC28" s="203"/>
      <c r="AD28" s="203"/>
      <c r="AE28" s="203"/>
      <c r="AF28" s="204"/>
    </row>
    <row r="29" spans="2:32" x14ac:dyDescent="0.35">
      <c r="B29" s="142">
        <v>46053</v>
      </c>
      <c r="C29" s="67" t="s">
        <v>199</v>
      </c>
      <c r="D29" s="54" t="s">
        <v>417</v>
      </c>
      <c r="E29" s="145">
        <v>1486.16</v>
      </c>
      <c r="F29" s="144">
        <v>1485.8910000000001</v>
      </c>
      <c r="G29" s="38">
        <f t="shared" si="0"/>
        <v>-0.26900000000000546</v>
      </c>
      <c r="H29" s="120">
        <f t="shared" si="1"/>
        <v>-1.8100339129030889E-4</v>
      </c>
      <c r="I29" s="42">
        <v>5022</v>
      </c>
      <c r="J29" s="42">
        <v>5075</v>
      </c>
      <c r="K29" s="41">
        <f t="shared" si="2"/>
        <v>53</v>
      </c>
      <c r="L29" s="37">
        <f t="shared" si="3"/>
        <v>1.0553564317005177E-2</v>
      </c>
      <c r="M29" s="141">
        <f t="shared" si="4"/>
        <v>7.4634955200000004</v>
      </c>
      <c r="N29" s="119">
        <f t="shared" si="5"/>
        <v>7.5408968249999999</v>
      </c>
      <c r="O29" s="118">
        <f t="shared" si="6"/>
        <v>7.7401304999999532E-2</v>
      </c>
      <c r="P29" s="37">
        <f t="shared" si="7"/>
        <v>1.0370650694783231E-2</v>
      </c>
      <c r="Q29" s="47">
        <v>856727</v>
      </c>
      <c r="R29" s="42">
        <v>858536</v>
      </c>
      <c r="S29" s="41">
        <f t="shared" si="8"/>
        <v>1809</v>
      </c>
      <c r="T29" s="37">
        <f t="shared" si="9"/>
        <v>2.1115244412747585E-3</v>
      </c>
      <c r="U29" s="40">
        <f t="shared" si="10"/>
        <v>1273.2333983200001</v>
      </c>
      <c r="V29" s="39">
        <f t="shared" si="11"/>
        <v>1275.690915576</v>
      </c>
      <c r="W29" s="38">
        <f t="shared" si="12"/>
        <v>2.4575172559998464</v>
      </c>
      <c r="X29" s="37">
        <f t="shared" si="13"/>
        <v>1.9301388568996694E-3</v>
      </c>
      <c r="Y29" s="202" t="s">
        <v>393</v>
      </c>
      <c r="Z29" s="203"/>
      <c r="AA29" s="203"/>
      <c r="AB29" s="203"/>
      <c r="AC29" s="203"/>
      <c r="AD29" s="203"/>
      <c r="AE29" s="203"/>
      <c r="AF29" s="204"/>
    </row>
    <row r="30" spans="2:32" x14ac:dyDescent="0.35">
      <c r="B30" s="142">
        <v>46053</v>
      </c>
      <c r="C30" s="67" t="s">
        <v>196</v>
      </c>
      <c r="D30" s="54" t="s">
        <v>416</v>
      </c>
      <c r="E30" s="145">
        <v>1134.453</v>
      </c>
      <c r="F30" s="144">
        <v>1134.028</v>
      </c>
      <c r="G30" s="38">
        <f t="shared" si="0"/>
        <v>-0.42499999999995453</v>
      </c>
      <c r="H30" s="120">
        <f t="shared" si="1"/>
        <v>-3.7462988770795664E-4</v>
      </c>
      <c r="I30" s="42">
        <v>4967</v>
      </c>
      <c r="J30" s="42">
        <v>5108</v>
      </c>
      <c r="K30" s="41">
        <f t="shared" si="2"/>
        <v>141</v>
      </c>
      <c r="L30" s="37">
        <f t="shared" si="3"/>
        <v>2.8387356553251461E-2</v>
      </c>
      <c r="M30" s="141">
        <f t="shared" si="4"/>
        <v>5.6348280510000004</v>
      </c>
      <c r="N30" s="119">
        <f t="shared" si="5"/>
        <v>5.7926150239999998</v>
      </c>
      <c r="O30" s="118">
        <f t="shared" si="6"/>
        <v>0.15778697299999944</v>
      </c>
      <c r="P30" s="37">
        <f t="shared" si="7"/>
        <v>2.8002091913345489E-2</v>
      </c>
      <c r="Q30" s="47">
        <v>866836</v>
      </c>
      <c r="R30" s="42">
        <v>868360</v>
      </c>
      <c r="S30" s="41">
        <f t="shared" si="8"/>
        <v>1524</v>
      </c>
      <c r="T30" s="37">
        <f t="shared" si="9"/>
        <v>1.7581180292465933E-3</v>
      </c>
      <c r="U30" s="40">
        <f t="shared" si="10"/>
        <v>983.38470070799997</v>
      </c>
      <c r="V30" s="39">
        <f t="shared" si="11"/>
        <v>984.74455408000006</v>
      </c>
      <c r="W30" s="38">
        <f t="shared" si="12"/>
        <v>1.3598533720000887</v>
      </c>
      <c r="X30" s="37">
        <f t="shared" si="13"/>
        <v>1.3828294979788128E-3</v>
      </c>
      <c r="Y30" s="202" t="s">
        <v>393</v>
      </c>
      <c r="Z30" s="203"/>
      <c r="AA30" s="203"/>
      <c r="AB30" s="203"/>
      <c r="AC30" s="203"/>
      <c r="AD30" s="203"/>
      <c r="AE30" s="203"/>
      <c r="AF30" s="204"/>
    </row>
    <row r="31" spans="2:32" x14ac:dyDescent="0.35">
      <c r="B31" s="142">
        <v>46064</v>
      </c>
      <c r="C31" s="67" t="s">
        <v>193</v>
      </c>
      <c r="D31" s="54" t="s">
        <v>415</v>
      </c>
      <c r="E31" s="145">
        <v>1652.1320000000001</v>
      </c>
      <c r="F31" s="144">
        <v>1657.3869999999999</v>
      </c>
      <c r="G31" s="38">
        <f t="shared" si="0"/>
        <v>5.2549999999998818</v>
      </c>
      <c r="H31" s="120">
        <f t="shared" si="1"/>
        <v>3.1807385850524542E-3</v>
      </c>
      <c r="I31" s="42">
        <v>4980.415</v>
      </c>
      <c r="J31" s="42">
        <v>5046</v>
      </c>
      <c r="K31" s="41">
        <f t="shared" si="2"/>
        <v>65.585000000000036</v>
      </c>
      <c r="L31" s="37">
        <f t="shared" si="3"/>
        <v>1.3168581333081688E-2</v>
      </c>
      <c r="M31" s="141">
        <f t="shared" si="4"/>
        <v>8.2283029947799999</v>
      </c>
      <c r="N31" s="119">
        <f t="shared" si="5"/>
        <v>8.3631748019999996</v>
      </c>
      <c r="O31" s="118">
        <f t="shared" si="6"/>
        <v>0.1348718072199997</v>
      </c>
      <c r="P31" s="37">
        <f t="shared" si="7"/>
        <v>1.6391205732890705E-2</v>
      </c>
      <c r="Q31" s="47">
        <v>840920.50600000005</v>
      </c>
      <c r="R31" s="42">
        <v>844459</v>
      </c>
      <c r="S31" s="41">
        <f t="shared" si="8"/>
        <v>3538.4939999999478</v>
      </c>
      <c r="T31" s="37">
        <f t="shared" si="9"/>
        <v>4.2078816900677973E-3</v>
      </c>
      <c r="U31" s="40">
        <f t="shared" si="10"/>
        <v>1389.3116774187922</v>
      </c>
      <c r="V31" s="39">
        <f t="shared" si="11"/>
        <v>1399.5953686329999</v>
      </c>
      <c r="W31" s="38">
        <f t="shared" si="12"/>
        <v>10.283691214207693</v>
      </c>
      <c r="X31" s="37">
        <f t="shared" si="13"/>
        <v>7.4020044467730988E-3</v>
      </c>
      <c r="Y31" s="202" t="s">
        <v>299</v>
      </c>
      <c r="Z31" s="203"/>
      <c r="AA31" s="203"/>
      <c r="AB31" s="203"/>
      <c r="AC31" s="203"/>
      <c r="AD31" s="203"/>
      <c r="AE31" s="203"/>
      <c r="AF31" s="204"/>
    </row>
    <row r="32" spans="2:32" x14ac:dyDescent="0.35">
      <c r="B32" s="142">
        <v>46064</v>
      </c>
      <c r="C32" s="67" t="s">
        <v>190</v>
      </c>
      <c r="D32" s="54" t="s">
        <v>414</v>
      </c>
      <c r="E32" s="145">
        <v>1732.2729999999999</v>
      </c>
      <c r="F32" s="144">
        <v>1731.068</v>
      </c>
      <c r="G32" s="38">
        <f t="shared" si="0"/>
        <v>-1.2049999999999272</v>
      </c>
      <c r="H32" s="120">
        <f t="shared" si="1"/>
        <v>-6.9561783852771899E-4</v>
      </c>
      <c r="I32" s="42">
        <v>3652</v>
      </c>
      <c r="J32" s="42">
        <v>3585</v>
      </c>
      <c r="K32" s="41">
        <f t="shared" si="2"/>
        <v>-67</v>
      </c>
      <c r="L32" s="37">
        <f t="shared" si="3"/>
        <v>-1.8346111719605696E-2</v>
      </c>
      <c r="M32" s="141">
        <f t="shared" si="4"/>
        <v>6.3262609959999994</v>
      </c>
      <c r="N32" s="119">
        <f t="shared" si="5"/>
        <v>6.2058787799999999</v>
      </c>
      <c r="O32" s="118">
        <f t="shared" si="6"/>
        <v>-0.12038221599999943</v>
      </c>
      <c r="P32" s="37">
        <f t="shared" si="7"/>
        <v>-1.9028967675553586E-2</v>
      </c>
      <c r="Q32" s="47">
        <v>838546</v>
      </c>
      <c r="R32" s="42">
        <v>831853</v>
      </c>
      <c r="S32" s="41">
        <f t="shared" si="8"/>
        <v>-6693</v>
      </c>
      <c r="T32" s="37">
        <f t="shared" si="9"/>
        <v>-7.9816730388076497E-3</v>
      </c>
      <c r="U32" s="40">
        <f t="shared" si="10"/>
        <v>1452.590595058</v>
      </c>
      <c r="V32" s="39">
        <f t="shared" si="11"/>
        <v>1439.9941090039999</v>
      </c>
      <c r="W32" s="38">
        <f t="shared" si="12"/>
        <v>-12.596486054000025</v>
      </c>
      <c r="X32" s="37">
        <f t="shared" si="13"/>
        <v>-8.6717386831883375E-3</v>
      </c>
      <c r="Y32" s="202" t="s">
        <v>393</v>
      </c>
      <c r="Z32" s="203"/>
      <c r="AA32" s="203"/>
      <c r="AB32" s="203"/>
      <c r="AC32" s="203"/>
      <c r="AD32" s="203"/>
      <c r="AE32" s="203"/>
      <c r="AF32" s="204"/>
    </row>
    <row r="33" spans="2:32" x14ac:dyDescent="0.35">
      <c r="B33" s="142">
        <v>46064</v>
      </c>
      <c r="C33" s="67" t="s">
        <v>186</v>
      </c>
      <c r="D33" s="54" t="s">
        <v>413</v>
      </c>
      <c r="E33" s="145">
        <v>1598.8489999999999</v>
      </c>
      <c r="F33" s="144">
        <v>1592.3689999999999</v>
      </c>
      <c r="G33" s="38">
        <f t="shared" si="0"/>
        <v>-6.4800000000000182</v>
      </c>
      <c r="H33" s="120">
        <f t="shared" si="1"/>
        <v>-4.0529155661354005E-3</v>
      </c>
      <c r="I33" s="42">
        <v>4434</v>
      </c>
      <c r="J33" s="42">
        <v>4344</v>
      </c>
      <c r="K33" s="41">
        <f t="shared" si="2"/>
        <v>-90</v>
      </c>
      <c r="L33" s="37">
        <f t="shared" si="3"/>
        <v>-2.0297699594046009E-2</v>
      </c>
      <c r="M33" s="141">
        <f t="shared" si="4"/>
        <v>7.0892964660000004</v>
      </c>
      <c r="N33" s="119">
        <f t="shared" si="5"/>
        <v>6.9172509359999994</v>
      </c>
      <c r="O33" s="118">
        <f t="shared" si="6"/>
        <v>-0.172045530000001</v>
      </c>
      <c r="P33" s="37">
        <f t="shared" si="7"/>
        <v>-2.4268350297540087E-2</v>
      </c>
      <c r="Q33" s="47">
        <v>828174</v>
      </c>
      <c r="R33" s="42">
        <v>790048</v>
      </c>
      <c r="S33" s="41">
        <f t="shared" si="8"/>
        <v>-38126</v>
      </c>
      <c r="T33" s="37">
        <f t="shared" si="9"/>
        <v>-4.6036219441808121E-2</v>
      </c>
      <c r="U33" s="40">
        <f t="shared" si="10"/>
        <v>1324.1251717259997</v>
      </c>
      <c r="V33" s="39">
        <f t="shared" si="11"/>
        <v>1258.047943712</v>
      </c>
      <c r="W33" s="38">
        <f t="shared" si="12"/>
        <v>-66.077228013999729</v>
      </c>
      <c r="X33" s="37">
        <f t="shared" si="13"/>
        <v>-4.9902554097561586E-2</v>
      </c>
      <c r="Y33" s="202" t="s">
        <v>412</v>
      </c>
      <c r="Z33" s="203"/>
      <c r="AA33" s="203"/>
      <c r="AB33" s="203"/>
      <c r="AC33" s="203"/>
      <c r="AD33" s="203"/>
      <c r="AE33" s="203"/>
      <c r="AF33" s="204"/>
    </row>
    <row r="34" spans="2:32" x14ac:dyDescent="0.35">
      <c r="B34" s="142">
        <v>46067</v>
      </c>
      <c r="C34" s="67" t="s">
        <v>411</v>
      </c>
      <c r="D34" s="54" t="s">
        <v>410</v>
      </c>
      <c r="E34" s="145">
        <v>1626.325</v>
      </c>
      <c r="F34" s="144">
        <v>1622.9290000000001</v>
      </c>
      <c r="G34" s="38">
        <f t="shared" si="0"/>
        <v>-3.3959999999999582</v>
      </c>
      <c r="H34" s="120">
        <f t="shared" si="1"/>
        <v>-2.0881435137503008E-3</v>
      </c>
      <c r="I34" s="42">
        <v>4553</v>
      </c>
      <c r="J34" s="42">
        <v>4471</v>
      </c>
      <c r="K34" s="41">
        <f t="shared" si="2"/>
        <v>-82</v>
      </c>
      <c r="L34" s="37">
        <f t="shared" si="3"/>
        <v>-1.8010103228640457E-2</v>
      </c>
      <c r="M34" s="141">
        <f t="shared" si="4"/>
        <v>7.4046577250000007</v>
      </c>
      <c r="N34" s="119">
        <f t="shared" si="5"/>
        <v>7.2561155590000004</v>
      </c>
      <c r="O34" s="118">
        <f t="shared" si="6"/>
        <v>-0.14854216600000036</v>
      </c>
      <c r="P34" s="37">
        <f t="shared" si="7"/>
        <v>-2.0060639062151973E-2</v>
      </c>
      <c r="Q34" s="47">
        <v>832168</v>
      </c>
      <c r="R34" s="42">
        <v>827910</v>
      </c>
      <c r="S34" s="41">
        <f t="shared" si="8"/>
        <v>-4258</v>
      </c>
      <c r="T34" s="37">
        <f t="shared" si="9"/>
        <v>-5.1167552705703653E-3</v>
      </c>
      <c r="U34" s="40">
        <f t="shared" si="10"/>
        <v>1353.3756226</v>
      </c>
      <c r="V34" s="39">
        <f t="shared" si="11"/>
        <v>1343.6391483900002</v>
      </c>
      <c r="W34" s="38">
        <f t="shared" si="12"/>
        <v>-9.7364742099998693</v>
      </c>
      <c r="X34" s="37">
        <f t="shared" si="13"/>
        <v>-7.1942142649909059E-3</v>
      </c>
      <c r="Y34" s="202" t="s">
        <v>393</v>
      </c>
      <c r="Z34" s="203"/>
      <c r="AA34" s="203"/>
      <c r="AB34" s="203"/>
      <c r="AC34" s="203"/>
      <c r="AD34" s="203"/>
      <c r="AE34" s="203"/>
      <c r="AF34" s="204"/>
    </row>
    <row r="35" spans="2:32" x14ac:dyDescent="0.35">
      <c r="B35" s="142">
        <v>46067</v>
      </c>
      <c r="C35" s="67" t="s">
        <v>181</v>
      </c>
      <c r="D35" s="54" t="s">
        <v>409</v>
      </c>
      <c r="E35" s="145">
        <v>1627.6220000000001</v>
      </c>
      <c r="F35" s="144">
        <v>1626.9929999999999</v>
      </c>
      <c r="G35" s="38">
        <f t="shared" si="0"/>
        <v>-0.62900000000013279</v>
      </c>
      <c r="H35" s="120">
        <f t="shared" si="1"/>
        <v>-3.864533657078442E-4</v>
      </c>
      <c r="I35" s="42">
        <v>4584</v>
      </c>
      <c r="J35" s="42">
        <v>4419</v>
      </c>
      <c r="K35" s="41">
        <f t="shared" si="2"/>
        <v>-165</v>
      </c>
      <c r="L35" s="37">
        <f t="shared" si="3"/>
        <v>-3.5994764397905762E-2</v>
      </c>
      <c r="M35" s="141">
        <f t="shared" si="4"/>
        <v>7.4610192480000004</v>
      </c>
      <c r="N35" s="119">
        <f t="shared" si="5"/>
        <v>7.1896820669999997</v>
      </c>
      <c r="O35" s="118">
        <f t="shared" si="6"/>
        <v>-0.2713371810000007</v>
      </c>
      <c r="P35" s="37">
        <f t="shared" si="7"/>
        <v>-3.6367307465764186E-2</v>
      </c>
      <c r="Q35" s="47">
        <v>813624</v>
      </c>
      <c r="R35" s="42">
        <v>814615</v>
      </c>
      <c r="S35" s="41">
        <f t="shared" si="8"/>
        <v>991</v>
      </c>
      <c r="T35" s="37">
        <f t="shared" si="9"/>
        <v>1.2180073350835274E-3</v>
      </c>
      <c r="U35" s="40">
        <f t="shared" si="10"/>
        <v>1324.272322128</v>
      </c>
      <c r="V35" s="39">
        <f t="shared" si="11"/>
        <v>1325.372902695</v>
      </c>
      <c r="W35" s="38">
        <f t="shared" si="12"/>
        <v>1.1005805669999518</v>
      </c>
      <c r="X35" s="37">
        <f t="shared" si="13"/>
        <v>8.310832663416287E-4</v>
      </c>
      <c r="Y35" s="202" t="s">
        <v>408</v>
      </c>
      <c r="Z35" s="203"/>
      <c r="AA35" s="203"/>
      <c r="AB35" s="203"/>
      <c r="AC35" s="203"/>
      <c r="AD35" s="203"/>
      <c r="AE35" s="203"/>
      <c r="AF35" s="204"/>
    </row>
    <row r="36" spans="2:32" ht="14.25" customHeight="1" x14ac:dyDescent="0.35">
      <c r="B36" s="142">
        <v>46067</v>
      </c>
      <c r="C36" s="136" t="s">
        <v>178</v>
      </c>
      <c r="D36" s="54" t="s">
        <v>407</v>
      </c>
      <c r="E36" s="145">
        <v>1556.741</v>
      </c>
      <c r="F36" s="144">
        <v>1551.82</v>
      </c>
      <c r="G36" s="38">
        <f t="shared" si="0"/>
        <v>-4.9210000000000491</v>
      </c>
      <c r="H36" s="120">
        <f t="shared" si="1"/>
        <v>-3.161091022848405E-3</v>
      </c>
      <c r="I36" s="147">
        <v>4624</v>
      </c>
      <c r="J36" s="147">
        <v>4858</v>
      </c>
      <c r="K36" s="146">
        <f t="shared" si="2"/>
        <v>234</v>
      </c>
      <c r="L36" s="37">
        <f t="shared" si="3"/>
        <v>5.0605536332179929E-2</v>
      </c>
      <c r="M36" s="141">
        <f t="shared" si="4"/>
        <v>7.1983703839999995</v>
      </c>
      <c r="N36" s="119">
        <f t="shared" si="5"/>
        <v>7.5387415599999992</v>
      </c>
      <c r="O36" s="118">
        <f t="shared" si="6"/>
        <v>0.34037117599999966</v>
      </c>
      <c r="P36" s="37">
        <f t="shared" si="7"/>
        <v>4.7284476602725431E-2</v>
      </c>
      <c r="Q36" s="148">
        <v>782490</v>
      </c>
      <c r="R36" s="147">
        <v>744779</v>
      </c>
      <c r="S36" s="146">
        <f t="shared" si="8"/>
        <v>-37711</v>
      </c>
      <c r="T36" s="37">
        <f t="shared" si="9"/>
        <v>-4.8193587138493782E-2</v>
      </c>
      <c r="U36" s="40">
        <f t="shared" si="10"/>
        <v>1218.1342650899999</v>
      </c>
      <c r="V36" s="39">
        <f t="shared" si="11"/>
        <v>1155.7629477799999</v>
      </c>
      <c r="W36" s="38">
        <f t="shared" si="12"/>
        <v>-62.371317309999995</v>
      </c>
      <c r="X36" s="37">
        <f t="shared" si="13"/>
        <v>-5.1202333845679807E-2</v>
      </c>
      <c r="Y36" s="202" t="s">
        <v>406</v>
      </c>
      <c r="Z36" s="203"/>
      <c r="AA36" s="203"/>
      <c r="AB36" s="203"/>
      <c r="AC36" s="203"/>
      <c r="AD36" s="203"/>
      <c r="AE36" s="203"/>
      <c r="AF36" s="204"/>
    </row>
    <row r="37" spans="2:32" x14ac:dyDescent="0.35">
      <c r="B37" s="142">
        <v>46072</v>
      </c>
      <c r="C37" s="67" t="s">
        <v>175</v>
      </c>
      <c r="D37" s="54" t="s">
        <v>405</v>
      </c>
      <c r="E37" s="145">
        <v>1636.086</v>
      </c>
      <c r="F37" s="144">
        <v>1631.827</v>
      </c>
      <c r="G37" s="38">
        <f t="shared" si="0"/>
        <v>-4.2590000000000146</v>
      </c>
      <c r="H37" s="120">
        <f t="shared" si="1"/>
        <v>-2.6031638923626351E-3</v>
      </c>
      <c r="I37" s="42">
        <v>4919.942</v>
      </c>
      <c r="J37" s="42">
        <v>5058</v>
      </c>
      <c r="K37" s="41">
        <f t="shared" si="2"/>
        <v>138.05799999999999</v>
      </c>
      <c r="L37" s="37">
        <f t="shared" si="3"/>
        <v>2.8060899904917575E-2</v>
      </c>
      <c r="M37" s="141">
        <f t="shared" si="4"/>
        <v>8.0494482270120002</v>
      </c>
      <c r="N37" s="119">
        <f t="shared" si="5"/>
        <v>8.2537809660000008</v>
      </c>
      <c r="O37" s="118">
        <f t="shared" si="6"/>
        <v>0.20433273898800053</v>
      </c>
      <c r="P37" s="37">
        <f t="shared" si="7"/>
        <v>2.5384688891135335E-2</v>
      </c>
      <c r="Q37" s="47">
        <v>783501.946</v>
      </c>
      <c r="R37" s="42">
        <v>790801</v>
      </c>
      <c r="S37" s="41">
        <f t="shared" si="8"/>
        <v>7299.0540000000037</v>
      </c>
      <c r="T37" s="37">
        <f t="shared" si="9"/>
        <v>9.3159360193854623E-3</v>
      </c>
      <c r="U37" s="40">
        <f t="shared" si="10"/>
        <v>1281.8765648233559</v>
      </c>
      <c r="V37" s="39">
        <f t="shared" si="11"/>
        <v>1290.450423427</v>
      </c>
      <c r="W37" s="38">
        <f t="shared" si="12"/>
        <v>8.573858603644112</v>
      </c>
      <c r="X37" s="37">
        <f t="shared" si="13"/>
        <v>6.6885212187536951E-3</v>
      </c>
      <c r="Y37" s="202" t="s">
        <v>373</v>
      </c>
      <c r="Z37" s="203"/>
      <c r="AA37" s="203"/>
      <c r="AB37" s="203"/>
      <c r="AC37" s="203"/>
      <c r="AD37" s="203"/>
      <c r="AE37" s="203"/>
      <c r="AF37" s="204"/>
    </row>
    <row r="38" spans="2:32" x14ac:dyDescent="0.35">
      <c r="B38" s="142">
        <v>46072</v>
      </c>
      <c r="C38" s="67" t="s">
        <v>172</v>
      </c>
      <c r="D38" s="54" t="s">
        <v>404</v>
      </c>
      <c r="E38" s="145">
        <v>1761.9659999999999</v>
      </c>
      <c r="F38" s="144">
        <v>1739.6880000000001</v>
      </c>
      <c r="G38" s="38">
        <f t="shared" si="0"/>
        <v>-22.277999999999793</v>
      </c>
      <c r="H38" s="120">
        <f t="shared" si="1"/>
        <v>-1.2643830811718156E-2</v>
      </c>
      <c r="I38" s="42">
        <v>4989.1040000000003</v>
      </c>
      <c r="J38" s="42">
        <v>5122</v>
      </c>
      <c r="K38" s="41">
        <f t="shared" si="2"/>
        <v>132.89599999999973</v>
      </c>
      <c r="L38" s="37">
        <f t="shared" si="3"/>
        <v>2.6637247890603146E-2</v>
      </c>
      <c r="M38" s="141">
        <f t="shared" si="4"/>
        <v>8.7906316184640012</v>
      </c>
      <c r="N38" s="119">
        <f t="shared" si="5"/>
        <v>8.9106819360000014</v>
      </c>
      <c r="O38" s="118">
        <f t="shared" si="6"/>
        <v>0.12005031753600015</v>
      </c>
      <c r="P38" s="37">
        <f t="shared" si="7"/>
        <v>1.3656620223266358E-2</v>
      </c>
      <c r="Q38" s="47">
        <v>816929.81900000002</v>
      </c>
      <c r="R38" s="42">
        <v>833698</v>
      </c>
      <c r="S38" s="41">
        <f t="shared" si="8"/>
        <v>16768.180999999982</v>
      </c>
      <c r="T38" s="37">
        <f t="shared" si="9"/>
        <v>2.052585253960473E-2</v>
      </c>
      <c r="U38" s="40">
        <f t="shared" si="10"/>
        <v>1439.4025654641539</v>
      </c>
      <c r="V38" s="39">
        <f t="shared" si="11"/>
        <v>1450.374406224</v>
      </c>
      <c r="W38" s="38">
        <f t="shared" si="12"/>
        <v>10.971840759846145</v>
      </c>
      <c r="X38" s="37">
        <f t="shared" si="13"/>
        <v>7.6224963211095386E-3</v>
      </c>
      <c r="Y38" s="202" t="s">
        <v>299</v>
      </c>
      <c r="Z38" s="203"/>
      <c r="AA38" s="203"/>
      <c r="AB38" s="203"/>
      <c r="AC38" s="203"/>
      <c r="AD38" s="203"/>
      <c r="AE38" s="203"/>
      <c r="AF38" s="204"/>
    </row>
    <row r="39" spans="2:32" x14ac:dyDescent="0.35">
      <c r="B39" s="142">
        <v>46072</v>
      </c>
      <c r="C39" s="67" t="s">
        <v>169</v>
      </c>
      <c r="D39" s="54" t="s">
        <v>403</v>
      </c>
      <c r="E39" s="145">
        <v>1645.3889999999999</v>
      </c>
      <c r="F39" s="144">
        <v>1644.134</v>
      </c>
      <c r="G39" s="38">
        <f t="shared" si="0"/>
        <v>-1.2549999999998818</v>
      </c>
      <c r="H39" s="120">
        <f t="shared" si="1"/>
        <v>-7.6273756540239535E-4</v>
      </c>
      <c r="I39" s="42">
        <v>5143</v>
      </c>
      <c r="J39" s="42">
        <v>5143</v>
      </c>
      <c r="K39" s="41">
        <f t="shared" si="2"/>
        <v>0</v>
      </c>
      <c r="L39" s="37" t="str">
        <f t="shared" si="3"/>
        <v/>
      </c>
      <c r="M39" s="141">
        <f t="shared" si="4"/>
        <v>8.4622356270000001</v>
      </c>
      <c r="N39" s="119">
        <f t="shared" si="5"/>
        <v>8.455781162000001</v>
      </c>
      <c r="O39" s="118">
        <f t="shared" si="6"/>
        <v>-6.4544649999991321E-3</v>
      </c>
      <c r="P39" s="37">
        <f t="shared" si="7"/>
        <v>-7.6273756540236456E-4</v>
      </c>
      <c r="Q39" s="47">
        <v>841782</v>
      </c>
      <c r="R39" s="42">
        <v>843893</v>
      </c>
      <c r="S39" s="41">
        <f t="shared" si="8"/>
        <v>2111</v>
      </c>
      <c r="T39" s="37">
        <f t="shared" si="9"/>
        <v>2.5077751721942262E-3</v>
      </c>
      <c r="U39" s="40">
        <f t="shared" si="10"/>
        <v>1385.058843198</v>
      </c>
      <c r="V39" s="39">
        <f t="shared" si="11"/>
        <v>1387.4731736619999</v>
      </c>
      <c r="W39" s="38">
        <f t="shared" si="12"/>
        <v>2.4143304639999315</v>
      </c>
      <c r="X39" s="37">
        <f t="shared" si="13"/>
        <v>1.7431248324622933E-3</v>
      </c>
      <c r="Y39" s="202" t="s">
        <v>393</v>
      </c>
      <c r="Z39" s="203"/>
      <c r="AA39" s="203"/>
      <c r="AB39" s="203"/>
      <c r="AC39" s="203"/>
      <c r="AD39" s="203"/>
      <c r="AE39" s="203"/>
      <c r="AF39" s="204"/>
    </row>
    <row r="40" spans="2:32" x14ac:dyDescent="0.35">
      <c r="B40" s="142">
        <v>46077</v>
      </c>
      <c r="C40" s="67" t="s">
        <v>161</v>
      </c>
      <c r="D40" s="54" t="s">
        <v>402</v>
      </c>
      <c r="E40" s="145">
        <v>1587.8510000000001</v>
      </c>
      <c r="F40" s="144">
        <v>1584.7550000000001</v>
      </c>
      <c r="G40" s="38">
        <f t="shared" si="0"/>
        <v>-3.0960000000000036</v>
      </c>
      <c r="H40" s="120">
        <f t="shared" si="1"/>
        <v>-1.9498051139559085E-3</v>
      </c>
      <c r="I40" s="42">
        <v>4786.7020000000002</v>
      </c>
      <c r="J40" s="42">
        <v>4824</v>
      </c>
      <c r="K40" s="41">
        <f t="shared" si="2"/>
        <v>37.297999999999774</v>
      </c>
      <c r="L40" s="37">
        <f t="shared" si="3"/>
        <v>7.7920037637604711E-3</v>
      </c>
      <c r="M40" s="141">
        <f t="shared" si="4"/>
        <v>7.6005695574020011</v>
      </c>
      <c r="N40" s="119">
        <f t="shared" si="5"/>
        <v>7.6448581200000003</v>
      </c>
      <c r="O40" s="118">
        <f t="shared" si="6"/>
        <v>4.4288562597999181E-2</v>
      </c>
      <c r="P40" s="37">
        <f t="shared" si="7"/>
        <v>5.8270057610179593E-3</v>
      </c>
      <c r="Q40" s="47">
        <v>745818.50600000005</v>
      </c>
      <c r="R40" s="42">
        <v>749568</v>
      </c>
      <c r="S40" s="41">
        <f t="shared" si="8"/>
        <v>3749.4939999999478</v>
      </c>
      <c r="T40" s="37">
        <f t="shared" si="9"/>
        <v>5.0273544700698905E-3</v>
      </c>
      <c r="U40" s="40">
        <f t="shared" si="10"/>
        <v>1184.2486605706063</v>
      </c>
      <c r="V40" s="39">
        <f t="shared" si="11"/>
        <v>1187.8816358400002</v>
      </c>
      <c r="W40" s="38">
        <f t="shared" si="12"/>
        <v>3.6329752693939099</v>
      </c>
      <c r="X40" s="37">
        <f t="shared" si="13"/>
        <v>3.0677469946585661E-3</v>
      </c>
      <c r="Y40" s="202" t="s">
        <v>299</v>
      </c>
      <c r="Z40" s="203"/>
      <c r="AA40" s="203"/>
      <c r="AB40" s="203"/>
      <c r="AC40" s="203"/>
      <c r="AD40" s="203"/>
      <c r="AE40" s="203"/>
      <c r="AF40" s="204"/>
    </row>
    <row r="41" spans="2:32" x14ac:dyDescent="0.35">
      <c r="B41" s="142">
        <v>46077</v>
      </c>
      <c r="C41" s="67" t="s">
        <v>401</v>
      </c>
      <c r="D41" s="54" t="s">
        <v>400</v>
      </c>
      <c r="E41" s="145">
        <v>1675.049</v>
      </c>
      <c r="F41" s="144">
        <v>1669.896</v>
      </c>
      <c r="G41" s="38">
        <f t="shared" si="0"/>
        <v>-5.15300000000002</v>
      </c>
      <c r="H41" s="120">
        <f t="shared" si="1"/>
        <v>-3.0763279163773835E-3</v>
      </c>
      <c r="I41" s="42">
        <v>5119</v>
      </c>
      <c r="J41" s="42">
        <v>5094</v>
      </c>
      <c r="K41" s="41">
        <f t="shared" si="2"/>
        <v>-25</v>
      </c>
      <c r="L41" s="37">
        <f t="shared" si="3"/>
        <v>-4.883766360617308E-3</v>
      </c>
      <c r="M41" s="141">
        <f t="shared" si="4"/>
        <v>8.5745758310000006</v>
      </c>
      <c r="N41" s="119">
        <f t="shared" si="5"/>
        <v>8.5064502239999999</v>
      </c>
      <c r="O41" s="118">
        <f t="shared" si="6"/>
        <v>-6.8125607000000699E-2</v>
      </c>
      <c r="P41" s="37">
        <f t="shared" si="7"/>
        <v>-7.9450702102025293E-3</v>
      </c>
      <c r="Q41" s="47">
        <v>780570</v>
      </c>
      <c r="R41" s="42">
        <v>778426</v>
      </c>
      <c r="S41" s="41">
        <f t="shared" si="8"/>
        <v>-2144</v>
      </c>
      <c r="T41" s="37">
        <f t="shared" si="9"/>
        <v>-2.7467107370255069E-3</v>
      </c>
      <c r="U41" s="40">
        <f t="shared" si="10"/>
        <v>1307.49299793</v>
      </c>
      <c r="V41" s="39">
        <f t="shared" si="11"/>
        <v>1299.8904636959999</v>
      </c>
      <c r="W41" s="38">
        <f t="shared" si="12"/>
        <v>-7.6025342340001316</v>
      </c>
      <c r="X41" s="37">
        <f t="shared" si="13"/>
        <v>-5.8145888704844544E-3</v>
      </c>
      <c r="Y41" s="202" t="s">
        <v>393</v>
      </c>
      <c r="Z41" s="203"/>
      <c r="AA41" s="203"/>
      <c r="AB41" s="203"/>
      <c r="AC41" s="203"/>
      <c r="AD41" s="203"/>
      <c r="AE41" s="203"/>
      <c r="AF41" s="204"/>
    </row>
    <row r="42" spans="2:32" x14ac:dyDescent="0.35">
      <c r="B42" s="142">
        <v>46077</v>
      </c>
      <c r="C42" s="67" t="s">
        <v>164</v>
      </c>
      <c r="D42" s="54" t="s">
        <v>399</v>
      </c>
      <c r="E42" s="145">
        <v>1673.0129999999999</v>
      </c>
      <c r="F42" s="144">
        <v>1668.76</v>
      </c>
      <c r="G42" s="38">
        <f t="shared" si="0"/>
        <v>-4.2529999999999291</v>
      </c>
      <c r="H42" s="120">
        <f t="shared" si="1"/>
        <v>-2.5421201150259616E-3</v>
      </c>
      <c r="I42" s="42">
        <v>5177.4219999999996</v>
      </c>
      <c r="J42" s="42">
        <v>5301</v>
      </c>
      <c r="K42" s="41">
        <f t="shared" si="2"/>
        <v>123.57800000000043</v>
      </c>
      <c r="L42" s="37">
        <f t="shared" si="3"/>
        <v>2.3868635780510152E-2</v>
      </c>
      <c r="M42" s="141">
        <f t="shared" si="4"/>
        <v>8.6618943124859982</v>
      </c>
      <c r="N42" s="119">
        <f t="shared" si="5"/>
        <v>8.84609676</v>
      </c>
      <c r="O42" s="118">
        <f t="shared" si="6"/>
        <v>0.18420244751400183</v>
      </c>
      <c r="P42" s="37">
        <f t="shared" si="7"/>
        <v>2.1265838726348418E-2</v>
      </c>
      <c r="Q42" s="47">
        <v>759442.87100000004</v>
      </c>
      <c r="R42" s="42">
        <v>771700</v>
      </c>
      <c r="S42" s="41">
        <f t="shared" si="8"/>
        <v>12257.128999999957</v>
      </c>
      <c r="T42" s="37">
        <f t="shared" si="9"/>
        <v>1.6139632707145336E-2</v>
      </c>
      <c r="U42" s="40">
        <f t="shared" si="10"/>
        <v>1270.5577959403231</v>
      </c>
      <c r="V42" s="39">
        <f t="shared" si="11"/>
        <v>1287.7820919999999</v>
      </c>
      <c r="W42" s="38">
        <f t="shared" si="12"/>
        <v>17.224296059676817</v>
      </c>
      <c r="X42" s="37">
        <f t="shared" si="13"/>
        <v>1.3556483707165279E-2</v>
      </c>
      <c r="Y42" s="202" t="s">
        <v>299</v>
      </c>
      <c r="Z42" s="203"/>
      <c r="AA42" s="203"/>
      <c r="AB42" s="203"/>
      <c r="AC42" s="203"/>
      <c r="AD42" s="203"/>
      <c r="AE42" s="203"/>
      <c r="AF42" s="204"/>
    </row>
    <row r="43" spans="2:32" x14ac:dyDescent="0.35">
      <c r="B43" s="142">
        <v>46081</v>
      </c>
      <c r="C43" s="67" t="s">
        <v>158</v>
      </c>
      <c r="D43" s="54" t="s">
        <v>398</v>
      </c>
      <c r="E43" s="145">
        <v>1700.954</v>
      </c>
      <c r="F43" s="144">
        <v>1696.567</v>
      </c>
      <c r="G43" s="38">
        <f t="shared" si="0"/>
        <v>-4.3869999999999436</v>
      </c>
      <c r="H43" s="120">
        <f t="shared" si="1"/>
        <v>-2.5791408821167084E-3</v>
      </c>
      <c r="I43" s="42">
        <v>5500</v>
      </c>
      <c r="J43" s="42">
        <v>5429</v>
      </c>
      <c r="K43" s="41">
        <f t="shared" si="2"/>
        <v>-71</v>
      </c>
      <c r="L43" s="37">
        <f t="shared" si="3"/>
        <v>-1.2909090909090908E-2</v>
      </c>
      <c r="M43" s="141">
        <f t="shared" si="4"/>
        <v>9.3552470000000003</v>
      </c>
      <c r="N43" s="119">
        <f t="shared" si="5"/>
        <v>9.2106622430000016</v>
      </c>
      <c r="O43" s="118">
        <f t="shared" si="6"/>
        <v>-0.14458475699999873</v>
      </c>
      <c r="P43" s="37">
        <f t="shared" si="7"/>
        <v>-1.5454937427092917E-2</v>
      </c>
      <c r="Q43" s="47">
        <v>786372</v>
      </c>
      <c r="R43" s="42">
        <v>773277</v>
      </c>
      <c r="S43" s="41">
        <f t="shared" si="8"/>
        <v>-13095</v>
      </c>
      <c r="T43" s="37">
        <f t="shared" si="9"/>
        <v>-1.6652424043582428E-2</v>
      </c>
      <c r="U43" s="40">
        <f t="shared" si="10"/>
        <v>1337.5825988880001</v>
      </c>
      <c r="V43" s="39">
        <f t="shared" si="11"/>
        <v>1311.9162400590001</v>
      </c>
      <c r="W43" s="38">
        <f t="shared" si="12"/>
        <v>-25.666358829000046</v>
      </c>
      <c r="X43" s="37">
        <f t="shared" si="13"/>
        <v>-1.9188615978062054E-2</v>
      </c>
      <c r="Y43" s="202" t="s">
        <v>397</v>
      </c>
      <c r="Z43" s="203"/>
      <c r="AA43" s="203"/>
      <c r="AB43" s="203"/>
      <c r="AC43" s="203"/>
      <c r="AD43" s="203"/>
      <c r="AE43" s="203"/>
      <c r="AF43" s="204"/>
    </row>
    <row r="44" spans="2:32" x14ac:dyDescent="0.35">
      <c r="B44" s="142">
        <v>46081</v>
      </c>
      <c r="C44" s="67" t="s">
        <v>155</v>
      </c>
      <c r="D44" s="54" t="s">
        <v>396</v>
      </c>
      <c r="E44" s="145">
        <v>1734.7439999999999</v>
      </c>
      <c r="F44" s="144">
        <v>1730.1690000000001</v>
      </c>
      <c r="G44" s="38">
        <f t="shared" si="0"/>
        <v>-4.5749999999998181</v>
      </c>
      <c r="H44" s="120">
        <f t="shared" si="1"/>
        <v>-2.6372767393919899E-3</v>
      </c>
      <c r="I44" s="42">
        <v>5139.6930000000002</v>
      </c>
      <c r="J44" s="42">
        <v>5139</v>
      </c>
      <c r="K44" s="41">
        <f t="shared" si="2"/>
        <v>-0.693000000000211</v>
      </c>
      <c r="L44" s="37">
        <f t="shared" si="3"/>
        <v>-1.3483295597620538E-4</v>
      </c>
      <c r="M44" s="141">
        <f t="shared" si="4"/>
        <v>8.9160515935919999</v>
      </c>
      <c r="N44" s="119">
        <f t="shared" si="5"/>
        <v>8.8913384910000008</v>
      </c>
      <c r="O44" s="118">
        <f t="shared" si="6"/>
        <v>-2.4713102591999103E-2</v>
      </c>
      <c r="P44" s="37">
        <f t="shared" si="7"/>
        <v>-2.7717541035496593E-3</v>
      </c>
      <c r="Q44" s="47">
        <v>732620.66700000002</v>
      </c>
      <c r="R44" s="42">
        <v>735121</v>
      </c>
      <c r="S44" s="41">
        <f t="shared" si="8"/>
        <v>2500.3329999999842</v>
      </c>
      <c r="T44" s="37">
        <f t="shared" si="9"/>
        <v>3.4128616794808276E-3</v>
      </c>
      <c r="U44" s="40">
        <f t="shared" si="10"/>
        <v>1270.909306354248</v>
      </c>
      <c r="V44" s="39">
        <f t="shared" si="11"/>
        <v>1271.8835654490001</v>
      </c>
      <c r="W44" s="38">
        <f t="shared" si="12"/>
        <v>0.97425909475214212</v>
      </c>
      <c r="X44" s="37">
        <f t="shared" si="13"/>
        <v>7.6658427936680883E-4</v>
      </c>
      <c r="Y44" s="194" t="s">
        <v>299</v>
      </c>
      <c r="Z44" s="195"/>
      <c r="AA44" s="195"/>
      <c r="AB44" s="195"/>
      <c r="AC44" s="195"/>
      <c r="AD44" s="195"/>
      <c r="AE44" s="195"/>
      <c r="AF44" s="196"/>
    </row>
    <row r="45" spans="2:32" x14ac:dyDescent="0.35">
      <c r="B45" s="142">
        <v>46081</v>
      </c>
      <c r="C45" s="67" t="s">
        <v>152</v>
      </c>
      <c r="D45" s="54" t="s">
        <v>395</v>
      </c>
      <c r="E45" s="145">
        <v>1718.933</v>
      </c>
      <c r="F45" s="144">
        <v>1714.193</v>
      </c>
      <c r="G45" s="38">
        <f t="shared" ref="G45:G76" si="14">(IF(F45="","",F45-E45))</f>
        <v>-4.7400000000000091</v>
      </c>
      <c r="H45" s="120">
        <f t="shared" ref="H45:H76" si="15">IF(G45="","",G45/E45)</f>
        <v>-2.757524580655563E-3</v>
      </c>
      <c r="I45" s="42">
        <v>4845.607</v>
      </c>
      <c r="J45" s="42">
        <v>4879</v>
      </c>
      <c r="K45" s="41">
        <f t="shared" ref="K45:K76" si="16">(IF(J45="","",J45-I45))</f>
        <v>33.393000000000029</v>
      </c>
      <c r="L45" s="37">
        <f t="shared" ref="L45:L76" si="17">IF(K45="","",K45/I45)</f>
        <v>6.8913966815715823E-3</v>
      </c>
      <c r="M45" s="141">
        <f t="shared" ref="M45:M76" si="18">IF(I45="","",(E45*I45)/1000000)</f>
        <v>8.3292737773310002</v>
      </c>
      <c r="N45" s="119">
        <f t="shared" ref="N45:N76" si="19">IF(J45="","",(F45*J45)/1000000)</f>
        <v>8.3635476470000008</v>
      </c>
      <c r="O45" s="118">
        <f t="shared" ref="O45:O76" si="20">(IF(N45="","",N45-M45))</f>
        <v>3.427386966900059E-2</v>
      </c>
      <c r="P45" s="37">
        <f t="shared" ref="P45:P76" si="21">IF(O45="","",O45/M45)</f>
        <v>4.1148689051716068E-3</v>
      </c>
      <c r="Q45" s="47">
        <v>726706.01599999995</v>
      </c>
      <c r="R45" s="42">
        <v>728885</v>
      </c>
      <c r="S45" s="41">
        <f t="shared" ref="S45:S76" si="22">(IF(R45="","",R45-Q45))</f>
        <v>2178.9840000000549</v>
      </c>
      <c r="T45" s="37">
        <f t="shared" ref="T45:T76" si="23">IF(S45="","",S45/Q45)</f>
        <v>2.9984394679898386E-3</v>
      </c>
      <c r="U45" s="40">
        <f t="shared" ref="U45:U76" si="24">IF(Q45="","",(E45*Q45)/1000000)</f>
        <v>1249.1589522009281</v>
      </c>
      <c r="V45" s="39">
        <f t="shared" ref="V45:V76" si="25">IF(R45="","",(F45*R45)/1000000)</f>
        <v>1249.4495648050001</v>
      </c>
      <c r="W45" s="38">
        <f t="shared" ref="W45:W76" si="26">(IF(V45="","",V45-U45))</f>
        <v>0.29061260407206646</v>
      </c>
      <c r="X45" s="37">
        <f t="shared" ref="X45:X76" si="27">IF(W45="","",W45/U45)</f>
        <v>2.3264661679766853E-4</v>
      </c>
      <c r="Y45" s="199"/>
      <c r="Z45" s="200"/>
      <c r="AA45" s="200"/>
      <c r="AB45" s="200"/>
      <c r="AC45" s="200"/>
      <c r="AD45" s="200"/>
      <c r="AE45" s="200"/>
      <c r="AF45" s="201"/>
    </row>
    <row r="46" spans="2:32" x14ac:dyDescent="0.35">
      <c r="B46" s="142">
        <v>46092</v>
      </c>
      <c r="C46" s="67" t="s">
        <v>149</v>
      </c>
      <c r="D46" s="54" t="s">
        <v>394</v>
      </c>
      <c r="E46" s="145">
        <v>1637.6410000000001</v>
      </c>
      <c r="F46" s="144">
        <v>1631.4829999999999</v>
      </c>
      <c r="G46" s="38">
        <f t="shared" si="14"/>
        <v>-6.1580000000001291</v>
      </c>
      <c r="H46" s="120">
        <f t="shared" si="15"/>
        <v>-3.7602869004868156E-3</v>
      </c>
      <c r="I46" s="42">
        <v>4381</v>
      </c>
      <c r="J46" s="42">
        <v>4357</v>
      </c>
      <c r="K46" s="41">
        <f t="shared" si="16"/>
        <v>-24</v>
      </c>
      <c r="L46" s="37">
        <f t="shared" si="17"/>
        <v>-5.4782013238986529E-3</v>
      </c>
      <c r="M46" s="141">
        <f t="shared" si="18"/>
        <v>7.1745052209999995</v>
      </c>
      <c r="N46" s="119">
        <f t="shared" si="19"/>
        <v>7.1083714310000001</v>
      </c>
      <c r="O46" s="118">
        <f t="shared" si="20"/>
        <v>-6.6133789999999415E-2</v>
      </c>
      <c r="P46" s="37">
        <f t="shared" si="21"/>
        <v>-9.2178886157088247E-3</v>
      </c>
      <c r="Q46" s="47">
        <v>702454</v>
      </c>
      <c r="R46" s="42">
        <v>705430</v>
      </c>
      <c r="S46" s="41">
        <f t="shared" si="22"/>
        <v>2976</v>
      </c>
      <c r="T46" s="37">
        <f t="shared" si="23"/>
        <v>4.2365763452126403E-3</v>
      </c>
      <c r="U46" s="40">
        <f t="shared" si="24"/>
        <v>1150.3674710139999</v>
      </c>
      <c r="V46" s="39">
        <f t="shared" si="25"/>
        <v>1150.89705269</v>
      </c>
      <c r="W46" s="38">
        <f t="shared" si="26"/>
        <v>0.52958167600013439</v>
      </c>
      <c r="X46" s="37">
        <f t="shared" si="27"/>
        <v>4.6035870219220533E-4</v>
      </c>
      <c r="Y46" s="202" t="s">
        <v>393</v>
      </c>
      <c r="Z46" s="203"/>
      <c r="AA46" s="203"/>
      <c r="AB46" s="203"/>
      <c r="AC46" s="203"/>
      <c r="AD46" s="203"/>
      <c r="AE46" s="203"/>
      <c r="AF46" s="204"/>
    </row>
    <row r="47" spans="2:32" x14ac:dyDescent="0.35">
      <c r="B47" s="142">
        <v>46092</v>
      </c>
      <c r="C47" s="67" t="s">
        <v>146</v>
      </c>
      <c r="D47" s="54" t="s">
        <v>392</v>
      </c>
      <c r="E47" s="145">
        <v>1749.4780000000001</v>
      </c>
      <c r="F47" s="144">
        <v>1747.845</v>
      </c>
      <c r="G47" s="38">
        <f t="shared" si="14"/>
        <v>-1.6330000000000382</v>
      </c>
      <c r="H47" s="120">
        <f t="shared" si="15"/>
        <v>-9.3342128337712052E-4</v>
      </c>
      <c r="I47" s="42">
        <v>4836</v>
      </c>
      <c r="J47" s="42">
        <v>4779</v>
      </c>
      <c r="K47" s="41">
        <f t="shared" si="16"/>
        <v>-57</v>
      </c>
      <c r="L47" s="37">
        <f t="shared" si="17"/>
        <v>-1.1786600496277916E-2</v>
      </c>
      <c r="M47" s="141">
        <f t="shared" si="18"/>
        <v>8.4604756080000012</v>
      </c>
      <c r="N47" s="119">
        <f t="shared" si="19"/>
        <v>8.3529512550000007</v>
      </c>
      <c r="O47" s="118">
        <f t="shared" si="20"/>
        <v>-0.10752435300000052</v>
      </c>
      <c r="P47" s="37">
        <f t="shared" si="21"/>
        <v>-1.2709019915893184E-2</v>
      </c>
      <c r="Q47" s="47">
        <v>841593</v>
      </c>
      <c r="R47" s="42">
        <v>827041</v>
      </c>
      <c r="S47" s="41">
        <f t="shared" si="22"/>
        <v>-14552</v>
      </c>
      <c r="T47" s="37">
        <f t="shared" si="23"/>
        <v>-1.729101834259553E-2</v>
      </c>
      <c r="U47" s="40">
        <f t="shared" si="24"/>
        <v>1472.348438454</v>
      </c>
      <c r="V47" s="39">
        <f t="shared" si="25"/>
        <v>1445.5394766449999</v>
      </c>
      <c r="W47" s="38">
        <f t="shared" si="26"/>
        <v>-26.808961809000039</v>
      </c>
      <c r="X47" s="37">
        <f t="shared" si="27"/>
        <v>-1.8208299821440413E-2</v>
      </c>
      <c r="Y47" s="73"/>
      <c r="Z47" s="73"/>
      <c r="AA47" s="73"/>
    </row>
    <row r="48" spans="2:32" x14ac:dyDescent="0.35">
      <c r="B48" s="142">
        <v>46092</v>
      </c>
      <c r="C48" s="67" t="s">
        <v>143</v>
      </c>
      <c r="D48" s="54" t="s">
        <v>391</v>
      </c>
      <c r="E48" s="145">
        <v>1743.1079999999999</v>
      </c>
      <c r="F48" s="144">
        <v>1742.6089999999999</v>
      </c>
      <c r="G48" s="38">
        <f t="shared" si="14"/>
        <v>-0.49900000000002365</v>
      </c>
      <c r="H48" s="120">
        <f t="shared" si="15"/>
        <v>-2.8627027126260887E-4</v>
      </c>
      <c r="I48" s="42">
        <v>4836</v>
      </c>
      <c r="J48" s="42">
        <v>4884</v>
      </c>
      <c r="K48" s="41">
        <f t="shared" si="16"/>
        <v>48</v>
      </c>
      <c r="L48" s="37">
        <f t="shared" si="17"/>
        <v>9.9255583126550868E-3</v>
      </c>
      <c r="M48" s="141">
        <f t="shared" si="18"/>
        <v>8.4296702880000005</v>
      </c>
      <c r="N48" s="119">
        <f t="shared" si="19"/>
        <v>8.510902355999999</v>
      </c>
      <c r="O48" s="118">
        <f t="shared" si="20"/>
        <v>8.1232067999998492E-2</v>
      </c>
      <c r="P48" s="37">
        <f t="shared" si="21"/>
        <v>9.6364466491217163E-3</v>
      </c>
      <c r="Q48" s="47">
        <v>885667</v>
      </c>
      <c r="R48" s="42">
        <v>885470</v>
      </c>
      <c r="S48" s="41">
        <f t="shared" si="22"/>
        <v>-197</v>
      </c>
      <c r="T48" s="37">
        <f t="shared" si="23"/>
        <v>-2.2243122979630041E-4</v>
      </c>
      <c r="U48" s="40">
        <f t="shared" si="24"/>
        <v>1543.8132330359999</v>
      </c>
      <c r="V48" s="39">
        <f t="shared" si="25"/>
        <v>1543.02799123</v>
      </c>
      <c r="W48" s="38">
        <f t="shared" si="26"/>
        <v>-0.78524180599993088</v>
      </c>
      <c r="X48" s="37">
        <f t="shared" si="27"/>
        <v>-5.0863782561035996E-4</v>
      </c>
      <c r="Y48" s="202" t="s">
        <v>390</v>
      </c>
      <c r="Z48" s="203"/>
      <c r="AA48" s="203"/>
      <c r="AB48" s="203"/>
      <c r="AC48" s="203"/>
      <c r="AD48" s="203"/>
      <c r="AE48" s="203"/>
      <c r="AF48" s="204"/>
    </row>
    <row r="49" spans="2:32" x14ac:dyDescent="0.35">
      <c r="B49" s="142">
        <v>46099</v>
      </c>
      <c r="C49" s="67" t="s">
        <v>140</v>
      </c>
      <c r="D49" s="54" t="s">
        <v>389</v>
      </c>
      <c r="E49" s="145">
        <v>1751.5630000000001</v>
      </c>
      <c r="F49" s="144">
        <v>1751.4880000000001</v>
      </c>
      <c r="G49" s="38">
        <f t="shared" si="14"/>
        <v>-7.5000000000045475E-2</v>
      </c>
      <c r="H49" s="120">
        <f t="shared" si="15"/>
        <v>-4.2818899462962779E-5</v>
      </c>
      <c r="I49" s="42">
        <v>4773.5940000000001</v>
      </c>
      <c r="J49" s="42">
        <v>4805</v>
      </c>
      <c r="K49" s="41">
        <f t="shared" si="16"/>
        <v>31.405999999999949</v>
      </c>
      <c r="L49" s="37">
        <f t="shared" si="17"/>
        <v>6.579109995529563E-3</v>
      </c>
      <c r="M49" s="141">
        <f t="shared" si="18"/>
        <v>8.3612506274220006</v>
      </c>
      <c r="N49" s="119">
        <f t="shared" si="19"/>
        <v>8.4158998399999998</v>
      </c>
      <c r="O49" s="118">
        <f t="shared" si="20"/>
        <v>5.4649212577999151E-2</v>
      </c>
      <c r="P49" s="37">
        <f t="shared" si="21"/>
        <v>6.5360093858170803E-3</v>
      </c>
      <c r="Q49" s="47">
        <v>861874.74699999997</v>
      </c>
      <c r="R49" s="42">
        <v>859415</v>
      </c>
      <c r="S49" s="41">
        <f t="shared" si="22"/>
        <v>-2459.7469999999739</v>
      </c>
      <c r="T49" s="37">
        <f t="shared" si="23"/>
        <v>-2.8539494962137161E-3</v>
      </c>
      <c r="U49" s="40">
        <f t="shared" si="24"/>
        <v>1509.6279174795611</v>
      </c>
      <c r="V49" s="39">
        <f t="shared" si="25"/>
        <v>1505.25505952</v>
      </c>
      <c r="W49" s="38">
        <f t="shared" si="26"/>
        <v>-4.3728579595610881</v>
      </c>
      <c r="X49" s="37">
        <f t="shared" si="27"/>
        <v>-2.8966461927001906E-3</v>
      </c>
      <c r="Y49" s="194" t="s">
        <v>299</v>
      </c>
      <c r="Z49" s="195"/>
      <c r="AA49" s="195"/>
      <c r="AB49" s="195"/>
      <c r="AC49" s="195"/>
      <c r="AD49" s="195"/>
      <c r="AE49" s="195"/>
      <c r="AF49" s="196"/>
    </row>
    <row r="50" spans="2:32" x14ac:dyDescent="0.35">
      <c r="B50" s="142">
        <v>46099</v>
      </c>
      <c r="C50" s="67" t="s">
        <v>137</v>
      </c>
      <c r="D50" s="54" t="s">
        <v>388</v>
      </c>
      <c r="E50" s="145">
        <v>1745.8019999999999</v>
      </c>
      <c r="F50" s="144">
        <v>1747.3720000000001</v>
      </c>
      <c r="G50" s="38">
        <f t="shared" si="14"/>
        <v>1.5700000000001637</v>
      </c>
      <c r="H50" s="120">
        <f t="shared" si="15"/>
        <v>8.9930014973070474E-4</v>
      </c>
      <c r="I50" s="42">
        <v>5027.9179999999997</v>
      </c>
      <c r="J50" s="42">
        <v>5075</v>
      </c>
      <c r="K50" s="41">
        <f t="shared" si="16"/>
        <v>47.082000000000335</v>
      </c>
      <c r="L50" s="37">
        <f t="shared" si="17"/>
        <v>9.3641145301097475E-3</v>
      </c>
      <c r="M50" s="141">
        <f t="shared" si="18"/>
        <v>8.7777493002359996</v>
      </c>
      <c r="N50" s="119">
        <f t="shared" si="19"/>
        <v>8.8679129000000003</v>
      </c>
      <c r="O50" s="118">
        <f t="shared" si="20"/>
        <v>9.0163599764000679E-2</v>
      </c>
      <c r="P50" s="37">
        <f t="shared" si="21"/>
        <v>1.027183582943939E-2</v>
      </c>
      <c r="Q50" s="47">
        <v>862690.103</v>
      </c>
      <c r="R50" s="42">
        <v>861571</v>
      </c>
      <c r="S50" s="41">
        <f t="shared" si="22"/>
        <v>-1119.1030000000028</v>
      </c>
      <c r="T50" s="37">
        <f t="shared" si="23"/>
        <v>-1.2972248042585957E-3</v>
      </c>
      <c r="U50" s="40">
        <f t="shared" si="24"/>
        <v>1506.0861071976058</v>
      </c>
      <c r="V50" s="39">
        <f t="shared" si="25"/>
        <v>1505.4850414120001</v>
      </c>
      <c r="W50" s="38">
        <f t="shared" si="26"/>
        <v>-0.60106578560566959</v>
      </c>
      <c r="X50" s="37">
        <f t="shared" si="27"/>
        <v>-3.9909124898846626E-4</v>
      </c>
      <c r="Y50" s="197"/>
      <c r="Z50" s="188"/>
      <c r="AA50" s="188"/>
      <c r="AB50" s="188"/>
      <c r="AC50" s="188"/>
      <c r="AD50" s="188"/>
      <c r="AE50" s="188"/>
      <c r="AF50" s="198"/>
    </row>
    <row r="51" spans="2:32" x14ac:dyDescent="0.35">
      <c r="B51" s="142">
        <v>46099</v>
      </c>
      <c r="C51" s="67" t="s">
        <v>387</v>
      </c>
      <c r="D51" s="54" t="s">
        <v>386</v>
      </c>
      <c r="E51" s="145">
        <v>1763.415</v>
      </c>
      <c r="F51" s="144">
        <v>1764.34</v>
      </c>
      <c r="G51" s="38">
        <f t="shared" si="14"/>
        <v>0.92499999999995453</v>
      </c>
      <c r="H51" s="120">
        <f t="shared" si="15"/>
        <v>5.2455037526614806E-4</v>
      </c>
      <c r="I51" s="42">
        <v>4470.0919999999996</v>
      </c>
      <c r="J51" s="42">
        <v>4494</v>
      </c>
      <c r="K51" s="41">
        <f t="shared" si="16"/>
        <v>23.908000000000357</v>
      </c>
      <c r="L51" s="37">
        <f t="shared" si="17"/>
        <v>5.3484357816349993E-3</v>
      </c>
      <c r="M51" s="141">
        <f t="shared" si="18"/>
        <v>7.8826272841799998</v>
      </c>
      <c r="N51" s="119">
        <f t="shared" si="19"/>
        <v>7.9289439599999998</v>
      </c>
      <c r="O51" s="118">
        <f t="shared" si="20"/>
        <v>4.6316675819999986E-2</v>
      </c>
      <c r="P51" s="37">
        <f t="shared" si="21"/>
        <v>5.8757916808974357E-3</v>
      </c>
      <c r="Q51" s="47">
        <v>882586.74</v>
      </c>
      <c r="R51" s="42">
        <v>884876</v>
      </c>
      <c r="S51" s="41">
        <f t="shared" si="22"/>
        <v>2289.2600000000093</v>
      </c>
      <c r="T51" s="37">
        <f t="shared" si="23"/>
        <v>2.5938073803374946E-3</v>
      </c>
      <c r="U51" s="40">
        <f t="shared" si="24"/>
        <v>1556.3666961171</v>
      </c>
      <c r="V51" s="39">
        <f t="shared" si="25"/>
        <v>1561.22212184</v>
      </c>
      <c r="W51" s="38">
        <f t="shared" si="26"/>
        <v>4.8554257229000086</v>
      </c>
      <c r="X51" s="37">
        <f t="shared" si="27"/>
        <v>3.1197183382383874E-3</v>
      </c>
      <c r="Y51" s="197"/>
      <c r="Z51" s="188"/>
      <c r="AA51" s="188"/>
      <c r="AB51" s="188"/>
      <c r="AC51" s="188"/>
      <c r="AD51" s="188"/>
      <c r="AE51" s="188"/>
      <c r="AF51" s="198"/>
    </row>
    <row r="52" spans="2:32" x14ac:dyDescent="0.35">
      <c r="B52" s="142">
        <v>46108</v>
      </c>
      <c r="C52" s="67" t="s">
        <v>385</v>
      </c>
      <c r="D52" s="54" t="s">
        <v>384</v>
      </c>
      <c r="E52" s="145">
        <v>1762.8520000000001</v>
      </c>
      <c r="F52" s="144">
        <v>1762.269</v>
      </c>
      <c r="G52" s="38">
        <f t="shared" si="14"/>
        <v>-0.58300000000008367</v>
      </c>
      <c r="H52" s="120">
        <f t="shared" si="15"/>
        <v>-3.3071409284505089E-4</v>
      </c>
      <c r="I52" s="42">
        <v>4434.1189999999997</v>
      </c>
      <c r="J52" s="42">
        <v>4466</v>
      </c>
      <c r="K52" s="41">
        <f t="shared" si="16"/>
        <v>31.881000000000313</v>
      </c>
      <c r="L52" s="37">
        <f t="shared" si="17"/>
        <v>7.1899288223884646E-3</v>
      </c>
      <c r="M52" s="141">
        <f t="shared" si="18"/>
        <v>7.8166955473879991</v>
      </c>
      <c r="N52" s="119">
        <f t="shared" si="19"/>
        <v>7.8702933540000002</v>
      </c>
      <c r="O52" s="118">
        <f t="shared" si="20"/>
        <v>5.3597806612001087E-2</v>
      </c>
      <c r="P52" s="37">
        <f t="shared" si="21"/>
        <v>6.8568369187554136E-3</v>
      </c>
      <c r="Q52" s="47">
        <v>886633.97900000005</v>
      </c>
      <c r="R52" s="42">
        <v>883698</v>
      </c>
      <c r="S52" s="41">
        <f t="shared" si="22"/>
        <v>-2935.9790000000503</v>
      </c>
      <c r="T52" s="37">
        <f t="shared" si="23"/>
        <v>-3.3113765877904057E-3</v>
      </c>
      <c r="U52" s="40">
        <f t="shared" si="24"/>
        <v>1563.0044831481082</v>
      </c>
      <c r="V52" s="39">
        <f t="shared" si="25"/>
        <v>1557.3135907620001</v>
      </c>
      <c r="W52" s="38">
        <f t="shared" si="26"/>
        <v>-5.6908923861080893</v>
      </c>
      <c r="X52" s="37">
        <f t="shared" si="27"/>
        <v>-3.6409955617311101E-3</v>
      </c>
      <c r="Y52" s="197"/>
      <c r="Z52" s="188"/>
      <c r="AA52" s="188"/>
      <c r="AB52" s="188"/>
      <c r="AC52" s="188"/>
      <c r="AD52" s="188"/>
      <c r="AE52" s="188"/>
      <c r="AF52" s="198"/>
    </row>
    <row r="53" spans="2:32" x14ac:dyDescent="0.35">
      <c r="B53" s="142">
        <v>46108</v>
      </c>
      <c r="C53" s="67" t="s">
        <v>383</v>
      </c>
      <c r="D53" s="54" t="s">
        <v>382</v>
      </c>
      <c r="E53" s="145">
        <v>1734.702</v>
      </c>
      <c r="F53" s="144">
        <v>1733.114</v>
      </c>
      <c r="G53" s="38">
        <f t="shared" si="14"/>
        <v>-1.5879999999999654</v>
      </c>
      <c r="H53" s="120">
        <f t="shared" si="15"/>
        <v>-9.1543100774655554E-4</v>
      </c>
      <c r="I53" s="42">
        <v>4576.5110000000004</v>
      </c>
      <c r="J53" s="42">
        <v>4645</v>
      </c>
      <c r="K53" s="41">
        <f t="shared" si="16"/>
        <v>68.488999999999578</v>
      </c>
      <c r="L53" s="37">
        <f t="shared" si="17"/>
        <v>1.4965330576065385E-2</v>
      </c>
      <c r="M53" s="141">
        <f t="shared" si="18"/>
        <v>7.9388827847220007</v>
      </c>
      <c r="N53" s="119">
        <f t="shared" si="19"/>
        <v>8.0503145299999996</v>
      </c>
      <c r="O53" s="118">
        <f t="shared" si="20"/>
        <v>0.11143174527799893</v>
      </c>
      <c r="P53" s="37">
        <f t="shared" si="21"/>
        <v>1.4036199840668258E-2</v>
      </c>
      <c r="Q53" s="47">
        <v>860634.23899999994</v>
      </c>
      <c r="R53" s="42">
        <v>869473</v>
      </c>
      <c r="S53" s="41">
        <f t="shared" si="22"/>
        <v>8838.7610000000568</v>
      </c>
      <c r="T53" s="37">
        <f t="shared" si="23"/>
        <v>1.0270055035539967E-2</v>
      </c>
      <c r="U53" s="40">
        <f t="shared" si="24"/>
        <v>1492.9439356617779</v>
      </c>
      <c r="V53" s="39">
        <f t="shared" si="25"/>
        <v>1506.895828922</v>
      </c>
      <c r="W53" s="38">
        <f t="shared" si="26"/>
        <v>13.95189326022205</v>
      </c>
      <c r="X53" s="37">
        <f t="shared" si="27"/>
        <v>9.3452225009625616E-3</v>
      </c>
      <c r="Y53" s="197"/>
      <c r="Z53" s="188"/>
      <c r="AA53" s="188"/>
      <c r="AB53" s="188"/>
      <c r="AC53" s="188"/>
      <c r="AD53" s="188"/>
      <c r="AE53" s="188"/>
      <c r="AF53" s="198"/>
    </row>
    <row r="54" spans="2:32" x14ac:dyDescent="0.35">
      <c r="B54" s="142">
        <v>46108</v>
      </c>
      <c r="C54" s="67" t="s">
        <v>381</v>
      </c>
      <c r="D54" s="54" t="s">
        <v>380</v>
      </c>
      <c r="E54" s="145">
        <v>1744.1310000000001</v>
      </c>
      <c r="F54" s="144">
        <v>1741.9169999999999</v>
      </c>
      <c r="G54" s="38">
        <f t="shared" si="14"/>
        <v>-2.2140000000001692</v>
      </c>
      <c r="H54" s="120">
        <f t="shared" si="15"/>
        <v>-1.2694000622660621E-3</v>
      </c>
      <c r="I54" s="42">
        <v>4560.0450000000001</v>
      </c>
      <c r="J54" s="42">
        <v>4647</v>
      </c>
      <c r="K54" s="41">
        <f t="shared" si="16"/>
        <v>86.954999999999927</v>
      </c>
      <c r="L54" s="37">
        <f t="shared" si="17"/>
        <v>1.9068890767525305E-2</v>
      </c>
      <c r="M54" s="141">
        <f t="shared" si="18"/>
        <v>7.9533158458950011</v>
      </c>
      <c r="N54" s="119">
        <f t="shared" si="19"/>
        <v>8.0946882989999995</v>
      </c>
      <c r="O54" s="118">
        <f t="shared" si="20"/>
        <v>0.14137245310499846</v>
      </c>
      <c r="P54" s="37">
        <f t="shared" si="21"/>
        <v>1.7775284654131519E-2</v>
      </c>
      <c r="Q54" s="47">
        <v>861179.18400000001</v>
      </c>
      <c r="R54" s="42">
        <v>872881</v>
      </c>
      <c r="S54" s="41">
        <f t="shared" si="22"/>
        <v>11701.815999999992</v>
      </c>
      <c r="T54" s="37">
        <f t="shared" si="23"/>
        <v>1.3588131503187833E-2</v>
      </c>
      <c r="U54" s="40">
        <f t="shared" si="24"/>
        <v>1502.0093113691041</v>
      </c>
      <c r="V54" s="39">
        <f t="shared" si="25"/>
        <v>1520.4862528769997</v>
      </c>
      <c r="W54" s="38">
        <f t="shared" si="26"/>
        <v>18.476941507895617</v>
      </c>
      <c r="X54" s="37">
        <f t="shared" si="27"/>
        <v>1.2301482665945397E-2</v>
      </c>
      <c r="Y54" s="197"/>
      <c r="Z54" s="188"/>
      <c r="AA54" s="188"/>
      <c r="AB54" s="188"/>
      <c r="AC54" s="188"/>
      <c r="AD54" s="188"/>
      <c r="AE54" s="188"/>
      <c r="AF54" s="198"/>
    </row>
    <row r="55" spans="2:32" x14ac:dyDescent="0.35">
      <c r="B55" s="142">
        <v>46108</v>
      </c>
      <c r="C55" s="67" t="s">
        <v>379</v>
      </c>
      <c r="D55" s="53" t="s">
        <v>378</v>
      </c>
      <c r="E55" s="48">
        <v>1768.152</v>
      </c>
      <c r="F55" s="144">
        <v>1766.6079999999999</v>
      </c>
      <c r="G55" s="38">
        <f t="shared" si="14"/>
        <v>-1.5440000000000964</v>
      </c>
      <c r="H55" s="120">
        <f t="shared" si="15"/>
        <v>-8.7322809351237697E-4</v>
      </c>
      <c r="I55" s="42">
        <v>4143.7950000000001</v>
      </c>
      <c r="J55" s="42">
        <v>4198</v>
      </c>
      <c r="K55" s="41">
        <f t="shared" si="16"/>
        <v>54.204999999999927</v>
      </c>
      <c r="L55" s="37">
        <f t="shared" si="17"/>
        <v>1.3081004248520963E-2</v>
      </c>
      <c r="M55" s="141">
        <f t="shared" si="18"/>
        <v>7.3268594168399996</v>
      </c>
      <c r="N55" s="119">
        <f t="shared" si="19"/>
        <v>7.4162203839999998</v>
      </c>
      <c r="O55" s="118">
        <f t="shared" si="20"/>
        <v>8.9360967160000193E-2</v>
      </c>
      <c r="P55" s="37">
        <f t="shared" si="21"/>
        <v>1.2196353454607524E-2</v>
      </c>
      <c r="Q55" s="42">
        <v>853972.72400000005</v>
      </c>
      <c r="R55" s="42">
        <v>854824</v>
      </c>
      <c r="S55" s="41">
        <f t="shared" si="22"/>
        <v>851.27599999995437</v>
      </c>
      <c r="T55" s="37">
        <f t="shared" si="23"/>
        <v>9.9684214270051369E-4</v>
      </c>
      <c r="U55" s="40">
        <f t="shared" si="24"/>
        <v>1509.9535798860481</v>
      </c>
      <c r="V55" s="39">
        <f t="shared" si="25"/>
        <v>1510.1389169919998</v>
      </c>
      <c r="W55" s="38">
        <f t="shared" si="26"/>
        <v>0.18533710595170305</v>
      </c>
      <c r="X55" s="37">
        <f t="shared" si="27"/>
        <v>1.2274357862424479E-4</v>
      </c>
      <c r="Y55" s="197"/>
      <c r="Z55" s="188"/>
      <c r="AA55" s="188"/>
      <c r="AB55" s="188"/>
      <c r="AC55" s="188"/>
      <c r="AD55" s="188"/>
      <c r="AE55" s="188"/>
      <c r="AF55" s="198"/>
    </row>
    <row r="56" spans="2:32" x14ac:dyDescent="0.35">
      <c r="B56" s="142">
        <v>46111.365335647948</v>
      </c>
      <c r="C56" s="67" t="s">
        <v>377</v>
      </c>
      <c r="D56" s="53" t="s">
        <v>376</v>
      </c>
      <c r="E56" s="48">
        <v>1771.3030000000001</v>
      </c>
      <c r="F56" s="144">
        <v>1773.1279999999999</v>
      </c>
      <c r="G56" s="38">
        <f t="shared" si="14"/>
        <v>1.8249999999998181</v>
      </c>
      <c r="H56" s="120">
        <f t="shared" si="15"/>
        <v>1.0303149715208623E-3</v>
      </c>
      <c r="I56" s="42">
        <v>4400.9390000000003</v>
      </c>
      <c r="J56" s="42">
        <v>4434</v>
      </c>
      <c r="K56" s="41">
        <f t="shared" si="16"/>
        <v>33.060999999999694</v>
      </c>
      <c r="L56" s="37">
        <f t="shared" si="17"/>
        <v>7.5122604516898988E-3</v>
      </c>
      <c r="M56" s="141">
        <f t="shared" si="18"/>
        <v>7.7953964535170011</v>
      </c>
      <c r="N56" s="119">
        <f t="shared" si="19"/>
        <v>7.8620495520000002</v>
      </c>
      <c r="O56" s="118">
        <f t="shared" si="20"/>
        <v>6.6653098482999162E-2</v>
      </c>
      <c r="P56" s="37">
        <f t="shared" si="21"/>
        <v>8.5503154176241672E-3</v>
      </c>
      <c r="Q56" s="42">
        <v>855650.34400000004</v>
      </c>
      <c r="R56" s="42">
        <v>854876</v>
      </c>
      <c r="S56" s="41">
        <f t="shared" si="22"/>
        <v>-774.34400000004098</v>
      </c>
      <c r="T56" s="37">
        <f t="shared" si="23"/>
        <v>-9.0497713865237567E-4</v>
      </c>
      <c r="U56" s="40">
        <f t="shared" si="24"/>
        <v>1515.6160212782322</v>
      </c>
      <c r="V56" s="39">
        <f t="shared" si="25"/>
        <v>1515.804572128</v>
      </c>
      <c r="W56" s="38">
        <f t="shared" si="26"/>
        <v>0.18855084976780745</v>
      </c>
      <c r="X56" s="37">
        <f t="shared" si="27"/>
        <v>1.2440542137367249E-4</v>
      </c>
      <c r="Y56" s="199"/>
      <c r="Z56" s="200"/>
      <c r="AA56" s="200"/>
      <c r="AB56" s="200"/>
      <c r="AC56" s="200"/>
      <c r="AD56" s="200"/>
      <c r="AE56" s="200"/>
      <c r="AF56" s="201"/>
    </row>
    <row r="57" spans="2:32" x14ac:dyDescent="0.35">
      <c r="B57" s="142">
        <v>46111.368263889104</v>
      </c>
      <c r="C57" s="67" t="s">
        <v>375</v>
      </c>
      <c r="D57" s="53" t="s">
        <v>374</v>
      </c>
      <c r="E57" s="48">
        <v>1758.0309999999999</v>
      </c>
      <c r="F57" s="48">
        <v>1756.144</v>
      </c>
      <c r="G57" s="38">
        <f t="shared" si="14"/>
        <v>-1.8869999999999436</v>
      </c>
      <c r="H57" s="120">
        <f t="shared" si="15"/>
        <v>-1.0733599123109569E-3</v>
      </c>
      <c r="I57" s="42">
        <v>4791</v>
      </c>
      <c r="J57" s="42">
        <v>4810</v>
      </c>
      <c r="K57" s="41">
        <f t="shared" si="16"/>
        <v>19</v>
      </c>
      <c r="L57" s="37">
        <f t="shared" si="17"/>
        <v>3.9657691504905029E-3</v>
      </c>
      <c r="M57" s="141">
        <f t="shared" si="18"/>
        <v>8.4227265209999995</v>
      </c>
      <c r="N57" s="119">
        <f t="shared" si="19"/>
        <v>8.4470526400000008</v>
      </c>
      <c r="O57" s="118">
        <f t="shared" si="20"/>
        <v>2.4326119000001256E-2</v>
      </c>
      <c r="P57" s="37">
        <f t="shared" si="21"/>
        <v>2.8881525405520473E-3</v>
      </c>
      <c r="Q57" s="42">
        <v>853954</v>
      </c>
      <c r="R57" s="42">
        <v>852081</v>
      </c>
      <c r="S57" s="143">
        <f t="shared" si="22"/>
        <v>-1873</v>
      </c>
      <c r="T57" s="37">
        <f t="shared" si="23"/>
        <v>-2.1933265726256919E-3</v>
      </c>
      <c r="U57" s="40">
        <f t="shared" si="24"/>
        <v>1501.277604574</v>
      </c>
      <c r="V57" s="39">
        <f t="shared" si="25"/>
        <v>1496.376935664</v>
      </c>
      <c r="W57" s="38">
        <f t="shared" si="26"/>
        <v>-4.9006689099999221</v>
      </c>
      <c r="X57" s="37">
        <f t="shared" si="27"/>
        <v>-3.2643322561189659E-3</v>
      </c>
      <c r="Y57" s="202" t="s">
        <v>373</v>
      </c>
      <c r="Z57" s="203"/>
      <c r="AA57" s="203"/>
      <c r="AB57" s="203"/>
      <c r="AC57" s="203"/>
      <c r="AD57" s="203"/>
      <c r="AE57" s="203"/>
      <c r="AF57" s="204"/>
    </row>
    <row r="58" spans="2:32" x14ac:dyDescent="0.35">
      <c r="B58" s="142">
        <v>46111.372511574067</v>
      </c>
      <c r="C58" s="67" t="s">
        <v>372</v>
      </c>
      <c r="D58" s="53" t="s">
        <v>371</v>
      </c>
      <c r="E58" s="48">
        <v>1161.999</v>
      </c>
      <c r="F58" s="48">
        <v>1160.4970000000001</v>
      </c>
      <c r="G58" s="38">
        <f t="shared" si="14"/>
        <v>-1.5019999999999527</v>
      </c>
      <c r="H58" s="120">
        <f t="shared" si="15"/>
        <v>-1.2926000796902172E-3</v>
      </c>
      <c r="I58" s="42">
        <v>4769.402</v>
      </c>
      <c r="J58" s="42">
        <v>4840</v>
      </c>
      <c r="K58" s="41">
        <f t="shared" si="16"/>
        <v>70.597999999999956</v>
      </c>
      <c r="L58" s="37">
        <f t="shared" si="17"/>
        <v>1.4802275002191041E-2</v>
      </c>
      <c r="M58" s="141">
        <f t="shared" si="18"/>
        <v>5.5420403545979999</v>
      </c>
      <c r="N58" s="119">
        <f t="shared" si="19"/>
        <v>5.61680548</v>
      </c>
      <c r="O58" s="118">
        <f t="shared" si="20"/>
        <v>7.4765125402000088E-2</v>
      </c>
      <c r="P58" s="37">
        <f t="shared" si="21"/>
        <v>1.349054150065338E-2</v>
      </c>
      <c r="Q58" s="42">
        <v>868180.49100000004</v>
      </c>
      <c r="R58" s="42">
        <v>868948</v>
      </c>
      <c r="S58" s="41">
        <f t="shared" si="22"/>
        <v>767.50899999996182</v>
      </c>
      <c r="T58" s="37">
        <f t="shared" si="23"/>
        <v>8.8404313153353476E-4</v>
      </c>
      <c r="U58" s="40">
        <f t="shared" si="24"/>
        <v>1008.8248623615091</v>
      </c>
      <c r="V58" s="39">
        <f t="shared" si="25"/>
        <v>1008.411547156</v>
      </c>
      <c r="W58" s="38">
        <f t="shared" si="26"/>
        <v>-0.41331520550909318</v>
      </c>
      <c r="X58" s="37">
        <f t="shared" si="27"/>
        <v>-4.096996623790414E-4</v>
      </c>
      <c r="Y58" s="194" t="s">
        <v>299</v>
      </c>
      <c r="Z58" s="195"/>
      <c r="AA58" s="195"/>
      <c r="AB58" s="195"/>
      <c r="AC58" s="195"/>
      <c r="AD58" s="195"/>
      <c r="AE58" s="195"/>
      <c r="AF58" s="196"/>
    </row>
    <row r="59" spans="2:32" x14ac:dyDescent="0.35">
      <c r="B59" s="142">
        <v>46111.37512731459</v>
      </c>
      <c r="C59" s="67" t="s">
        <v>370</v>
      </c>
      <c r="D59" s="52" t="s">
        <v>369</v>
      </c>
      <c r="E59" s="48">
        <v>1272.7809999999999</v>
      </c>
      <c r="F59" s="48">
        <v>1272.1949999999999</v>
      </c>
      <c r="G59" s="38">
        <f t="shared" si="14"/>
        <v>-0.58600000000001273</v>
      </c>
      <c r="H59" s="120">
        <f t="shared" si="15"/>
        <v>-4.6040913558578636E-4</v>
      </c>
      <c r="I59" s="42">
        <v>4650.402</v>
      </c>
      <c r="J59" s="42">
        <v>4712</v>
      </c>
      <c r="K59" s="41">
        <f t="shared" si="16"/>
        <v>61.597999999999956</v>
      </c>
      <c r="L59" s="37">
        <f t="shared" si="17"/>
        <v>1.3245736605136492E-2</v>
      </c>
      <c r="M59" s="141">
        <f t="shared" si="18"/>
        <v>5.9189433079619995</v>
      </c>
      <c r="N59" s="119">
        <f t="shared" si="19"/>
        <v>5.9945828399999996</v>
      </c>
      <c r="O59" s="118">
        <f t="shared" si="20"/>
        <v>7.5639532038000112E-2</v>
      </c>
      <c r="P59" s="37">
        <f t="shared" si="21"/>
        <v>1.2779229011410178E-2</v>
      </c>
      <c r="Q59" s="42">
        <v>846974.63800000004</v>
      </c>
      <c r="R59" s="42">
        <v>843781</v>
      </c>
      <c r="S59" s="41">
        <f t="shared" si="22"/>
        <v>-3193.6380000000354</v>
      </c>
      <c r="T59" s="37">
        <f t="shared" si="23"/>
        <v>-3.7706418311902689E-3</v>
      </c>
      <c r="U59" s="40">
        <f t="shared" si="24"/>
        <v>1078.0132267282779</v>
      </c>
      <c r="V59" s="39">
        <f t="shared" si="25"/>
        <v>1073.453969295</v>
      </c>
      <c r="W59" s="38">
        <f t="shared" si="26"/>
        <v>-4.559257433277935</v>
      </c>
      <c r="X59" s="37">
        <f t="shared" si="27"/>
        <v>-4.2293149288298417E-3</v>
      </c>
      <c r="Y59" s="197"/>
      <c r="Z59" s="188"/>
      <c r="AA59" s="188"/>
      <c r="AB59" s="188"/>
      <c r="AC59" s="188"/>
      <c r="AD59" s="188"/>
      <c r="AE59" s="188"/>
      <c r="AF59" s="198"/>
    </row>
    <row r="60" spans="2:32" x14ac:dyDescent="0.35">
      <c r="B60" s="142">
        <v>46126</v>
      </c>
      <c r="C60" s="67" t="s">
        <v>368</v>
      </c>
      <c r="D60" s="52" t="s">
        <v>367</v>
      </c>
      <c r="E60" s="48">
        <v>1693.9559999999999</v>
      </c>
      <c r="F60" s="48">
        <v>1695.4670000000001</v>
      </c>
      <c r="G60" s="38">
        <f t="shared" si="14"/>
        <v>1.5110000000001946</v>
      </c>
      <c r="H60" s="120">
        <f t="shared" si="15"/>
        <v>8.9199483339602364E-4</v>
      </c>
      <c r="I60" s="42">
        <v>4720.2700000000004</v>
      </c>
      <c r="J60" s="42">
        <v>4744</v>
      </c>
      <c r="K60" s="41">
        <f t="shared" si="16"/>
        <v>23.729999999999563</v>
      </c>
      <c r="L60" s="37">
        <f t="shared" si="17"/>
        <v>5.0272547968653403E-3</v>
      </c>
      <c r="M60" s="141">
        <f t="shared" si="18"/>
        <v>7.9959296881200004</v>
      </c>
      <c r="N60" s="119">
        <f t="shared" si="19"/>
        <v>8.0432954480000003</v>
      </c>
      <c r="O60" s="118">
        <f t="shared" si="20"/>
        <v>4.7365759879999914E-2</v>
      </c>
      <c r="P60" s="37">
        <f t="shared" si="21"/>
        <v>5.9237339155663003E-3</v>
      </c>
      <c r="Q60" s="42">
        <v>875230.85699999996</v>
      </c>
      <c r="R60" s="42">
        <v>874764</v>
      </c>
      <c r="S60" s="41">
        <f t="shared" si="22"/>
        <v>-466.85699999995995</v>
      </c>
      <c r="T60" s="37">
        <f t="shared" si="23"/>
        <v>-5.3341012404451815E-4</v>
      </c>
      <c r="U60" s="40">
        <f t="shared" si="24"/>
        <v>1482.6025616002917</v>
      </c>
      <c r="V60" s="39">
        <f t="shared" si="25"/>
        <v>1483.133494788</v>
      </c>
      <c r="W60" s="38">
        <f t="shared" si="26"/>
        <v>0.5309331877083423</v>
      </c>
      <c r="X60" s="37">
        <f t="shared" si="27"/>
        <v>3.5810891027684695E-4</v>
      </c>
      <c r="Y60" s="197"/>
      <c r="Z60" s="188"/>
      <c r="AA60" s="188"/>
      <c r="AB60" s="188"/>
      <c r="AC60" s="188"/>
      <c r="AD60" s="188"/>
      <c r="AE60" s="188"/>
      <c r="AF60" s="198"/>
    </row>
    <row r="61" spans="2:32" x14ac:dyDescent="0.35">
      <c r="B61" s="70">
        <v>46126</v>
      </c>
      <c r="C61" s="67" t="s">
        <v>366</v>
      </c>
      <c r="D61" s="52" t="s">
        <v>365</v>
      </c>
      <c r="E61" s="48">
        <v>1734.8579999999999</v>
      </c>
      <c r="F61" s="48">
        <v>1739.4649999999999</v>
      </c>
      <c r="G61" s="38">
        <f t="shared" si="14"/>
        <v>4.6069999999999709</v>
      </c>
      <c r="H61" s="120">
        <f t="shared" si="15"/>
        <v>2.6555487538461194E-3</v>
      </c>
      <c r="I61" s="42">
        <v>4670.7150000000001</v>
      </c>
      <c r="J61" s="42">
        <v>4700</v>
      </c>
      <c r="K61" s="41">
        <f t="shared" si="16"/>
        <v>29.284999999999854</v>
      </c>
      <c r="L61" s="37">
        <f t="shared" si="17"/>
        <v>6.2699179890016521E-3</v>
      </c>
      <c r="M61" s="141">
        <f t="shared" si="18"/>
        <v>8.1030272834700003</v>
      </c>
      <c r="N61" s="119">
        <f t="shared" si="19"/>
        <v>8.1754855000000006</v>
      </c>
      <c r="O61" s="118">
        <f t="shared" si="20"/>
        <v>7.2458216530000286E-2</v>
      </c>
      <c r="P61" s="37">
        <f t="shared" si="21"/>
        <v>8.9421168157502659E-3</v>
      </c>
      <c r="Q61" s="42">
        <v>866615.62600000005</v>
      </c>
      <c r="R61" s="42">
        <v>871093</v>
      </c>
      <c r="S61" s="41">
        <f t="shared" si="22"/>
        <v>4477.3739999999525</v>
      </c>
      <c r="T61" s="37">
        <f t="shared" si="23"/>
        <v>5.1665050406094941E-3</v>
      </c>
      <c r="U61" s="40">
        <f t="shared" si="24"/>
        <v>1503.4550516911079</v>
      </c>
      <c r="V61" s="39">
        <f t="shared" si="25"/>
        <v>1515.235785245</v>
      </c>
      <c r="W61" s="38">
        <f t="shared" si="26"/>
        <v>11.780733553892105</v>
      </c>
      <c r="X61" s="37">
        <f t="shared" si="27"/>
        <v>7.835773700478086E-3</v>
      </c>
      <c r="Y61" s="197"/>
      <c r="Z61" s="188"/>
      <c r="AA61" s="188"/>
      <c r="AB61" s="188"/>
      <c r="AC61" s="188"/>
      <c r="AD61" s="188"/>
      <c r="AE61" s="188"/>
      <c r="AF61" s="198"/>
    </row>
    <row r="62" spans="2:32" x14ac:dyDescent="0.35">
      <c r="B62" s="70">
        <v>46126</v>
      </c>
      <c r="C62" s="67" t="s">
        <v>364</v>
      </c>
      <c r="D62" s="52" t="s">
        <v>363</v>
      </c>
      <c r="E62" s="48">
        <v>1736.289</v>
      </c>
      <c r="F62" s="48">
        <v>1736.3589999999999</v>
      </c>
      <c r="G62" s="38">
        <f t="shared" si="14"/>
        <v>6.9999999999936335E-2</v>
      </c>
      <c r="H62" s="120">
        <f t="shared" si="15"/>
        <v>4.0315869074754452E-5</v>
      </c>
      <c r="I62" s="42">
        <v>4675.2129999999997</v>
      </c>
      <c r="J62" s="42">
        <v>4620</v>
      </c>
      <c r="K62" s="41">
        <f t="shared" si="16"/>
        <v>-55.212999999999738</v>
      </c>
      <c r="L62" s="37">
        <f t="shared" si="17"/>
        <v>-1.1809729310728675E-2</v>
      </c>
      <c r="M62" s="141">
        <f t="shared" si="18"/>
        <v>8.1175209045570007</v>
      </c>
      <c r="N62" s="119">
        <f t="shared" si="19"/>
        <v>8.0219785800000007</v>
      </c>
      <c r="O62" s="118">
        <f t="shared" si="20"/>
        <v>-9.5542324556999958E-2</v>
      </c>
      <c r="P62" s="37">
        <f t="shared" si="21"/>
        <v>-1.1769889561154634E-2</v>
      </c>
      <c r="Q62" s="42">
        <v>863669.45</v>
      </c>
      <c r="R62" s="42">
        <v>859135</v>
      </c>
      <c r="S62" s="41">
        <f t="shared" si="22"/>
        <v>-4534.4499999999534</v>
      </c>
      <c r="T62" s="37">
        <f t="shared" si="23"/>
        <v>-5.2502146509870807E-3</v>
      </c>
      <c r="U62" s="40">
        <f t="shared" si="24"/>
        <v>1499.5797656710499</v>
      </c>
      <c r="V62" s="39">
        <f t="shared" si="25"/>
        <v>1491.7667894649999</v>
      </c>
      <c r="W62" s="38">
        <f t="shared" si="26"/>
        <v>-7.8129762060500525</v>
      </c>
      <c r="X62" s="37">
        <f t="shared" si="27"/>
        <v>-5.2101104488788616E-3</v>
      </c>
      <c r="Y62" s="197"/>
      <c r="Z62" s="188"/>
      <c r="AA62" s="188"/>
      <c r="AB62" s="188"/>
      <c r="AC62" s="188"/>
      <c r="AD62" s="188"/>
      <c r="AE62" s="188"/>
      <c r="AF62" s="198"/>
    </row>
    <row r="63" spans="2:32" x14ac:dyDescent="0.35">
      <c r="B63" s="70">
        <v>46126</v>
      </c>
      <c r="C63" s="67" t="s">
        <v>362</v>
      </c>
      <c r="D63" s="52" t="s">
        <v>361</v>
      </c>
      <c r="E63" s="48">
        <v>1726.88</v>
      </c>
      <c r="F63" s="48">
        <v>1724.9870000000001</v>
      </c>
      <c r="G63" s="38">
        <f t="shared" si="14"/>
        <v>-1.8930000000000291</v>
      </c>
      <c r="H63" s="120">
        <f t="shared" si="15"/>
        <v>-1.0961966089132013E-3</v>
      </c>
      <c r="I63" s="42">
        <v>5275.4539999999997</v>
      </c>
      <c r="J63" s="42">
        <v>5302</v>
      </c>
      <c r="K63" s="41">
        <f t="shared" si="16"/>
        <v>26.546000000000276</v>
      </c>
      <c r="L63" s="37">
        <f t="shared" si="17"/>
        <v>5.0319839771136811E-3</v>
      </c>
      <c r="M63" s="141">
        <f t="shared" si="18"/>
        <v>9.1100760035200015</v>
      </c>
      <c r="N63" s="119">
        <f t="shared" si="19"/>
        <v>9.1458810740000018</v>
      </c>
      <c r="O63" s="118">
        <f t="shared" si="20"/>
        <v>3.5805070480000367E-2</v>
      </c>
      <c r="P63" s="37">
        <f t="shared" si="21"/>
        <v>3.9302713244286662E-3</v>
      </c>
      <c r="Q63" s="42">
        <v>886075.21200000006</v>
      </c>
      <c r="R63" s="42">
        <v>890109</v>
      </c>
      <c r="S63" s="41">
        <f t="shared" si="22"/>
        <v>4033.7879999999423</v>
      </c>
      <c r="T63" s="37">
        <f t="shared" si="23"/>
        <v>4.552421674109468E-3</v>
      </c>
      <c r="U63" s="40">
        <f t="shared" si="24"/>
        <v>1530.14556209856</v>
      </c>
      <c r="V63" s="39">
        <f t="shared" si="25"/>
        <v>1535.4264535830002</v>
      </c>
      <c r="W63" s="38">
        <f t="shared" si="26"/>
        <v>5.2808914844401897</v>
      </c>
      <c r="X63" s="37">
        <f t="shared" si="27"/>
        <v>3.4512347159949713E-3</v>
      </c>
      <c r="Y63" s="197"/>
      <c r="Z63" s="188"/>
      <c r="AA63" s="188"/>
      <c r="AB63" s="188"/>
      <c r="AC63" s="188"/>
      <c r="AD63" s="188"/>
      <c r="AE63" s="188"/>
      <c r="AF63" s="198"/>
    </row>
    <row r="64" spans="2:32" x14ac:dyDescent="0.35">
      <c r="B64" s="70">
        <v>46137</v>
      </c>
      <c r="C64" s="67" t="s">
        <v>360</v>
      </c>
      <c r="D64" s="52" t="s">
        <v>359</v>
      </c>
      <c r="E64" s="48">
        <v>1724.422</v>
      </c>
      <c r="F64" s="48">
        <v>1725.0350000000001</v>
      </c>
      <c r="G64" s="38">
        <f t="shared" si="14"/>
        <v>0.61300000000005639</v>
      </c>
      <c r="H64" s="120">
        <f t="shared" si="15"/>
        <v>3.5548143087948101E-4</v>
      </c>
      <c r="I64" s="42">
        <v>5023.58</v>
      </c>
      <c r="J64" s="42">
        <v>5044</v>
      </c>
      <c r="K64" s="41">
        <f t="shared" si="16"/>
        <v>20.420000000000073</v>
      </c>
      <c r="L64" s="37">
        <f t="shared" si="17"/>
        <v>4.0648302604915365E-3</v>
      </c>
      <c r="M64" s="141">
        <f t="shared" si="18"/>
        <v>8.6627718707599985</v>
      </c>
      <c r="N64" s="119">
        <f t="shared" si="19"/>
        <v>8.7010765400000007</v>
      </c>
      <c r="O64" s="118">
        <f t="shared" si="20"/>
        <v>3.8304669240002198E-2</v>
      </c>
      <c r="P64" s="37">
        <f t="shared" si="21"/>
        <v>4.4217566630485065E-3</v>
      </c>
      <c r="Q64" s="42">
        <v>876880.51100000006</v>
      </c>
      <c r="R64" s="42">
        <v>875572</v>
      </c>
      <c r="S64" s="41">
        <f t="shared" si="22"/>
        <v>-1308.5110000000568</v>
      </c>
      <c r="T64" s="37">
        <f t="shared" si="23"/>
        <v>-1.4922340998408353E-3</v>
      </c>
      <c r="U64" s="40">
        <f t="shared" si="24"/>
        <v>1512.1120445396421</v>
      </c>
      <c r="V64" s="39">
        <f t="shared" si="25"/>
        <v>1510.39234502</v>
      </c>
      <c r="W64" s="38">
        <f t="shared" si="26"/>
        <v>-1.719699519642063</v>
      </c>
      <c r="X64" s="37">
        <f t="shared" si="27"/>
        <v>-1.1372831304743826E-3</v>
      </c>
      <c r="Y64" s="197"/>
      <c r="Z64" s="188"/>
      <c r="AA64" s="188"/>
      <c r="AB64" s="188"/>
      <c r="AC64" s="188"/>
      <c r="AD64" s="188"/>
      <c r="AE64" s="188"/>
      <c r="AF64" s="198"/>
    </row>
    <row r="65" spans="2:32" x14ac:dyDescent="0.35">
      <c r="B65" s="70">
        <v>46137</v>
      </c>
      <c r="C65" s="67" t="s">
        <v>358</v>
      </c>
      <c r="D65" s="52" t="s">
        <v>357</v>
      </c>
      <c r="E65" s="48">
        <v>1744.4079999999999</v>
      </c>
      <c r="F65" s="48">
        <v>1745.374</v>
      </c>
      <c r="G65" s="38">
        <f t="shared" si="14"/>
        <v>0.96600000000012187</v>
      </c>
      <c r="H65" s="120">
        <f t="shared" si="15"/>
        <v>5.5376953098135412E-4</v>
      </c>
      <c r="I65" s="42">
        <v>4774.5010000000002</v>
      </c>
      <c r="J65" s="42">
        <v>4813</v>
      </c>
      <c r="K65" s="41">
        <f t="shared" si="16"/>
        <v>38.498999999999796</v>
      </c>
      <c r="L65" s="37">
        <f t="shared" si="17"/>
        <v>8.0634604537730328E-3</v>
      </c>
      <c r="M65" s="141">
        <f t="shared" si="18"/>
        <v>8.3286777404079988</v>
      </c>
      <c r="N65" s="119">
        <f t="shared" si="19"/>
        <v>8.4004850620000013</v>
      </c>
      <c r="O65" s="118">
        <f t="shared" si="20"/>
        <v>7.1807321592002538E-2</v>
      </c>
      <c r="P65" s="37">
        <f t="shared" si="21"/>
        <v>8.6216952834682371E-3</v>
      </c>
      <c r="Q65" s="42">
        <v>873625.304</v>
      </c>
      <c r="R65" s="42">
        <v>874842</v>
      </c>
      <c r="S65" s="41">
        <f t="shared" si="22"/>
        <v>1216.6959999999963</v>
      </c>
      <c r="T65" s="37">
        <f t="shared" si="23"/>
        <v>1.3926977554670238E-3</v>
      </c>
      <c r="U65" s="40">
        <f t="shared" si="24"/>
        <v>1523.9589693000319</v>
      </c>
      <c r="V65" s="39">
        <f t="shared" si="25"/>
        <v>1526.926480908</v>
      </c>
      <c r="W65" s="38">
        <f t="shared" si="26"/>
        <v>2.9675116079681629</v>
      </c>
      <c r="X65" s="37">
        <f t="shared" si="27"/>
        <v>1.9472385200312629E-3</v>
      </c>
      <c r="Y65" s="197"/>
      <c r="Z65" s="188"/>
      <c r="AA65" s="188"/>
      <c r="AB65" s="188"/>
      <c r="AC65" s="188"/>
      <c r="AD65" s="188"/>
      <c r="AE65" s="188"/>
      <c r="AF65" s="198"/>
    </row>
    <row r="66" spans="2:32" x14ac:dyDescent="0.35">
      <c r="B66" s="70">
        <v>46137</v>
      </c>
      <c r="C66" s="67" t="s">
        <v>356</v>
      </c>
      <c r="D66" s="52" t="s">
        <v>355</v>
      </c>
      <c r="E66" s="48">
        <v>1743.828</v>
      </c>
      <c r="F66" s="48">
        <v>1741.999</v>
      </c>
      <c r="G66" s="38">
        <f t="shared" si="14"/>
        <v>-1.8289999999999509</v>
      </c>
      <c r="H66" s="120">
        <f t="shared" si="15"/>
        <v>-1.0488419729468451E-3</v>
      </c>
      <c r="I66" s="42">
        <v>4550.95</v>
      </c>
      <c r="J66" s="42">
        <v>4617</v>
      </c>
      <c r="K66" s="41">
        <f t="shared" si="16"/>
        <v>66.050000000000182</v>
      </c>
      <c r="L66" s="37">
        <f t="shared" si="17"/>
        <v>1.4513453235038878E-2</v>
      </c>
      <c r="M66" s="141">
        <f t="shared" si="18"/>
        <v>7.9360740365999991</v>
      </c>
      <c r="N66" s="119">
        <f t="shared" si="19"/>
        <v>8.0428093829999998</v>
      </c>
      <c r="O66" s="118">
        <f t="shared" si="20"/>
        <v>0.10673534640000071</v>
      </c>
      <c r="P66" s="37">
        <f t="shared" si="21"/>
        <v>1.3449388943166746E-2</v>
      </c>
      <c r="Q66" s="42">
        <v>862467.16200000001</v>
      </c>
      <c r="R66" s="42">
        <v>868877</v>
      </c>
      <c r="S66" s="41">
        <f t="shared" si="22"/>
        <v>6409.8379999999888</v>
      </c>
      <c r="T66" s="37">
        <f t="shared" si="23"/>
        <v>7.4319791899508736E-3</v>
      </c>
      <c r="U66" s="40">
        <f t="shared" si="24"/>
        <v>1503.994386176136</v>
      </c>
      <c r="V66" s="39">
        <f t="shared" si="25"/>
        <v>1513.5828651229999</v>
      </c>
      <c r="W66" s="38">
        <f t="shared" si="26"/>
        <v>9.5884789468639156</v>
      </c>
      <c r="X66" s="37">
        <f t="shared" si="27"/>
        <v>6.3753422452874691E-3</v>
      </c>
      <c r="Y66" s="197"/>
      <c r="Z66" s="188"/>
      <c r="AA66" s="188"/>
      <c r="AB66" s="188"/>
      <c r="AC66" s="188"/>
      <c r="AD66" s="188"/>
      <c r="AE66" s="188"/>
      <c r="AF66" s="198"/>
    </row>
    <row r="67" spans="2:32" x14ac:dyDescent="0.35">
      <c r="B67" s="70">
        <v>46142</v>
      </c>
      <c r="C67" s="67" t="s">
        <v>354</v>
      </c>
      <c r="D67" s="52" t="s">
        <v>353</v>
      </c>
      <c r="E67" s="48">
        <v>1744.1010000000001</v>
      </c>
      <c r="F67" s="48">
        <v>1744.42</v>
      </c>
      <c r="G67" s="38">
        <f t="shared" si="14"/>
        <v>0.31899999999995998</v>
      </c>
      <c r="H67" s="120">
        <f t="shared" si="15"/>
        <v>1.8290225164710068E-4</v>
      </c>
      <c r="I67" s="42">
        <v>4505.0889999999999</v>
      </c>
      <c r="J67" s="42">
        <v>4462</v>
      </c>
      <c r="K67" s="41">
        <f t="shared" si="16"/>
        <v>-43.088999999999942</v>
      </c>
      <c r="L67" s="37">
        <f t="shared" si="17"/>
        <v>-9.5645169274125204E-3</v>
      </c>
      <c r="M67" s="141">
        <f t="shared" si="18"/>
        <v>7.8573302299890004</v>
      </c>
      <c r="N67" s="119">
        <f t="shared" si="19"/>
        <v>7.7836020399999999</v>
      </c>
      <c r="O67" s="118">
        <f t="shared" si="20"/>
        <v>-7.3728189989000548E-2</v>
      </c>
      <c r="P67" s="37">
        <f t="shared" si="21"/>
        <v>-9.3833640474474192E-3</v>
      </c>
      <c r="Q67" s="42">
        <v>877750.95700000005</v>
      </c>
      <c r="R67" s="42">
        <v>868531</v>
      </c>
      <c r="S67" s="41">
        <f t="shared" si="22"/>
        <v>-9219.9570000000531</v>
      </c>
      <c r="T67" s="37">
        <f t="shared" si="23"/>
        <v>-1.0504069436178412E-2</v>
      </c>
      <c r="U67" s="40">
        <f t="shared" si="24"/>
        <v>1530.8863218546571</v>
      </c>
      <c r="V67" s="39">
        <f t="shared" si="25"/>
        <v>1515.0828470199999</v>
      </c>
      <c r="W67" s="38">
        <f t="shared" si="26"/>
        <v>-15.803474834657209</v>
      </c>
      <c r="X67" s="37">
        <f t="shared" si="27"/>
        <v>-1.0323088402482699E-2</v>
      </c>
      <c r="Y67" s="197"/>
      <c r="Z67" s="188"/>
      <c r="AA67" s="188"/>
      <c r="AB67" s="188"/>
      <c r="AC67" s="188"/>
      <c r="AD67" s="188"/>
      <c r="AE67" s="188"/>
      <c r="AF67" s="198"/>
    </row>
    <row r="68" spans="2:32" x14ac:dyDescent="0.35">
      <c r="B68" s="70">
        <v>46142</v>
      </c>
      <c r="C68" s="67" t="s">
        <v>352</v>
      </c>
      <c r="D68" s="52" t="s">
        <v>351</v>
      </c>
      <c r="E68" s="48">
        <v>1749.4880000000001</v>
      </c>
      <c r="F68" s="48">
        <v>1748.15</v>
      </c>
      <c r="G68" s="38">
        <f t="shared" si="14"/>
        <v>-1.3379999999999654</v>
      </c>
      <c r="H68" s="120">
        <f t="shared" si="15"/>
        <v>-7.6479518579148037E-4</v>
      </c>
      <c r="I68" s="42">
        <v>4506.0889999999999</v>
      </c>
      <c r="J68" s="42">
        <v>4533</v>
      </c>
      <c r="K68" s="41">
        <f t="shared" si="16"/>
        <v>26.911000000000058</v>
      </c>
      <c r="L68" s="37">
        <f t="shared" si="17"/>
        <v>5.9721412515376547E-3</v>
      </c>
      <c r="M68" s="141">
        <f t="shared" si="18"/>
        <v>7.8833486324319999</v>
      </c>
      <c r="N68" s="119">
        <f t="shared" si="19"/>
        <v>7.92436395</v>
      </c>
      <c r="O68" s="118">
        <f t="shared" si="20"/>
        <v>4.1015317568000143E-2</v>
      </c>
      <c r="P68" s="37">
        <f t="shared" si="21"/>
        <v>5.2027786008681165E-3</v>
      </c>
      <c r="Q68" s="42">
        <v>860155.42</v>
      </c>
      <c r="R68" s="42">
        <v>856843</v>
      </c>
      <c r="S68" s="41">
        <f t="shared" si="22"/>
        <v>-3312.4200000000419</v>
      </c>
      <c r="T68" s="37">
        <f t="shared" si="23"/>
        <v>-3.8509552145820831E-3</v>
      </c>
      <c r="U68" s="40">
        <f t="shared" si="24"/>
        <v>1504.8315854249602</v>
      </c>
      <c r="V68" s="39">
        <f t="shared" si="25"/>
        <v>1497.8900904500001</v>
      </c>
      <c r="W68" s="38">
        <f t="shared" si="26"/>
        <v>-6.941494974960051</v>
      </c>
      <c r="X68" s="37">
        <f t="shared" si="27"/>
        <v>-4.6128052083647571E-3</v>
      </c>
      <c r="Y68" s="197"/>
      <c r="Z68" s="188"/>
      <c r="AA68" s="188"/>
      <c r="AB68" s="188"/>
      <c r="AC68" s="188"/>
      <c r="AD68" s="188"/>
      <c r="AE68" s="188"/>
      <c r="AF68" s="198"/>
    </row>
    <row r="69" spans="2:32" x14ac:dyDescent="0.35">
      <c r="B69" s="70">
        <v>46142</v>
      </c>
      <c r="C69" s="67" t="s">
        <v>350</v>
      </c>
      <c r="D69" s="52" t="s">
        <v>349</v>
      </c>
      <c r="E69" s="48">
        <v>1702.9159999999999</v>
      </c>
      <c r="F69" s="48">
        <v>1702.7760000000001</v>
      </c>
      <c r="G69" s="38">
        <f t="shared" si="14"/>
        <v>-0.13999999999987267</v>
      </c>
      <c r="H69" s="120">
        <f t="shared" si="15"/>
        <v>-8.221192354753416E-5</v>
      </c>
      <c r="I69" s="42">
        <v>4494.8990000000003</v>
      </c>
      <c r="J69" s="42">
        <v>4483</v>
      </c>
      <c r="K69" s="41">
        <f t="shared" si="16"/>
        <v>-11.899000000000342</v>
      </c>
      <c r="L69" s="37">
        <f t="shared" si="17"/>
        <v>-2.6472229965568395E-3</v>
      </c>
      <c r="M69" s="141">
        <f t="shared" si="18"/>
        <v>7.6544354254840004</v>
      </c>
      <c r="N69" s="119">
        <f t="shared" si="19"/>
        <v>7.6335448079999999</v>
      </c>
      <c r="O69" s="118">
        <f t="shared" si="20"/>
        <v>-2.0890617484000451E-2</v>
      </c>
      <c r="P69" s="37">
        <f t="shared" si="21"/>
        <v>-2.7292172868098249E-3</v>
      </c>
      <c r="Q69" s="42">
        <v>824569.59499999997</v>
      </c>
      <c r="R69" s="42">
        <v>822770</v>
      </c>
      <c r="S69" s="41">
        <f t="shared" si="22"/>
        <v>-1799.5949999999721</v>
      </c>
      <c r="T69" s="37">
        <f t="shared" si="23"/>
        <v>-2.1824658717860827E-3</v>
      </c>
      <c r="U69" s="40">
        <f t="shared" si="24"/>
        <v>1404.1727564390198</v>
      </c>
      <c r="V69" s="39">
        <f t="shared" si="25"/>
        <v>1400.99300952</v>
      </c>
      <c r="W69" s="38">
        <f t="shared" si="26"/>
        <v>-3.1797469190198626</v>
      </c>
      <c r="X69" s="37">
        <f t="shared" si="27"/>
        <v>-2.2644983706162315E-3</v>
      </c>
      <c r="Y69" s="197"/>
      <c r="Z69" s="188"/>
      <c r="AA69" s="188"/>
      <c r="AB69" s="188"/>
      <c r="AC69" s="188"/>
      <c r="AD69" s="188"/>
      <c r="AE69" s="188"/>
      <c r="AF69" s="198"/>
    </row>
    <row r="70" spans="2:32" x14ac:dyDescent="0.35">
      <c r="B70" s="70">
        <v>46142</v>
      </c>
      <c r="C70" s="67" t="s">
        <v>348</v>
      </c>
      <c r="D70" s="52" t="s">
        <v>347</v>
      </c>
      <c r="E70" s="48">
        <v>830.072</v>
      </c>
      <c r="F70" s="48">
        <v>828.73099999999999</v>
      </c>
      <c r="G70" s="38">
        <f t="shared" si="14"/>
        <v>-1.3410000000000082</v>
      </c>
      <c r="H70" s="120">
        <f t="shared" si="15"/>
        <v>-1.6155225088908048E-3</v>
      </c>
      <c r="I70" s="42">
        <v>4631.982</v>
      </c>
      <c r="J70" s="42">
        <v>4667</v>
      </c>
      <c r="K70" s="41">
        <f t="shared" si="16"/>
        <v>35.018000000000029</v>
      </c>
      <c r="L70" s="37">
        <f t="shared" si="17"/>
        <v>7.5600466495767968E-3</v>
      </c>
      <c r="M70" s="141">
        <f t="shared" si="18"/>
        <v>3.8448785627040003</v>
      </c>
      <c r="N70" s="119">
        <f t="shared" si="19"/>
        <v>3.8676875769999999</v>
      </c>
      <c r="O70" s="118">
        <f t="shared" si="20"/>
        <v>2.2809014295999575E-2</v>
      </c>
      <c r="P70" s="37">
        <f t="shared" si="21"/>
        <v>5.9323107151552281E-3</v>
      </c>
      <c r="Q70" s="42">
        <v>845879.35800000001</v>
      </c>
      <c r="R70" s="42">
        <v>844440</v>
      </c>
      <c r="S70" s="41">
        <f t="shared" si="22"/>
        <v>-1439.3580000000075</v>
      </c>
      <c r="T70" s="37">
        <f t="shared" si="23"/>
        <v>-1.7016114489461361E-3</v>
      </c>
      <c r="U70" s="40">
        <f t="shared" si="24"/>
        <v>702.14077045377599</v>
      </c>
      <c r="V70" s="39">
        <f t="shared" si="25"/>
        <v>699.81360563999999</v>
      </c>
      <c r="W70" s="38">
        <f t="shared" si="26"/>
        <v>-2.3271648137759939</v>
      </c>
      <c r="X70" s="37">
        <f t="shared" si="27"/>
        <v>-3.314384966239755E-3</v>
      </c>
      <c r="Y70" s="197"/>
      <c r="Z70" s="188"/>
      <c r="AA70" s="188"/>
      <c r="AB70" s="188"/>
      <c r="AC70" s="188"/>
      <c r="AD70" s="188"/>
      <c r="AE70" s="188"/>
      <c r="AF70" s="198"/>
    </row>
    <row r="71" spans="2:32" x14ac:dyDescent="0.35">
      <c r="B71" s="70">
        <v>46154</v>
      </c>
      <c r="C71" s="67" t="s">
        <v>346</v>
      </c>
      <c r="D71" s="52" t="s">
        <v>345</v>
      </c>
      <c r="E71" s="48">
        <v>1765.837</v>
      </c>
      <c r="F71" s="48">
        <v>1765.471</v>
      </c>
      <c r="G71" s="38">
        <f t="shared" si="14"/>
        <v>-0.36599999999998545</v>
      </c>
      <c r="H71" s="120">
        <f t="shared" si="15"/>
        <v>-2.0726714866660143E-4</v>
      </c>
      <c r="I71" s="42">
        <v>4161.0550000000003</v>
      </c>
      <c r="J71" s="42">
        <v>4202</v>
      </c>
      <c r="K71" s="41">
        <f t="shared" si="16"/>
        <v>40.944999999999709</v>
      </c>
      <c r="L71" s="37">
        <f t="shared" si="17"/>
        <v>9.840052582818469E-3</v>
      </c>
      <c r="M71" s="141">
        <f t="shared" si="18"/>
        <v>7.3477448780350008</v>
      </c>
      <c r="N71" s="119">
        <f t="shared" si="19"/>
        <v>7.4185091419999996</v>
      </c>
      <c r="O71" s="118">
        <f t="shared" si="20"/>
        <v>7.0764263964998797E-2</v>
      </c>
      <c r="P71" s="37">
        <f t="shared" si="21"/>
        <v>9.6307459145101946E-3</v>
      </c>
      <c r="Q71" s="42">
        <v>886604.38600000006</v>
      </c>
      <c r="R71" s="42">
        <v>895020</v>
      </c>
      <c r="S71" s="41">
        <f t="shared" si="22"/>
        <v>8415.6139999999432</v>
      </c>
      <c r="T71" s="37">
        <f t="shared" si="23"/>
        <v>9.4919607131290946E-3</v>
      </c>
      <c r="U71" s="40">
        <f t="shared" si="24"/>
        <v>1565.598829161082</v>
      </c>
      <c r="V71" s="39">
        <f t="shared" si="25"/>
        <v>1580.1318544200001</v>
      </c>
      <c r="W71" s="38">
        <f t="shared" si="26"/>
        <v>14.533025258918087</v>
      </c>
      <c r="X71" s="37">
        <f t="shared" si="27"/>
        <v>9.2827261928303383E-3</v>
      </c>
      <c r="Y71" s="197"/>
      <c r="Z71" s="188"/>
      <c r="AA71" s="188"/>
      <c r="AB71" s="188"/>
      <c r="AC71" s="188"/>
      <c r="AD71" s="188"/>
      <c r="AE71" s="188"/>
      <c r="AF71" s="198"/>
    </row>
    <row r="72" spans="2:32" x14ac:dyDescent="0.35">
      <c r="B72" s="70">
        <v>46154</v>
      </c>
      <c r="C72" s="67" t="s">
        <v>344</v>
      </c>
      <c r="D72" s="52" t="s">
        <v>343</v>
      </c>
      <c r="E72" s="48">
        <v>1699.3879999999999</v>
      </c>
      <c r="F72" s="48">
        <v>1698.123</v>
      </c>
      <c r="G72" s="38">
        <f t="shared" si="14"/>
        <v>-1.2649999999998727</v>
      </c>
      <c r="H72" s="120">
        <f t="shared" si="15"/>
        <v>-7.4438562588406698E-4</v>
      </c>
      <c r="I72" s="42">
        <v>4156.3689999999997</v>
      </c>
      <c r="J72" s="42">
        <v>4174</v>
      </c>
      <c r="K72" s="41">
        <f t="shared" si="16"/>
        <v>17.631000000000313</v>
      </c>
      <c r="L72" s="37">
        <f t="shared" si="17"/>
        <v>4.2419236598098759E-3</v>
      </c>
      <c r="M72" s="141">
        <f t="shared" si="18"/>
        <v>7.0632836021719996</v>
      </c>
      <c r="N72" s="119">
        <f t="shared" si="19"/>
        <v>7.087965402</v>
      </c>
      <c r="O72" s="118">
        <f t="shared" si="20"/>
        <v>2.468179982800045E-2</v>
      </c>
      <c r="P72" s="37">
        <f t="shared" si="21"/>
        <v>3.4943804069272623E-3</v>
      </c>
      <c r="Q72" s="42">
        <v>879036.76699999999</v>
      </c>
      <c r="R72" s="42">
        <v>878187</v>
      </c>
      <c r="S72" s="41">
        <f t="shared" si="22"/>
        <v>-849.76699999999255</v>
      </c>
      <c r="T72" s="37">
        <f t="shared" si="23"/>
        <v>-9.667024542103056E-4</v>
      </c>
      <c r="U72" s="40">
        <f t="shared" si="24"/>
        <v>1493.8245333985958</v>
      </c>
      <c r="V72" s="39">
        <f t="shared" si="25"/>
        <v>1491.2695430009999</v>
      </c>
      <c r="W72" s="38">
        <f t="shared" si="26"/>
        <v>-2.5549903975959296</v>
      </c>
      <c r="X72" s="37">
        <f t="shared" si="27"/>
        <v>-1.7103684806829879E-3</v>
      </c>
      <c r="Y72" s="197"/>
      <c r="Z72" s="188"/>
      <c r="AA72" s="188"/>
      <c r="AB72" s="188"/>
      <c r="AC72" s="188"/>
      <c r="AD72" s="188"/>
      <c r="AE72" s="188"/>
      <c r="AF72" s="198"/>
    </row>
    <row r="73" spans="2:32" x14ac:dyDescent="0.35">
      <c r="B73" s="70">
        <v>46154</v>
      </c>
      <c r="C73" s="67" t="s">
        <v>342</v>
      </c>
      <c r="D73" s="52" t="s">
        <v>341</v>
      </c>
      <c r="E73" s="48">
        <v>1618.153</v>
      </c>
      <c r="F73" s="48">
        <v>1621.527</v>
      </c>
      <c r="G73" s="38">
        <f t="shared" si="14"/>
        <v>3.3740000000000236</v>
      </c>
      <c r="H73" s="120">
        <f t="shared" si="15"/>
        <v>2.0850933131786819E-3</v>
      </c>
      <c r="I73" s="42">
        <v>4056.1010000000001</v>
      </c>
      <c r="J73" s="42">
        <v>4062</v>
      </c>
      <c r="K73" s="41">
        <f t="shared" si="16"/>
        <v>5.8989999999998872</v>
      </c>
      <c r="L73" s="37">
        <f t="shared" si="17"/>
        <v>1.4543523447763966E-3</v>
      </c>
      <c r="M73" s="141">
        <f t="shared" si="18"/>
        <v>6.5633920014529998</v>
      </c>
      <c r="N73" s="119">
        <f t="shared" si="19"/>
        <v>6.5866426740000001</v>
      </c>
      <c r="O73" s="118">
        <f t="shared" si="20"/>
        <v>2.3250672547000306E-2</v>
      </c>
      <c r="P73" s="37">
        <f t="shared" si="21"/>
        <v>3.5424781183042374E-3</v>
      </c>
      <c r="Q73" s="42">
        <v>859708.61600000004</v>
      </c>
      <c r="R73" s="42">
        <v>862574</v>
      </c>
      <c r="S73" s="41">
        <f t="shared" si="22"/>
        <v>2865.3839999999618</v>
      </c>
      <c r="T73" s="37">
        <f t="shared" si="23"/>
        <v>3.3329711330937293E-3</v>
      </c>
      <c r="U73" s="40">
        <f t="shared" si="24"/>
        <v>1391.1400761062482</v>
      </c>
      <c r="V73" s="39">
        <f t="shared" si="25"/>
        <v>1398.6870304980002</v>
      </c>
      <c r="W73" s="38">
        <f t="shared" si="26"/>
        <v>7.5469543917520241</v>
      </c>
      <c r="X73" s="37">
        <f t="shared" si="27"/>
        <v>5.4250140020950886E-3</v>
      </c>
      <c r="Y73" s="197"/>
      <c r="Z73" s="188"/>
      <c r="AA73" s="188"/>
      <c r="AB73" s="188"/>
      <c r="AC73" s="188"/>
      <c r="AD73" s="188"/>
      <c r="AE73" s="188"/>
      <c r="AF73" s="198"/>
    </row>
    <row r="74" spans="2:32" x14ac:dyDescent="0.35">
      <c r="B74" s="70">
        <v>46154</v>
      </c>
      <c r="C74" s="67" t="s">
        <v>340</v>
      </c>
      <c r="D74" s="52" t="s">
        <v>339</v>
      </c>
      <c r="E74" s="48">
        <v>1676.9929999999999</v>
      </c>
      <c r="F74" s="48">
        <v>1677.905</v>
      </c>
      <c r="G74" s="38">
        <f t="shared" si="14"/>
        <v>0.91200000000003456</v>
      </c>
      <c r="H74" s="120">
        <f t="shared" si="15"/>
        <v>5.4383053477267626E-4</v>
      </c>
      <c r="I74" s="42">
        <v>3994.5610000000001</v>
      </c>
      <c r="J74" s="42">
        <v>4057</v>
      </c>
      <c r="K74" s="41">
        <f t="shared" si="16"/>
        <v>62.438999999999851</v>
      </c>
      <c r="L74" s="37">
        <f t="shared" si="17"/>
        <v>1.5631004258039833E-2</v>
      </c>
      <c r="M74" s="141">
        <f t="shared" si="18"/>
        <v>6.6988508350729994</v>
      </c>
      <c r="N74" s="119">
        <f t="shared" si="19"/>
        <v>6.8072605849999999</v>
      </c>
      <c r="O74" s="118">
        <f t="shared" si="20"/>
        <v>0.10840974992700048</v>
      </c>
      <c r="P74" s="37">
        <f t="shared" si="21"/>
        <v>1.618333541021728E-2</v>
      </c>
      <c r="Q74" s="42">
        <v>837912.52899999998</v>
      </c>
      <c r="R74" s="42">
        <v>842342</v>
      </c>
      <c r="S74" s="41">
        <f t="shared" si="22"/>
        <v>4429.4710000000196</v>
      </c>
      <c r="T74" s="37">
        <f t="shared" si="23"/>
        <v>5.2863167057381711E-3</v>
      </c>
      <c r="U74" s="40">
        <f t="shared" si="24"/>
        <v>1405.1734457452969</v>
      </c>
      <c r="V74" s="39">
        <f t="shared" si="25"/>
        <v>1413.36985351</v>
      </c>
      <c r="W74" s="38">
        <f t="shared" si="26"/>
        <v>8.1964077647030535</v>
      </c>
      <c r="X74" s="37">
        <f t="shared" si="27"/>
        <v>5.8330221009519007E-3</v>
      </c>
      <c r="Y74" s="197"/>
      <c r="Z74" s="188"/>
      <c r="AA74" s="188"/>
      <c r="AB74" s="188"/>
      <c r="AC74" s="188"/>
      <c r="AD74" s="188"/>
      <c r="AE74" s="188"/>
      <c r="AF74" s="198"/>
    </row>
    <row r="75" spans="2:32" x14ac:dyDescent="0.35">
      <c r="B75" s="70">
        <v>46163</v>
      </c>
      <c r="C75" s="67" t="s">
        <v>338</v>
      </c>
      <c r="D75" s="52" t="s">
        <v>337</v>
      </c>
      <c r="E75" s="48">
        <v>1651.1189999999999</v>
      </c>
      <c r="F75" s="48">
        <v>1656.452</v>
      </c>
      <c r="G75" s="38">
        <f t="shared" si="14"/>
        <v>5.3330000000000837</v>
      </c>
      <c r="H75" s="120">
        <f t="shared" si="15"/>
        <v>3.2299307318249524E-3</v>
      </c>
      <c r="I75" s="42">
        <v>4163.8590000000004</v>
      </c>
      <c r="J75" s="42">
        <v>4181</v>
      </c>
      <c r="K75" s="41">
        <f t="shared" si="16"/>
        <v>17.140999999999622</v>
      </c>
      <c r="L75" s="37">
        <f t="shared" si="17"/>
        <v>4.1166139391366563E-3</v>
      </c>
      <c r="M75" s="141">
        <f t="shared" si="18"/>
        <v>6.875026708221001</v>
      </c>
      <c r="N75" s="119">
        <f t="shared" si="19"/>
        <v>6.9256258119999998</v>
      </c>
      <c r="O75" s="118">
        <f t="shared" si="20"/>
        <v>5.0599103778998789E-2</v>
      </c>
      <c r="P75" s="37">
        <f t="shared" si="21"/>
        <v>7.359841048834549E-3</v>
      </c>
      <c r="Q75" s="42">
        <v>851150.201</v>
      </c>
      <c r="R75" s="42">
        <v>847891</v>
      </c>
      <c r="S75" s="41">
        <f t="shared" si="22"/>
        <v>-3259.2010000000009</v>
      </c>
      <c r="T75" s="37">
        <f t="shared" si="23"/>
        <v>-3.8291725669227692E-3</v>
      </c>
      <c r="U75" s="40">
        <f t="shared" si="24"/>
        <v>1405.3502687249188</v>
      </c>
      <c r="V75" s="39">
        <f t="shared" si="25"/>
        <v>1404.4907427320002</v>
      </c>
      <c r="W75" s="38">
        <f t="shared" si="26"/>
        <v>-0.85952599291863407</v>
      </c>
      <c r="X75" s="37">
        <f t="shared" si="27"/>
        <v>-6.1160979724897066E-4</v>
      </c>
      <c r="Y75" s="197"/>
      <c r="Z75" s="188"/>
      <c r="AA75" s="188"/>
      <c r="AB75" s="188"/>
      <c r="AC75" s="188"/>
      <c r="AD75" s="188"/>
      <c r="AE75" s="188"/>
      <c r="AF75" s="198"/>
    </row>
    <row r="76" spans="2:32" x14ac:dyDescent="0.35">
      <c r="B76" s="70">
        <v>46163</v>
      </c>
      <c r="C76" s="67" t="s">
        <v>336</v>
      </c>
      <c r="D76" s="52" t="s">
        <v>335</v>
      </c>
      <c r="E76" s="48">
        <v>1691.11</v>
      </c>
      <c r="F76" s="48">
        <v>1691.8209999999999</v>
      </c>
      <c r="G76" s="38">
        <f t="shared" si="14"/>
        <v>0.71100000000001273</v>
      </c>
      <c r="H76" s="120">
        <f t="shared" si="15"/>
        <v>4.20433916185235E-4</v>
      </c>
      <c r="I76" s="42">
        <v>4768.8609999999999</v>
      </c>
      <c r="J76" s="42">
        <v>4824</v>
      </c>
      <c r="K76" s="41">
        <f t="shared" si="16"/>
        <v>55.139000000000124</v>
      </c>
      <c r="L76" s="37">
        <f t="shared" si="17"/>
        <v>1.1562299677008855E-2</v>
      </c>
      <c r="M76" s="141">
        <f t="shared" si="18"/>
        <v>8.0646685257099993</v>
      </c>
      <c r="N76" s="119">
        <f t="shared" si="19"/>
        <v>8.1613445040000006</v>
      </c>
      <c r="O76" s="118">
        <f t="shared" si="20"/>
        <v>9.6675978290001297E-2</v>
      </c>
      <c r="P76" s="37">
        <f t="shared" si="21"/>
        <v>1.1987594776127529E-2</v>
      </c>
      <c r="Q76" s="42">
        <v>802718.88300000003</v>
      </c>
      <c r="R76" s="42">
        <v>802627</v>
      </c>
      <c r="S76" s="41">
        <f t="shared" si="22"/>
        <v>-91.883000000030734</v>
      </c>
      <c r="T76" s="37">
        <f t="shared" si="23"/>
        <v>-1.1446472974030029E-4</v>
      </c>
      <c r="U76" s="40">
        <f t="shared" si="24"/>
        <v>1357.48593023013</v>
      </c>
      <c r="V76" s="39">
        <f t="shared" si="25"/>
        <v>1357.9012137669999</v>
      </c>
      <c r="W76" s="38">
        <f t="shared" si="26"/>
        <v>0.41528353686999253</v>
      </c>
      <c r="X76" s="37">
        <f t="shared" si="27"/>
        <v>3.0592106159037019E-4</v>
      </c>
      <c r="Y76" s="197"/>
      <c r="Z76" s="188"/>
      <c r="AA76" s="188"/>
      <c r="AB76" s="188"/>
      <c r="AC76" s="188"/>
      <c r="AD76" s="188"/>
      <c r="AE76" s="188"/>
      <c r="AF76" s="198"/>
    </row>
    <row r="77" spans="2:32" x14ac:dyDescent="0.35">
      <c r="B77" s="70">
        <v>46163</v>
      </c>
      <c r="C77" s="67" t="s">
        <v>334</v>
      </c>
      <c r="D77" s="52" t="s">
        <v>333</v>
      </c>
      <c r="E77" s="48">
        <v>1663.9069999999999</v>
      </c>
      <c r="F77" s="48">
        <v>1662.395</v>
      </c>
      <c r="G77" s="38">
        <f t="shared" ref="G77:G108" si="28">(IF(F77="","",F77-E77))</f>
        <v>-1.5119999999999436</v>
      </c>
      <c r="H77" s="120">
        <f t="shared" ref="H77:H108" si="29">IF(G77="","",G77/E77)</f>
        <v>-9.0870463313150532E-4</v>
      </c>
      <c r="I77" s="42">
        <v>4758.5020000000004</v>
      </c>
      <c r="J77" s="42">
        <v>4814</v>
      </c>
      <c r="K77" s="41">
        <f t="shared" ref="K77:K108" si="30">(IF(J77="","",J77-I77))</f>
        <v>55.497999999999593</v>
      </c>
      <c r="L77" s="37">
        <f t="shared" ref="L77:L108" si="31">IF(K77="","",K77/I77)</f>
        <v>1.1662914085146877E-2</v>
      </c>
      <c r="M77" s="141">
        <f t="shared" ref="M77:M108" si="32">IF(I77="","",(E77*I77)/1000000)</f>
        <v>7.9177047873140003</v>
      </c>
      <c r="N77" s="119">
        <f t="shared" ref="N77:N108" si="33">IF(J77="","",(F77*J77)/1000000)</f>
        <v>8.0027695300000001</v>
      </c>
      <c r="O77" s="118">
        <f t="shared" ref="O77:O108" si="34">(IF(N77="","",N77-M77))</f>
        <v>8.5064742685999839E-2</v>
      </c>
      <c r="P77" s="37">
        <f t="shared" ref="P77:P108" si="35">IF(O77="","",O77/M77)</f>
        <v>1.0743611307950417E-2</v>
      </c>
      <c r="Q77" s="42">
        <v>803970.14500000002</v>
      </c>
      <c r="R77" s="42">
        <v>805828</v>
      </c>
      <c r="S77" s="41">
        <f t="shared" ref="S77:S108" si="36">(IF(R77="","",R77-Q77))</f>
        <v>1857.8549999999814</v>
      </c>
      <c r="T77" s="37">
        <f t="shared" ref="T77:T108" si="37">IF(S77="","",S77/Q77)</f>
        <v>2.3108507343888762E-3</v>
      </c>
      <c r="U77" s="40">
        <f t="shared" ref="U77:U108" si="38">IF(Q77="","",(E77*Q77)/1000000)</f>
        <v>1337.7315520565151</v>
      </c>
      <c r="V77" s="39">
        <f t="shared" ref="V77:V108" si="39">IF(R77="","",(F77*R77)/1000000)</f>
        <v>1339.6044380599999</v>
      </c>
      <c r="W77" s="38">
        <f t="shared" ref="W77:W108" si="40">(IF(V77="","",V77-U77))</f>
        <v>1.8728860034848367</v>
      </c>
      <c r="X77" s="37">
        <f t="shared" ref="X77:X108" si="41">IF(W77="","",W77/U77)</f>
        <v>1.4000462204884236E-3</v>
      </c>
      <c r="Y77" s="197"/>
      <c r="Z77" s="188"/>
      <c r="AA77" s="188"/>
      <c r="AB77" s="188"/>
      <c r="AC77" s="188"/>
      <c r="AD77" s="188"/>
      <c r="AE77" s="188"/>
      <c r="AF77" s="198"/>
    </row>
    <row r="78" spans="2:32" x14ac:dyDescent="0.35">
      <c r="B78" s="70">
        <v>46163</v>
      </c>
      <c r="C78" s="67" t="s">
        <v>332</v>
      </c>
      <c r="D78" s="52" t="s">
        <v>331</v>
      </c>
      <c r="E78" s="48">
        <v>1757.9570000000001</v>
      </c>
      <c r="F78" s="48">
        <v>1762.1669999999999</v>
      </c>
      <c r="G78" s="38">
        <f t="shared" si="28"/>
        <v>4.209999999999809</v>
      </c>
      <c r="H78" s="120">
        <f t="shared" si="29"/>
        <v>2.3948253569341053E-3</v>
      </c>
      <c r="I78" s="42">
        <v>5007.2950000000001</v>
      </c>
      <c r="J78" s="42">
        <v>5012</v>
      </c>
      <c r="K78" s="41">
        <f t="shared" si="30"/>
        <v>4.7049999999999272</v>
      </c>
      <c r="L78" s="37">
        <f t="shared" si="31"/>
        <v>9.3962908117055757E-4</v>
      </c>
      <c r="M78" s="141">
        <f t="shared" si="32"/>
        <v>8.8026092963150013</v>
      </c>
      <c r="N78" s="119">
        <f t="shared" si="33"/>
        <v>8.8319810039999993</v>
      </c>
      <c r="O78" s="118">
        <f t="shared" si="34"/>
        <v>2.9371707684997972E-2</v>
      </c>
      <c r="P78" s="37">
        <f t="shared" si="35"/>
        <v>3.3367046856542554E-3</v>
      </c>
      <c r="Q78" s="42">
        <v>802770.10600000003</v>
      </c>
      <c r="R78" s="42">
        <v>802028</v>
      </c>
      <c r="S78" s="41">
        <f t="shared" si="36"/>
        <v>-742.10600000002887</v>
      </c>
      <c r="T78" s="37">
        <f t="shared" si="37"/>
        <v>-9.2443153332870723E-4</v>
      </c>
      <c r="U78" s="40">
        <f t="shared" si="38"/>
        <v>1411.2353272334421</v>
      </c>
      <c r="V78" s="39">
        <f t="shared" si="39"/>
        <v>1413.3072746759999</v>
      </c>
      <c r="W78" s="38">
        <f t="shared" si="40"/>
        <v>2.0719474425577573</v>
      </c>
      <c r="X78" s="37">
        <f t="shared" si="41"/>
        <v>1.4681799715286054E-3</v>
      </c>
      <c r="Y78" s="197"/>
      <c r="Z78" s="188"/>
      <c r="AA78" s="188"/>
      <c r="AB78" s="188"/>
      <c r="AC78" s="188"/>
      <c r="AD78" s="188"/>
      <c r="AE78" s="188"/>
      <c r="AF78" s="198"/>
    </row>
    <row r="79" spans="2:32" x14ac:dyDescent="0.35">
      <c r="B79" s="70">
        <v>46169</v>
      </c>
      <c r="C79" s="67" t="s">
        <v>330</v>
      </c>
      <c r="D79" s="52" t="s">
        <v>329</v>
      </c>
      <c r="E79" s="48">
        <v>1761.202</v>
      </c>
      <c r="F79" s="48">
        <v>1759.2270000000001</v>
      </c>
      <c r="G79" s="38">
        <f t="shared" si="28"/>
        <v>-1.9749999999999091</v>
      </c>
      <c r="H79" s="120">
        <f t="shared" si="29"/>
        <v>-1.1213932303051604E-3</v>
      </c>
      <c r="I79" s="42">
        <v>4753.3760000000002</v>
      </c>
      <c r="J79" s="42">
        <v>4762</v>
      </c>
      <c r="K79" s="41">
        <f t="shared" si="30"/>
        <v>8.6239999999997963</v>
      </c>
      <c r="L79" s="37">
        <f t="shared" si="31"/>
        <v>1.8142894650033567E-3</v>
      </c>
      <c r="M79" s="141">
        <f t="shared" si="32"/>
        <v>8.3716553179520012</v>
      </c>
      <c r="N79" s="119">
        <f t="shared" si="33"/>
        <v>8.3774389740000004</v>
      </c>
      <c r="O79" s="118">
        <f t="shared" si="34"/>
        <v>5.7836560479991306E-3</v>
      </c>
      <c r="P79" s="37">
        <f t="shared" si="35"/>
        <v>6.9086170277421488E-4</v>
      </c>
      <c r="Q79" s="42">
        <v>820992.90899999999</v>
      </c>
      <c r="R79" s="42">
        <v>823173</v>
      </c>
      <c r="S79" s="41">
        <f t="shared" si="36"/>
        <v>2180.0910000000149</v>
      </c>
      <c r="T79" s="37">
        <f t="shared" si="37"/>
        <v>2.6554321920459058E-3</v>
      </c>
      <c r="U79" s="40">
        <f t="shared" si="38"/>
        <v>1445.9343533166179</v>
      </c>
      <c r="V79" s="39">
        <f t="shared" si="39"/>
        <v>1448.1481672710001</v>
      </c>
      <c r="W79" s="38">
        <f t="shared" si="40"/>
        <v>2.2138139543822035</v>
      </c>
      <c r="X79" s="37">
        <f t="shared" si="41"/>
        <v>1.5310611780571218E-3</v>
      </c>
      <c r="Y79" s="197"/>
      <c r="Z79" s="188"/>
      <c r="AA79" s="188"/>
      <c r="AB79" s="188"/>
      <c r="AC79" s="188"/>
      <c r="AD79" s="188"/>
      <c r="AE79" s="188"/>
      <c r="AF79" s="198"/>
    </row>
    <row r="80" spans="2:32" x14ac:dyDescent="0.35">
      <c r="B80" s="70">
        <v>46169</v>
      </c>
      <c r="C80" s="67" t="s">
        <v>328</v>
      </c>
      <c r="D80" s="52" t="s">
        <v>327</v>
      </c>
      <c r="E80" s="48">
        <v>1711.42</v>
      </c>
      <c r="F80" s="48">
        <v>1711.6759999999999</v>
      </c>
      <c r="G80" s="38">
        <f t="shared" si="28"/>
        <v>0.25599999999985812</v>
      </c>
      <c r="H80" s="120">
        <f t="shared" si="29"/>
        <v>1.4958338689501004E-4</v>
      </c>
      <c r="I80" s="42">
        <v>4938.357</v>
      </c>
      <c r="J80" s="42">
        <v>4997</v>
      </c>
      <c r="K80" s="41">
        <f t="shared" si="30"/>
        <v>58.643000000000029</v>
      </c>
      <c r="L80" s="37">
        <f t="shared" si="31"/>
        <v>1.18750021515253E-2</v>
      </c>
      <c r="M80" s="141">
        <f t="shared" si="32"/>
        <v>8.4516029369399988</v>
      </c>
      <c r="N80" s="119">
        <f t="shared" si="33"/>
        <v>8.5532449719999999</v>
      </c>
      <c r="O80" s="118">
        <f t="shared" si="34"/>
        <v>0.10164203506000113</v>
      </c>
      <c r="P80" s="37">
        <f t="shared" si="35"/>
        <v>1.2026361841461735E-2</v>
      </c>
      <c r="Q80" s="42">
        <v>846569.71299999999</v>
      </c>
      <c r="R80" s="42">
        <v>845549</v>
      </c>
      <c r="S80" s="41">
        <f t="shared" si="36"/>
        <v>-1020.7129999999888</v>
      </c>
      <c r="T80" s="37">
        <f t="shared" si="37"/>
        <v>-1.2057046033254308E-3</v>
      </c>
      <c r="U80" s="40">
        <f t="shared" si="38"/>
        <v>1448.83633822246</v>
      </c>
      <c r="V80" s="39">
        <f t="shared" si="39"/>
        <v>1447.3059301239998</v>
      </c>
      <c r="W80" s="38">
        <f t="shared" si="40"/>
        <v>-1.5304080984601569</v>
      </c>
      <c r="X80" s="37">
        <f t="shared" si="41"/>
        <v>-1.0563015698086197E-3</v>
      </c>
      <c r="Y80" s="197"/>
      <c r="Z80" s="188"/>
      <c r="AA80" s="188"/>
      <c r="AB80" s="188"/>
      <c r="AC80" s="188"/>
      <c r="AD80" s="188"/>
      <c r="AE80" s="188"/>
      <c r="AF80" s="198"/>
    </row>
    <row r="81" spans="2:32" x14ac:dyDescent="0.35">
      <c r="B81" s="70">
        <v>46172</v>
      </c>
      <c r="C81" s="67" t="s">
        <v>326</v>
      </c>
      <c r="D81" s="52" t="s">
        <v>325</v>
      </c>
      <c r="E81" s="48">
        <v>1768.5340000000001</v>
      </c>
      <c r="F81" s="48">
        <v>1769.57</v>
      </c>
      <c r="G81" s="38">
        <f t="shared" si="28"/>
        <v>1.0359999999998308</v>
      </c>
      <c r="H81" s="120">
        <f t="shared" si="29"/>
        <v>5.8579591910578525E-4</v>
      </c>
      <c r="I81" s="42">
        <v>5256.1469999999999</v>
      </c>
      <c r="J81" s="42">
        <v>5319</v>
      </c>
      <c r="K81" s="41">
        <f t="shared" si="30"/>
        <v>62.853000000000065</v>
      </c>
      <c r="L81" s="37">
        <f t="shared" si="31"/>
        <v>1.1957998891583525E-2</v>
      </c>
      <c r="M81" s="141">
        <f t="shared" si="32"/>
        <v>9.2956746784979991</v>
      </c>
      <c r="N81" s="119">
        <f t="shared" si="33"/>
        <v>9.41234283</v>
      </c>
      <c r="O81" s="118">
        <f t="shared" si="34"/>
        <v>0.11666815150200094</v>
      </c>
      <c r="P81" s="37">
        <f t="shared" si="35"/>
        <v>1.2550799757640858E-2</v>
      </c>
      <c r="Q81" s="42">
        <v>867068.13500000001</v>
      </c>
      <c r="R81" s="42">
        <v>867594</v>
      </c>
      <c r="S81" s="41">
        <f t="shared" si="36"/>
        <v>525.86499999999069</v>
      </c>
      <c r="T81" s="37">
        <f t="shared" si="37"/>
        <v>6.0648636338133993E-4</v>
      </c>
      <c r="U81" s="40">
        <f t="shared" si="38"/>
        <v>1533.4394770640899</v>
      </c>
      <c r="V81" s="39">
        <f t="shared" si="39"/>
        <v>1535.2683145799999</v>
      </c>
      <c r="W81" s="38">
        <f t="shared" si="40"/>
        <v>1.8288375159099814</v>
      </c>
      <c r="X81" s="37">
        <f t="shared" si="41"/>
        <v>1.1926375597238817E-3</v>
      </c>
      <c r="Y81" s="197"/>
      <c r="Z81" s="188"/>
      <c r="AA81" s="188"/>
      <c r="AB81" s="188"/>
      <c r="AC81" s="188"/>
      <c r="AD81" s="188"/>
      <c r="AE81" s="188"/>
      <c r="AF81" s="198"/>
    </row>
    <row r="82" spans="2:32" x14ac:dyDescent="0.35">
      <c r="B82" s="70">
        <v>46172</v>
      </c>
      <c r="C82" s="67" t="s">
        <v>324</v>
      </c>
      <c r="D82" s="52" t="s">
        <v>323</v>
      </c>
      <c r="E82" s="48">
        <v>1719.489</v>
      </c>
      <c r="F82" s="48">
        <v>1720.8109999999999</v>
      </c>
      <c r="G82" s="38">
        <f t="shared" si="28"/>
        <v>1.321999999999889</v>
      </c>
      <c r="H82" s="120">
        <f t="shared" si="29"/>
        <v>7.6883306610271371E-4</v>
      </c>
      <c r="I82" s="42">
        <v>5005.9120000000003</v>
      </c>
      <c r="J82" s="42">
        <v>5031</v>
      </c>
      <c r="K82" s="41">
        <f t="shared" si="30"/>
        <v>25.087999999999738</v>
      </c>
      <c r="L82" s="37">
        <f t="shared" si="31"/>
        <v>5.0116741964300882E-3</v>
      </c>
      <c r="M82" s="141">
        <f t="shared" si="32"/>
        <v>8.6076106189680015</v>
      </c>
      <c r="N82" s="119">
        <f t="shared" si="33"/>
        <v>8.6574001409999983</v>
      </c>
      <c r="O82" s="118">
        <f t="shared" si="34"/>
        <v>4.9789522031996825E-2</v>
      </c>
      <c r="P82" s="37">
        <f t="shared" si="35"/>
        <v>5.7843604033712987E-3</v>
      </c>
      <c r="Q82" s="42">
        <v>858943.82499999995</v>
      </c>
      <c r="R82" s="42">
        <v>857959</v>
      </c>
      <c r="S82" s="41">
        <f t="shared" si="36"/>
        <v>-984.82499999995343</v>
      </c>
      <c r="T82" s="37">
        <f t="shared" si="37"/>
        <v>-1.1465534431194654E-3</v>
      </c>
      <c r="U82" s="40">
        <f t="shared" si="38"/>
        <v>1476.9444587054249</v>
      </c>
      <c r="V82" s="39">
        <f t="shared" si="39"/>
        <v>1476.3852847489998</v>
      </c>
      <c r="W82" s="38">
        <f t="shared" si="40"/>
        <v>-0.55917395642518386</v>
      </c>
      <c r="X82" s="37">
        <f t="shared" si="41"/>
        <v>-3.7860188521599003E-4</v>
      </c>
      <c r="Y82" s="199"/>
      <c r="Z82" s="200"/>
      <c r="AA82" s="200"/>
      <c r="AB82" s="200"/>
      <c r="AC82" s="200"/>
      <c r="AD82" s="200"/>
      <c r="AE82" s="200"/>
      <c r="AF82" s="201"/>
    </row>
    <row r="83" spans="2:32" x14ac:dyDescent="0.35">
      <c r="B83" s="70">
        <v>46172</v>
      </c>
      <c r="C83" s="66" t="s">
        <v>322</v>
      </c>
      <c r="D83" s="52" t="s">
        <v>321</v>
      </c>
      <c r="E83" s="48">
        <v>1361.7</v>
      </c>
      <c r="F83" s="48">
        <v>1360.288</v>
      </c>
      <c r="G83" s="38">
        <f t="shared" si="28"/>
        <v>-1.4120000000000346</v>
      </c>
      <c r="H83" s="120">
        <f t="shared" si="29"/>
        <v>-1.0369391202174007E-3</v>
      </c>
      <c r="I83" s="42">
        <v>4741.1750000000002</v>
      </c>
      <c r="J83" s="42">
        <v>4750</v>
      </c>
      <c r="K83" s="41">
        <f t="shared" si="30"/>
        <v>8.8249999999998181</v>
      </c>
      <c r="L83" s="37">
        <f t="shared" si="31"/>
        <v>1.8613529346627824E-3</v>
      </c>
      <c r="M83" s="141">
        <f t="shared" si="32"/>
        <v>6.4560579975000003</v>
      </c>
      <c r="N83" s="119">
        <f t="shared" si="33"/>
        <v>6.4613680000000002</v>
      </c>
      <c r="O83" s="118">
        <f t="shared" si="34"/>
        <v>5.3100024999999107E-3</v>
      </c>
      <c r="P83" s="37">
        <f t="shared" si="35"/>
        <v>8.2248370477094846E-4</v>
      </c>
      <c r="Q83" s="42">
        <v>864079.81900000002</v>
      </c>
      <c r="R83" s="42">
        <v>862122</v>
      </c>
      <c r="S83" s="41">
        <f t="shared" si="36"/>
        <v>-1957.8190000000177</v>
      </c>
      <c r="T83" s="37">
        <f t="shared" si="37"/>
        <v>-2.2657848927264642E-3</v>
      </c>
      <c r="U83" s="40">
        <f t="shared" si="38"/>
        <v>1176.6174895322999</v>
      </c>
      <c r="V83" s="39">
        <f t="shared" si="39"/>
        <v>1172.7342111359999</v>
      </c>
      <c r="W83" s="38">
        <f t="shared" si="40"/>
        <v>-3.8832783963000566</v>
      </c>
      <c r="X83" s="37">
        <f t="shared" si="41"/>
        <v>-3.3003745319506016E-3</v>
      </c>
      <c r="Y83" s="205"/>
      <c r="Z83" s="206"/>
      <c r="AA83" s="206"/>
      <c r="AB83" s="206"/>
      <c r="AC83" s="206"/>
      <c r="AD83" s="206"/>
      <c r="AE83" s="206"/>
      <c r="AF83" s="207"/>
    </row>
    <row r="84" spans="2:32" x14ac:dyDescent="0.35">
      <c r="B84" s="70">
        <v>46172</v>
      </c>
      <c r="C84" s="67" t="s">
        <v>320</v>
      </c>
      <c r="D84" s="52" t="s">
        <v>319</v>
      </c>
      <c r="E84" s="48">
        <v>1089.0530000000001</v>
      </c>
      <c r="F84" s="48">
        <v>1089.5740000000001</v>
      </c>
      <c r="G84" s="38">
        <f t="shared" si="28"/>
        <v>0.52099999999995816</v>
      </c>
      <c r="H84" s="120">
        <f t="shared" si="29"/>
        <v>4.7839728644974867E-4</v>
      </c>
      <c r="I84" s="42">
        <v>4710.9369999999999</v>
      </c>
      <c r="J84" s="42">
        <v>4746</v>
      </c>
      <c r="K84" s="41">
        <f t="shared" si="30"/>
        <v>35.063000000000102</v>
      </c>
      <c r="L84" s="37">
        <f t="shared" si="31"/>
        <v>7.4428929955972882E-3</v>
      </c>
      <c r="M84" s="141">
        <f t="shared" si="32"/>
        <v>5.1304600726610001</v>
      </c>
      <c r="N84" s="119">
        <f t="shared" si="33"/>
        <v>5.1711182039999999</v>
      </c>
      <c r="O84" s="118">
        <f t="shared" si="34"/>
        <v>4.0658131338999759E-2</v>
      </c>
      <c r="P84" s="37">
        <f t="shared" si="35"/>
        <v>7.9248509418594366E-3</v>
      </c>
      <c r="Q84" s="42">
        <v>860486.821</v>
      </c>
      <c r="R84" s="42">
        <v>863318</v>
      </c>
      <c r="S84" s="41">
        <f t="shared" si="36"/>
        <v>2831.1790000000037</v>
      </c>
      <c r="T84" s="37">
        <f t="shared" si="37"/>
        <v>3.2902061146152101E-3</v>
      </c>
      <c r="U84" s="40">
        <f t="shared" si="38"/>
        <v>937.11575387051312</v>
      </c>
      <c r="V84" s="39">
        <f t="shared" si="39"/>
        <v>940.64884653200011</v>
      </c>
      <c r="W84" s="38">
        <f t="shared" si="40"/>
        <v>3.5330926614869895</v>
      </c>
      <c r="X84" s="37">
        <f t="shared" si="41"/>
        <v>3.7701774267420735E-3</v>
      </c>
      <c r="Y84" s="208" t="s">
        <v>299</v>
      </c>
      <c r="Z84" s="209"/>
      <c r="AA84" s="209"/>
      <c r="AB84" s="209"/>
      <c r="AC84" s="209"/>
      <c r="AD84" s="209"/>
      <c r="AE84" s="209"/>
      <c r="AF84" s="210"/>
    </row>
    <row r="85" spans="2:32" x14ac:dyDescent="0.35">
      <c r="B85" s="70">
        <v>46183</v>
      </c>
      <c r="C85" s="67">
        <v>73</v>
      </c>
      <c r="D85" s="52" t="s">
        <v>318</v>
      </c>
      <c r="E85" s="48">
        <v>1678.943</v>
      </c>
      <c r="F85" s="48">
        <v>1677.364</v>
      </c>
      <c r="G85" s="38">
        <f t="shared" si="28"/>
        <v>-1.5789999999999509</v>
      </c>
      <c r="H85" s="120">
        <f t="shared" si="29"/>
        <v>-9.4047266643355431E-4</v>
      </c>
      <c r="I85" s="42">
        <v>4382.9179999999997</v>
      </c>
      <c r="J85" s="42">
        <v>4422</v>
      </c>
      <c r="K85" s="41">
        <f t="shared" si="30"/>
        <v>39.082000000000335</v>
      </c>
      <c r="L85" s="37">
        <f t="shared" si="31"/>
        <v>8.9168905281824425E-3</v>
      </c>
      <c r="M85" s="119">
        <f t="shared" si="32"/>
        <v>7.3586694956739995</v>
      </c>
      <c r="N85" s="119">
        <f t="shared" si="33"/>
        <v>7.4173036080000001</v>
      </c>
      <c r="O85" s="118">
        <f t="shared" si="34"/>
        <v>5.8634112326000576E-2</v>
      </c>
      <c r="P85" s="37">
        <f t="shared" si="35"/>
        <v>7.9680317699375256E-3</v>
      </c>
      <c r="Q85" s="42">
        <v>855239.78500000003</v>
      </c>
      <c r="R85" s="42">
        <v>858348</v>
      </c>
      <c r="S85" s="41">
        <f t="shared" si="36"/>
        <v>3108.2149999999674</v>
      </c>
      <c r="T85" s="37">
        <f t="shared" si="37"/>
        <v>3.6343199351980184E-3</v>
      </c>
      <c r="U85" s="39">
        <f t="shared" si="38"/>
        <v>1435.8988503472549</v>
      </c>
      <c r="V85" s="39">
        <f t="shared" si="39"/>
        <v>1439.762034672</v>
      </c>
      <c r="W85" s="38">
        <f t="shared" si="40"/>
        <v>3.8631843247451343</v>
      </c>
      <c r="X85" s="37">
        <f t="shared" si="41"/>
        <v>2.6904292902044384E-3</v>
      </c>
      <c r="Y85" s="211"/>
      <c r="Z85" s="212"/>
      <c r="AA85" s="212"/>
      <c r="AB85" s="212"/>
      <c r="AC85" s="212"/>
      <c r="AD85" s="212"/>
      <c r="AE85" s="212"/>
      <c r="AF85" s="213"/>
    </row>
    <row r="86" spans="2:32" x14ac:dyDescent="0.35">
      <c r="B86" s="70">
        <v>46183</v>
      </c>
      <c r="C86" s="140">
        <v>74</v>
      </c>
      <c r="D86" s="52" t="s">
        <v>317</v>
      </c>
      <c r="E86" s="48">
        <v>1699.114</v>
      </c>
      <c r="F86" s="48">
        <v>1698.557</v>
      </c>
      <c r="G86" s="38">
        <f t="shared" si="28"/>
        <v>-0.55700000000001637</v>
      </c>
      <c r="H86" s="120">
        <f t="shared" si="29"/>
        <v>-3.2781790980476668E-4</v>
      </c>
      <c r="I86" s="139">
        <v>4353.2370000000001</v>
      </c>
      <c r="J86" s="139">
        <v>4222</v>
      </c>
      <c r="K86" s="138">
        <f t="shared" si="30"/>
        <v>-131.23700000000008</v>
      </c>
      <c r="L86" s="37">
        <f t="shared" si="31"/>
        <v>-3.0146991767275727E-2</v>
      </c>
      <c r="M86" s="119">
        <f t="shared" si="32"/>
        <v>7.3966459320180009</v>
      </c>
      <c r="N86" s="119">
        <f t="shared" si="33"/>
        <v>7.1713076540000005</v>
      </c>
      <c r="O86" s="118">
        <f t="shared" si="34"/>
        <v>-0.22533827801800044</v>
      </c>
      <c r="P86" s="37">
        <f t="shared" si="35"/>
        <v>-3.046492695325247E-2</v>
      </c>
      <c r="Q86" s="139">
        <v>837007.01</v>
      </c>
      <c r="R86" s="139">
        <v>818454</v>
      </c>
      <c r="S86" s="138">
        <f t="shared" si="36"/>
        <v>-18553.010000000009</v>
      </c>
      <c r="T86" s="37">
        <f t="shared" si="37"/>
        <v>-2.2165895599846899E-2</v>
      </c>
      <c r="U86" s="39">
        <f t="shared" si="38"/>
        <v>1422.1703287891401</v>
      </c>
      <c r="V86" s="39">
        <f t="shared" si="39"/>
        <v>1390.190770878</v>
      </c>
      <c r="W86" s="38">
        <f t="shared" si="40"/>
        <v>-31.979557911140091</v>
      </c>
      <c r="X86" s="37">
        <f t="shared" si="41"/>
        <v>-2.2486447132087216E-2</v>
      </c>
    </row>
    <row r="87" spans="2:32" x14ac:dyDescent="0.35">
      <c r="B87" s="70">
        <v>46183</v>
      </c>
      <c r="C87" s="67">
        <v>75</v>
      </c>
      <c r="D87" s="52" t="s">
        <v>316</v>
      </c>
      <c r="E87" s="48">
        <v>1677.8019999999999</v>
      </c>
      <c r="F87" s="48">
        <v>1678.2270000000001</v>
      </c>
      <c r="G87" s="38">
        <f t="shared" si="28"/>
        <v>0.4250000000001819</v>
      </c>
      <c r="H87" s="120">
        <f t="shared" si="29"/>
        <v>2.533076012546069E-4</v>
      </c>
      <c r="I87" s="42">
        <v>4070.0079999999998</v>
      </c>
      <c r="J87" s="42">
        <v>4110</v>
      </c>
      <c r="K87" s="41">
        <f t="shared" si="30"/>
        <v>39.992000000000189</v>
      </c>
      <c r="L87" s="37">
        <f t="shared" si="31"/>
        <v>9.8260249119903921E-3</v>
      </c>
      <c r="M87" s="119">
        <f t="shared" si="32"/>
        <v>6.8286675624159994</v>
      </c>
      <c r="N87" s="119">
        <f t="shared" si="33"/>
        <v>6.8975129700000011</v>
      </c>
      <c r="O87" s="118">
        <f t="shared" si="34"/>
        <v>6.8845407584001705E-2</v>
      </c>
      <c r="P87" s="37">
        <f t="shared" si="35"/>
        <v>1.0081821520045418E-2</v>
      </c>
      <c r="Q87" s="42">
        <v>804023.03599999996</v>
      </c>
      <c r="R87" s="42">
        <v>807113</v>
      </c>
      <c r="S87" s="41">
        <f t="shared" si="36"/>
        <v>3089.9640000000363</v>
      </c>
      <c r="T87" s="37">
        <f t="shared" si="37"/>
        <v>3.8431286936411067E-3</v>
      </c>
      <c r="U87" s="39">
        <f t="shared" si="38"/>
        <v>1348.9914578468718</v>
      </c>
      <c r="V87" s="39">
        <f t="shared" si="39"/>
        <v>1354.5188286509999</v>
      </c>
      <c r="W87" s="38">
        <f t="shared" si="40"/>
        <v>5.5273708041281679</v>
      </c>
      <c r="X87" s="37">
        <f t="shared" si="41"/>
        <v>4.097409788606384E-3</v>
      </c>
      <c r="Y87" s="205"/>
      <c r="Z87" s="206"/>
      <c r="AA87" s="206"/>
      <c r="AB87" s="206"/>
      <c r="AC87" s="206"/>
      <c r="AD87" s="206"/>
      <c r="AE87" s="206"/>
      <c r="AF87" s="207"/>
    </row>
    <row r="88" spans="2:32" x14ac:dyDescent="0.35">
      <c r="B88" s="70">
        <v>46183</v>
      </c>
      <c r="C88" s="67">
        <v>76</v>
      </c>
      <c r="D88" s="52" t="s">
        <v>315</v>
      </c>
      <c r="E88" s="48">
        <v>1741.896</v>
      </c>
      <c r="F88" s="48">
        <v>1740.1320000000001</v>
      </c>
      <c r="G88" s="38">
        <f t="shared" si="28"/>
        <v>-1.7639999999998963</v>
      </c>
      <c r="H88" s="120">
        <f t="shared" si="29"/>
        <v>-1.0126896209646824E-3</v>
      </c>
      <c r="I88" s="42">
        <v>4101.9989999999998</v>
      </c>
      <c r="J88" s="42">
        <v>4076</v>
      </c>
      <c r="K88" s="41">
        <f t="shared" si="30"/>
        <v>-25.998999999999796</v>
      </c>
      <c r="L88" s="37">
        <f t="shared" si="31"/>
        <v>-6.3381292876960229E-3</v>
      </c>
      <c r="M88" s="119">
        <f t="shared" si="32"/>
        <v>7.1452556501039997</v>
      </c>
      <c r="N88" s="119">
        <f t="shared" si="33"/>
        <v>7.0927780320000009</v>
      </c>
      <c r="O88" s="118">
        <f t="shared" si="34"/>
        <v>-5.2477618103998758E-2</v>
      </c>
      <c r="P88" s="37">
        <f t="shared" si="35"/>
        <v>-7.3444003509146576E-3</v>
      </c>
      <c r="Q88" s="42">
        <v>827244.17799999996</v>
      </c>
      <c r="R88" s="42">
        <v>822407</v>
      </c>
      <c r="S88" s="41">
        <f t="shared" si="36"/>
        <v>-4837.1779999999562</v>
      </c>
      <c r="T88" s="37">
        <f t="shared" si="37"/>
        <v>-5.8473400341053309E-3</v>
      </c>
      <c r="U88" s="39">
        <f t="shared" si="38"/>
        <v>1440.9733246814878</v>
      </c>
      <c r="V88" s="39">
        <f t="shared" si="39"/>
        <v>1431.0967377239999</v>
      </c>
      <c r="W88" s="38">
        <f t="shared" si="40"/>
        <v>-9.8765869574879162</v>
      </c>
      <c r="X88" s="37">
        <f t="shared" si="41"/>
        <v>-6.854108114507278E-3</v>
      </c>
      <c r="Y88" s="205"/>
      <c r="Z88" s="206"/>
      <c r="AA88" s="206"/>
      <c r="AB88" s="206"/>
      <c r="AC88" s="206"/>
      <c r="AD88" s="206"/>
      <c r="AE88" s="206"/>
      <c r="AF88" s="207"/>
    </row>
    <row r="89" spans="2:32" x14ac:dyDescent="0.35">
      <c r="B89" s="70">
        <v>46193</v>
      </c>
      <c r="C89" s="67">
        <v>77</v>
      </c>
      <c r="D89" s="52" t="s">
        <v>314</v>
      </c>
      <c r="E89" s="48">
        <v>1745.374</v>
      </c>
      <c r="F89" s="48">
        <v>1745.4169999999999</v>
      </c>
      <c r="G89" s="38">
        <f t="shared" si="28"/>
        <v>4.299999999989268E-2</v>
      </c>
      <c r="H89" s="120">
        <f t="shared" si="29"/>
        <v>2.4636553540898786E-5</v>
      </c>
      <c r="I89" s="42">
        <v>4178.9530000000004</v>
      </c>
      <c r="J89" s="42">
        <v>4179</v>
      </c>
      <c r="K89" s="41">
        <f t="shared" si="30"/>
        <v>4.6999999999570719E-2</v>
      </c>
      <c r="L89" s="37">
        <f t="shared" si="31"/>
        <v>1.1246836228971878E-5</v>
      </c>
      <c r="M89" s="119">
        <f t="shared" si="32"/>
        <v>7.2938359134220008</v>
      </c>
      <c r="N89" s="119">
        <f t="shared" si="33"/>
        <v>7.2940976429999989</v>
      </c>
      <c r="O89" s="118">
        <f t="shared" si="34"/>
        <v>2.6172957799808216E-4</v>
      </c>
      <c r="P89" s="37">
        <f t="shared" si="35"/>
        <v>3.5883666853054861E-5</v>
      </c>
      <c r="Q89" s="42">
        <v>867826.10699999996</v>
      </c>
      <c r="R89" s="42">
        <v>859433</v>
      </c>
      <c r="S89" s="41">
        <f t="shared" si="36"/>
        <v>-8393.10699999996</v>
      </c>
      <c r="T89" s="37">
        <f t="shared" si="37"/>
        <v>-9.6714156583906051E-3</v>
      </c>
      <c r="U89" s="39">
        <f t="shared" si="38"/>
        <v>1514.6811236790181</v>
      </c>
      <c r="V89" s="39">
        <f t="shared" si="39"/>
        <v>1500.0689685609998</v>
      </c>
      <c r="W89" s="38">
        <f t="shared" si="40"/>
        <v>-14.612155118018336</v>
      </c>
      <c r="X89" s="37">
        <f t="shared" si="41"/>
        <v>-9.6470173751995961E-3</v>
      </c>
    </row>
    <row r="90" spans="2:32" x14ac:dyDescent="0.35">
      <c r="B90" s="70">
        <v>46193</v>
      </c>
      <c r="C90" s="67">
        <v>78</v>
      </c>
      <c r="D90" s="52" t="s">
        <v>313</v>
      </c>
      <c r="E90" s="48">
        <v>1752.6479999999999</v>
      </c>
      <c r="F90" s="48">
        <v>1751.3309999999999</v>
      </c>
      <c r="G90" s="38">
        <f t="shared" si="28"/>
        <v>-1.3170000000000073</v>
      </c>
      <c r="H90" s="120">
        <f t="shared" si="29"/>
        <v>-7.51434400974986E-4</v>
      </c>
      <c r="I90" s="42">
        <v>4116.1000000000004</v>
      </c>
      <c r="J90" s="42">
        <v>4179</v>
      </c>
      <c r="K90" s="41">
        <f t="shared" si="30"/>
        <v>62.899999999999636</v>
      </c>
      <c r="L90" s="37">
        <f t="shared" si="31"/>
        <v>1.5281455746944833E-2</v>
      </c>
      <c r="M90" s="119">
        <f t="shared" si="32"/>
        <v>7.2140744328000004</v>
      </c>
      <c r="N90" s="119">
        <f t="shared" si="33"/>
        <v>7.3188122489999996</v>
      </c>
      <c r="O90" s="118">
        <f t="shared" si="34"/>
        <v>0.10473781619999922</v>
      </c>
      <c r="P90" s="37">
        <f t="shared" si="35"/>
        <v>1.4518538334424602E-2</v>
      </c>
      <c r="Q90" s="42">
        <v>868461.55299999996</v>
      </c>
      <c r="R90" s="42">
        <v>872330</v>
      </c>
      <c r="S90" s="41">
        <f t="shared" si="36"/>
        <v>3868.4470000000438</v>
      </c>
      <c r="T90" s="37">
        <f t="shared" si="37"/>
        <v>4.4543675959366784E-3</v>
      </c>
      <c r="U90" s="39">
        <f t="shared" si="38"/>
        <v>1522.107403942344</v>
      </c>
      <c r="V90" s="39">
        <f t="shared" si="39"/>
        <v>1527.7385712299999</v>
      </c>
      <c r="W90" s="38">
        <f t="shared" si="40"/>
        <v>5.6311672876558987</v>
      </c>
      <c r="X90" s="37">
        <f t="shared" si="41"/>
        <v>3.6995860299154039E-3</v>
      </c>
      <c r="Y90" s="205"/>
      <c r="Z90" s="206"/>
      <c r="AA90" s="206"/>
      <c r="AB90" s="206"/>
      <c r="AC90" s="206"/>
      <c r="AD90" s="206"/>
      <c r="AE90" s="206"/>
      <c r="AF90" s="207"/>
    </row>
    <row r="91" spans="2:32" x14ac:dyDescent="0.35">
      <c r="B91" s="70">
        <v>46193</v>
      </c>
      <c r="C91" s="67">
        <v>79</v>
      </c>
      <c r="D91" s="52" t="s">
        <v>312</v>
      </c>
      <c r="E91" s="48">
        <v>1773.0809999999999</v>
      </c>
      <c r="F91" s="48">
        <v>1771.7159999999999</v>
      </c>
      <c r="G91" s="38">
        <f t="shared" si="28"/>
        <v>-1.3650000000000091</v>
      </c>
      <c r="H91" s="120">
        <f t="shared" si="29"/>
        <v>-7.6984638603651452E-4</v>
      </c>
      <c r="I91" s="42">
        <v>4133.4759999999997</v>
      </c>
      <c r="J91" s="42">
        <v>4194</v>
      </c>
      <c r="K91" s="41">
        <f t="shared" si="30"/>
        <v>60.524000000000342</v>
      </c>
      <c r="L91" s="37">
        <f t="shared" si="31"/>
        <v>1.4642397826913799E-2</v>
      </c>
      <c r="M91" s="119">
        <f t="shared" si="32"/>
        <v>7.3289877595559991</v>
      </c>
      <c r="N91" s="119">
        <f t="shared" si="33"/>
        <v>7.4305769039999996</v>
      </c>
      <c r="O91" s="118">
        <f t="shared" si="34"/>
        <v>0.10158914444400047</v>
      </c>
      <c r="P91" s="37">
        <f t="shared" si="35"/>
        <v>1.3861279043827314E-2</v>
      </c>
      <c r="Q91" s="42">
        <v>847380.77399999998</v>
      </c>
      <c r="R91" s="42">
        <v>851680</v>
      </c>
      <c r="S91" s="41">
        <f t="shared" si="36"/>
        <v>4299.2260000000242</v>
      </c>
      <c r="T91" s="37">
        <f t="shared" si="37"/>
        <v>5.0735467831136138E-3</v>
      </c>
      <c r="U91" s="39">
        <f t="shared" si="38"/>
        <v>1502.4747501446939</v>
      </c>
      <c r="V91" s="122">
        <f t="shared" si="39"/>
        <v>1508.93508288</v>
      </c>
      <c r="W91" s="123">
        <f t="shared" si="40"/>
        <v>6.4603327353061104</v>
      </c>
      <c r="X91" s="37">
        <f t="shared" si="41"/>
        <v>4.2997945454217824E-3</v>
      </c>
      <c r="Y91" s="205"/>
      <c r="Z91" s="206"/>
      <c r="AA91" s="206"/>
      <c r="AB91" s="206"/>
      <c r="AC91" s="206"/>
      <c r="AD91" s="206"/>
      <c r="AE91" s="206"/>
      <c r="AF91" s="207"/>
    </row>
    <row r="92" spans="2:32" x14ac:dyDescent="0.35">
      <c r="B92" s="130">
        <v>46193</v>
      </c>
      <c r="C92" s="67">
        <v>80</v>
      </c>
      <c r="D92" s="137" t="s">
        <v>311</v>
      </c>
      <c r="E92" s="124">
        <v>1724.356</v>
      </c>
      <c r="F92" s="124">
        <v>1724.6389999999999</v>
      </c>
      <c r="G92" s="123">
        <f t="shared" si="28"/>
        <v>0.28299999999990177</v>
      </c>
      <c r="H92" s="120">
        <f t="shared" si="29"/>
        <v>1.6411924219818981E-4</v>
      </c>
      <c r="I92" s="64">
        <v>4273.6170000000002</v>
      </c>
      <c r="J92" s="64">
        <v>4291</v>
      </c>
      <c r="K92" s="63">
        <f t="shared" si="30"/>
        <v>17.382999999999811</v>
      </c>
      <c r="L92" s="37">
        <f t="shared" si="31"/>
        <v>4.0675147070970115E-3</v>
      </c>
      <c r="M92" s="126">
        <f t="shared" si="32"/>
        <v>7.3692371156520009</v>
      </c>
      <c r="N92" s="126">
        <f t="shared" si="33"/>
        <v>7.4004259489999988</v>
      </c>
      <c r="O92" s="125">
        <f t="shared" si="34"/>
        <v>3.1188833347997935E-2</v>
      </c>
      <c r="P92" s="37">
        <f t="shared" si="35"/>
        <v>4.2323015067263813E-3</v>
      </c>
      <c r="Q92" s="64">
        <v>843368.49</v>
      </c>
      <c r="R92" s="64">
        <v>841604</v>
      </c>
      <c r="S92" s="63">
        <f t="shared" si="36"/>
        <v>-1764.4899999999907</v>
      </c>
      <c r="T92" s="37">
        <f t="shared" si="37"/>
        <v>-2.0921934135812812E-3</v>
      </c>
      <c r="U92" s="122">
        <f t="shared" si="38"/>
        <v>1454.26751594244</v>
      </c>
      <c r="V92" s="122">
        <f t="shared" si="39"/>
        <v>1451.4630809559999</v>
      </c>
      <c r="W92" s="123">
        <f t="shared" si="40"/>
        <v>-2.8044349864401283</v>
      </c>
      <c r="X92" s="37">
        <f t="shared" si="41"/>
        <v>-1.928417540580703E-3</v>
      </c>
    </row>
    <row r="93" spans="2:32" x14ac:dyDescent="0.35">
      <c r="B93" s="130">
        <v>46197</v>
      </c>
      <c r="C93" s="67">
        <v>81</v>
      </c>
      <c r="D93" s="52" t="s">
        <v>310</v>
      </c>
      <c r="E93" s="124">
        <v>1588.6969999999999</v>
      </c>
      <c r="F93" s="124">
        <v>1586.1849999999999</v>
      </c>
      <c r="G93" s="123">
        <f t="shared" si="28"/>
        <v>-2.5119999999999436</v>
      </c>
      <c r="H93" s="120">
        <f t="shared" si="29"/>
        <v>-1.5811699776609031E-3</v>
      </c>
      <c r="I93" s="64">
        <v>4397.5950000000003</v>
      </c>
      <c r="J93" s="64">
        <v>4385</v>
      </c>
      <c r="K93" s="63">
        <f t="shared" si="30"/>
        <v>-12.595000000000255</v>
      </c>
      <c r="L93" s="37">
        <f t="shared" si="31"/>
        <v>-2.864065472150176E-3</v>
      </c>
      <c r="M93" s="126">
        <f t="shared" si="32"/>
        <v>6.9864459837149999</v>
      </c>
      <c r="N93" s="126">
        <f t="shared" si="33"/>
        <v>6.9554212249999994</v>
      </c>
      <c r="O93" s="125">
        <f t="shared" si="34"/>
        <v>-3.1024758715000544E-2</v>
      </c>
      <c r="P93" s="37">
        <f t="shared" si="35"/>
        <v>-4.4407068754725157E-3</v>
      </c>
      <c r="Q93" s="64">
        <v>843152.86899999995</v>
      </c>
      <c r="R93" s="64">
        <v>836968</v>
      </c>
      <c r="S93" s="63">
        <f t="shared" si="36"/>
        <v>-6184.8689999999478</v>
      </c>
      <c r="T93" s="37">
        <f t="shared" si="37"/>
        <v>-7.33540645759215E-3</v>
      </c>
      <c r="U93" s="122">
        <f t="shared" si="38"/>
        <v>1339.5144335216928</v>
      </c>
      <c r="V93" s="122">
        <f t="shared" si="39"/>
        <v>1327.58608708</v>
      </c>
      <c r="W93" s="123">
        <f t="shared" si="40"/>
        <v>-11.928346441692838</v>
      </c>
      <c r="X93" s="37">
        <f t="shared" si="41"/>
        <v>-8.9049779107883455E-3</v>
      </c>
    </row>
    <row r="94" spans="2:32" x14ac:dyDescent="0.35">
      <c r="B94" s="130">
        <v>46197</v>
      </c>
      <c r="C94" s="67">
        <v>82</v>
      </c>
      <c r="D94" s="52" t="s">
        <v>309</v>
      </c>
      <c r="E94" s="124">
        <v>1654.441</v>
      </c>
      <c r="F94" s="124">
        <v>1652.597</v>
      </c>
      <c r="G94" s="123">
        <f t="shared" si="28"/>
        <v>-1.8440000000000509</v>
      </c>
      <c r="H94" s="120">
        <f t="shared" si="29"/>
        <v>-1.1145758597617267E-3</v>
      </c>
      <c r="I94" s="64">
        <v>4615.4650000000001</v>
      </c>
      <c r="J94" s="64">
        <v>4634</v>
      </c>
      <c r="K94" s="63">
        <f t="shared" si="30"/>
        <v>18.534999999999854</v>
      </c>
      <c r="L94" s="37">
        <f t="shared" si="31"/>
        <v>4.0158467240028585E-3</v>
      </c>
      <c r="M94" s="126">
        <f t="shared" si="32"/>
        <v>7.6360145300650002</v>
      </c>
      <c r="N94" s="126">
        <f t="shared" si="33"/>
        <v>7.6581344979999999</v>
      </c>
      <c r="O94" s="125">
        <f t="shared" si="34"/>
        <v>2.2119967934999707E-2</v>
      </c>
      <c r="P94" s="37">
        <f t="shared" si="35"/>
        <v>2.896794898426079E-3</v>
      </c>
      <c r="Q94" s="64">
        <v>775348.60499999998</v>
      </c>
      <c r="R94" s="64">
        <v>774730</v>
      </c>
      <c r="S94" s="63">
        <f t="shared" si="36"/>
        <v>-618.60499999998137</v>
      </c>
      <c r="T94" s="37">
        <f t="shared" si="37"/>
        <v>-7.9784112076912992E-4</v>
      </c>
      <c r="U94" s="122">
        <f t="shared" si="38"/>
        <v>1282.7685214048049</v>
      </c>
      <c r="V94" s="122">
        <f t="shared" si="39"/>
        <v>1280.3164738099999</v>
      </c>
      <c r="W94" s="123">
        <f t="shared" si="40"/>
        <v>-2.4520475948049807</v>
      </c>
      <c r="X94" s="37">
        <f t="shared" si="41"/>
        <v>-1.9115277260777005E-3</v>
      </c>
      <c r="Y94" s="205"/>
      <c r="Z94" s="206"/>
      <c r="AA94" s="206"/>
      <c r="AB94" s="206"/>
      <c r="AC94" s="206"/>
      <c r="AD94" s="206"/>
      <c r="AE94" s="206"/>
      <c r="AF94" s="207"/>
    </row>
    <row r="95" spans="2:32" x14ac:dyDescent="0.35">
      <c r="B95" s="130">
        <v>46197</v>
      </c>
      <c r="C95" s="67">
        <v>83</v>
      </c>
      <c r="D95" s="137" t="s">
        <v>308</v>
      </c>
      <c r="E95" s="124">
        <v>1633.2080000000001</v>
      </c>
      <c r="F95" s="124">
        <v>1634.1310000000001</v>
      </c>
      <c r="G95" s="123">
        <f t="shared" si="28"/>
        <v>0.92300000000000182</v>
      </c>
      <c r="H95" s="120">
        <f t="shared" si="29"/>
        <v>5.651454070761359E-4</v>
      </c>
      <c r="I95" s="64">
        <v>4444.8029999999999</v>
      </c>
      <c r="J95" s="64">
        <v>4490</v>
      </c>
      <c r="K95" s="63">
        <f t="shared" si="30"/>
        <v>45.197000000000116</v>
      </c>
      <c r="L95" s="37">
        <f t="shared" si="31"/>
        <v>1.0168504655886913E-2</v>
      </c>
      <c r="M95" s="126">
        <f t="shared" si="32"/>
        <v>7.2592878180240001</v>
      </c>
      <c r="N95" s="126">
        <f t="shared" si="33"/>
        <v>7.3372481900000004</v>
      </c>
      <c r="O95" s="125">
        <f t="shared" si="34"/>
        <v>7.7960371976000253E-2</v>
      </c>
      <c r="P95" s="37">
        <f t="shared" si="35"/>
        <v>1.0739396746666163E-2</v>
      </c>
      <c r="Q95" s="64">
        <v>778909.897</v>
      </c>
      <c r="R95" s="64">
        <v>784761</v>
      </c>
      <c r="S95" s="63">
        <f t="shared" si="36"/>
        <v>5851.1030000000028</v>
      </c>
      <c r="T95" s="37">
        <f t="shared" si="37"/>
        <v>7.5119125107226655E-3</v>
      </c>
      <c r="U95" s="122">
        <f t="shared" si="38"/>
        <v>1272.121875059576</v>
      </c>
      <c r="V95" s="122">
        <f t="shared" si="39"/>
        <v>1282.4022776909999</v>
      </c>
      <c r="W95" s="123">
        <f t="shared" si="40"/>
        <v>10.28040263142384</v>
      </c>
      <c r="X95" s="37">
        <f t="shared" si="41"/>
        <v>8.081303240652463E-3</v>
      </c>
      <c r="Y95" s="205"/>
      <c r="Z95" s="206"/>
      <c r="AA95" s="206"/>
      <c r="AB95" s="206"/>
      <c r="AC95" s="206"/>
      <c r="AD95" s="206"/>
      <c r="AE95" s="206"/>
      <c r="AF95" s="207"/>
    </row>
    <row r="96" spans="2:32" x14ac:dyDescent="0.35">
      <c r="B96" s="130">
        <v>46200</v>
      </c>
      <c r="C96" s="67">
        <v>84</v>
      </c>
      <c r="D96" s="52" t="s">
        <v>307</v>
      </c>
      <c r="E96" s="124">
        <v>1619.4839999999999</v>
      </c>
      <c r="F96" s="124">
        <v>1617.7919999999999</v>
      </c>
      <c r="G96" s="123">
        <f t="shared" si="28"/>
        <v>-1.6920000000000073</v>
      </c>
      <c r="H96" s="120">
        <f t="shared" si="29"/>
        <v>-1.0447772253384456E-3</v>
      </c>
      <c r="I96" s="64">
        <v>4152.5910000000003</v>
      </c>
      <c r="J96" s="64">
        <v>4248</v>
      </c>
      <c r="K96" s="63">
        <f t="shared" si="30"/>
        <v>95.408999999999651</v>
      </c>
      <c r="L96" s="37">
        <f t="shared" si="31"/>
        <v>2.2975775846934995E-2</v>
      </c>
      <c r="M96" s="126">
        <f t="shared" si="32"/>
        <v>6.7250546830440001</v>
      </c>
      <c r="N96" s="126">
        <f t="shared" si="33"/>
        <v>6.8723804159999995</v>
      </c>
      <c r="O96" s="125">
        <f t="shared" si="34"/>
        <v>0.14732573295599938</v>
      </c>
      <c r="P96" s="37">
        <f t="shared" si="35"/>
        <v>2.1906994054257188E-2</v>
      </c>
      <c r="Q96" s="64">
        <v>785425.22499999998</v>
      </c>
      <c r="R96" s="64">
        <v>795578</v>
      </c>
      <c r="S96" s="63">
        <f t="shared" si="36"/>
        <v>10152.775000000023</v>
      </c>
      <c r="T96" s="37">
        <f t="shared" si="37"/>
        <v>1.2926469225635099E-2</v>
      </c>
      <c r="U96" s="122">
        <f t="shared" si="38"/>
        <v>1271.9835850838999</v>
      </c>
      <c r="V96" s="122">
        <f t="shared" si="39"/>
        <v>1287.079723776</v>
      </c>
      <c r="W96" s="123">
        <f t="shared" si="40"/>
        <v>15.096138692100112</v>
      </c>
      <c r="X96" s="37">
        <f t="shared" si="41"/>
        <v>1.1868186719645735E-2</v>
      </c>
      <c r="Y96" s="208" t="s">
        <v>299</v>
      </c>
      <c r="Z96" s="209"/>
      <c r="AA96" s="209"/>
      <c r="AB96" s="209"/>
      <c r="AC96" s="209"/>
      <c r="AD96" s="209"/>
      <c r="AE96" s="209"/>
      <c r="AF96" s="209"/>
    </row>
    <row r="97" spans="2:32" x14ac:dyDescent="0.35">
      <c r="B97" s="130">
        <v>46200</v>
      </c>
      <c r="C97" s="67">
        <v>85</v>
      </c>
      <c r="D97" s="52" t="s">
        <v>306</v>
      </c>
      <c r="E97" s="124">
        <v>1615.854</v>
      </c>
      <c r="F97" s="124">
        <v>1617.5889999999999</v>
      </c>
      <c r="G97" s="123">
        <f t="shared" si="28"/>
        <v>1.7349999999999</v>
      </c>
      <c r="H97" s="120">
        <f t="shared" si="29"/>
        <v>1.0737356221539199E-3</v>
      </c>
      <c r="I97" s="64">
        <v>3326.27</v>
      </c>
      <c r="J97" s="64">
        <v>3372</v>
      </c>
      <c r="K97" s="63">
        <f t="shared" si="30"/>
        <v>45.730000000000018</v>
      </c>
      <c r="L97" s="37">
        <f t="shared" si="31"/>
        <v>1.3748132292327447E-2</v>
      </c>
      <c r="M97" s="126">
        <f t="shared" si="32"/>
        <v>5.37476668458</v>
      </c>
      <c r="N97" s="126">
        <f t="shared" si="33"/>
        <v>5.454510108</v>
      </c>
      <c r="O97" s="125">
        <f t="shared" si="34"/>
        <v>7.974342342000007E-2</v>
      </c>
      <c r="P97" s="37">
        <f t="shared" si="35"/>
        <v>1.4836629773861795E-2</v>
      </c>
      <c r="Q97" s="64">
        <v>756371.22900000005</v>
      </c>
      <c r="R97" s="64">
        <v>761173</v>
      </c>
      <c r="S97" s="63">
        <f t="shared" si="36"/>
        <v>4801.7709999999497</v>
      </c>
      <c r="T97" s="37">
        <f t="shared" si="37"/>
        <v>6.3484315847766723E-3</v>
      </c>
      <c r="U97" s="122">
        <f t="shared" si="38"/>
        <v>1222.1854758645661</v>
      </c>
      <c r="V97" s="122">
        <f t="shared" si="39"/>
        <v>1231.2650718970001</v>
      </c>
      <c r="W97" s="123">
        <f t="shared" si="40"/>
        <v>9.0795960324339831</v>
      </c>
      <c r="X97" s="37">
        <f t="shared" si="41"/>
        <v>7.4289837440680885E-3</v>
      </c>
      <c r="Y97" s="214"/>
      <c r="Z97" s="186"/>
      <c r="AA97" s="186"/>
      <c r="AB97" s="186"/>
      <c r="AC97" s="186"/>
      <c r="AD97" s="186"/>
      <c r="AE97" s="186"/>
      <c r="AF97" s="186"/>
    </row>
    <row r="98" spans="2:32" x14ac:dyDescent="0.35">
      <c r="B98" s="130">
        <v>46200</v>
      </c>
      <c r="C98" s="67">
        <v>86</v>
      </c>
      <c r="D98" s="52" t="s">
        <v>305</v>
      </c>
      <c r="E98" s="124">
        <v>1531.9179999999999</v>
      </c>
      <c r="F98" s="124">
        <v>1532.838</v>
      </c>
      <c r="G98" s="123">
        <f t="shared" si="28"/>
        <v>0.92000000000007276</v>
      </c>
      <c r="H98" s="120">
        <f t="shared" si="29"/>
        <v>6.0055433776486263E-4</v>
      </c>
      <c r="I98" s="64">
        <v>3215.94</v>
      </c>
      <c r="J98" s="64">
        <v>3255</v>
      </c>
      <c r="K98" s="63">
        <f t="shared" si="30"/>
        <v>39.059999999999945</v>
      </c>
      <c r="L98" s="37">
        <f t="shared" si="31"/>
        <v>1.2145748987854234E-2</v>
      </c>
      <c r="M98" s="126">
        <f t="shared" si="32"/>
        <v>4.9265563729200004</v>
      </c>
      <c r="N98" s="126">
        <f t="shared" si="33"/>
        <v>4.9893876899999992</v>
      </c>
      <c r="O98" s="125">
        <f t="shared" si="34"/>
        <v>6.2831317079998783E-2</v>
      </c>
      <c r="P98" s="37">
        <f t="shared" si="35"/>
        <v>1.2753597507858877E-2</v>
      </c>
      <c r="Q98" s="64">
        <v>749676.27399999998</v>
      </c>
      <c r="R98" s="64">
        <v>754378</v>
      </c>
      <c r="S98" s="63">
        <f t="shared" si="36"/>
        <v>4701.7260000000242</v>
      </c>
      <c r="T98" s="37">
        <f t="shared" si="37"/>
        <v>6.2716750723793404E-3</v>
      </c>
      <c r="U98" s="122">
        <f t="shared" si="38"/>
        <v>1148.4425783135318</v>
      </c>
      <c r="V98" s="122">
        <f t="shared" si="39"/>
        <v>1156.3392647639998</v>
      </c>
      <c r="W98" s="123">
        <f t="shared" si="40"/>
        <v>7.8966864504679961</v>
      </c>
      <c r="X98" s="37">
        <f t="shared" si="41"/>
        <v>6.8759958918138894E-3</v>
      </c>
      <c r="Y98" s="214"/>
      <c r="Z98" s="186"/>
      <c r="AA98" s="186"/>
      <c r="AB98" s="186"/>
      <c r="AC98" s="186"/>
      <c r="AD98" s="186"/>
      <c r="AE98" s="186"/>
      <c r="AF98" s="186"/>
    </row>
    <row r="99" spans="2:32" x14ac:dyDescent="0.35">
      <c r="B99" s="130">
        <v>46200</v>
      </c>
      <c r="C99" s="67">
        <v>87</v>
      </c>
      <c r="D99" s="52" t="s">
        <v>304</v>
      </c>
      <c r="E99" s="124">
        <v>1571.059</v>
      </c>
      <c r="F99" s="124">
        <v>1570.741</v>
      </c>
      <c r="G99" s="123">
        <f t="shared" si="28"/>
        <v>-0.31799999999998363</v>
      </c>
      <c r="H99" s="120">
        <f t="shared" si="29"/>
        <v>-2.024112398070242E-4</v>
      </c>
      <c r="I99" s="64">
        <v>3235.0390000000002</v>
      </c>
      <c r="J99" s="64">
        <v>3288</v>
      </c>
      <c r="K99" s="63">
        <f t="shared" si="30"/>
        <v>52.960999999999785</v>
      </c>
      <c r="L99" s="37">
        <f t="shared" si="31"/>
        <v>1.6371054568430174E-2</v>
      </c>
      <c r="M99" s="126">
        <f t="shared" si="32"/>
        <v>5.0824371363010004</v>
      </c>
      <c r="N99" s="126">
        <f t="shared" si="33"/>
        <v>5.1645964079999995</v>
      </c>
      <c r="O99" s="125">
        <f t="shared" si="34"/>
        <v>8.215927169899917E-2</v>
      </c>
      <c r="P99" s="37">
        <f t="shared" si="35"/>
        <v>1.6165329643170898E-2</v>
      </c>
      <c r="Q99" s="64">
        <v>739309.51199999999</v>
      </c>
      <c r="R99" s="64">
        <v>737084</v>
      </c>
      <c r="S99" s="63">
        <f t="shared" si="36"/>
        <v>-2225.5119999999879</v>
      </c>
      <c r="T99" s="37">
        <f t="shared" si="37"/>
        <v>-3.0102574955101998E-3</v>
      </c>
      <c r="U99" s="122">
        <f t="shared" si="38"/>
        <v>1161.4988626132081</v>
      </c>
      <c r="V99" s="122">
        <f t="shared" si="39"/>
        <v>1157.7680592439999</v>
      </c>
      <c r="W99" s="123">
        <f t="shared" si="40"/>
        <v>-3.7308033692081608</v>
      </c>
      <c r="X99" s="37">
        <f t="shared" si="41"/>
        <v>-3.2120594253655841E-3</v>
      </c>
      <c r="Y99" s="211"/>
      <c r="Z99" s="212"/>
      <c r="AA99" s="212"/>
      <c r="AB99" s="212"/>
      <c r="AC99" s="212"/>
      <c r="AD99" s="212"/>
      <c r="AE99" s="212"/>
      <c r="AF99" s="212"/>
    </row>
    <row r="100" spans="2:32" x14ac:dyDescent="0.35">
      <c r="B100" s="130">
        <v>46203</v>
      </c>
      <c r="C100" s="136">
        <v>88</v>
      </c>
      <c r="D100" s="52" t="s">
        <v>303</v>
      </c>
      <c r="E100" s="124">
        <v>1565.8430000000001</v>
      </c>
      <c r="F100" s="124">
        <v>1565.7180000000001</v>
      </c>
      <c r="G100" s="123">
        <f t="shared" si="28"/>
        <v>-0.125</v>
      </c>
      <c r="H100" s="120">
        <f t="shared" si="29"/>
        <v>-7.9829203821839097E-5</v>
      </c>
      <c r="I100" s="64">
        <v>3360.4169999999999</v>
      </c>
      <c r="J100" s="64">
        <v>4446</v>
      </c>
      <c r="K100" s="63">
        <f t="shared" si="30"/>
        <v>1085.5830000000001</v>
      </c>
      <c r="L100" s="37">
        <f t="shared" si="31"/>
        <v>0.32305008574828664</v>
      </c>
      <c r="M100" s="126">
        <f t="shared" si="32"/>
        <v>5.2618854365310002</v>
      </c>
      <c r="N100" s="126">
        <f t="shared" si="33"/>
        <v>6.9611822280000002</v>
      </c>
      <c r="O100" s="125">
        <f t="shared" si="34"/>
        <v>1.699296791469</v>
      </c>
      <c r="P100" s="37">
        <f t="shared" si="35"/>
        <v>0.32294446771332491</v>
      </c>
      <c r="Q100" s="64">
        <v>711026.77399999998</v>
      </c>
      <c r="R100" s="64">
        <v>752516</v>
      </c>
      <c r="S100" s="63">
        <f t="shared" si="36"/>
        <v>41489.226000000024</v>
      </c>
      <c r="T100" s="37">
        <f t="shared" si="37"/>
        <v>5.8351144453528028E-2</v>
      </c>
      <c r="U100" s="122">
        <f t="shared" si="38"/>
        <v>1113.356296880482</v>
      </c>
      <c r="V100" s="122">
        <f t="shared" si="39"/>
        <v>1178.2278464880001</v>
      </c>
      <c r="W100" s="123">
        <f t="shared" si="40"/>
        <v>64.871549607518091</v>
      </c>
      <c r="X100" s="37">
        <f t="shared" si="41"/>
        <v>5.8266657124302415E-2</v>
      </c>
      <c r="Y100" s="205" t="s">
        <v>301</v>
      </c>
      <c r="Z100" s="206"/>
      <c r="AA100" s="206"/>
      <c r="AB100" s="206"/>
      <c r="AC100" s="206"/>
      <c r="AD100" s="206"/>
      <c r="AE100" s="206"/>
      <c r="AF100" s="207"/>
    </row>
    <row r="101" spans="2:32" x14ac:dyDescent="0.35">
      <c r="B101" s="130">
        <v>46203</v>
      </c>
      <c r="C101" s="136">
        <v>89</v>
      </c>
      <c r="D101" s="52" t="s">
        <v>302</v>
      </c>
      <c r="E101" s="124">
        <v>1606.509</v>
      </c>
      <c r="F101" s="124">
        <v>1605.183</v>
      </c>
      <c r="G101" s="123">
        <f t="shared" si="28"/>
        <v>-1.3260000000000218</v>
      </c>
      <c r="H101" s="120">
        <f t="shared" si="29"/>
        <v>-8.2539220135089309E-4</v>
      </c>
      <c r="I101" s="64">
        <v>4381.5029999999997</v>
      </c>
      <c r="J101" s="64">
        <v>3437</v>
      </c>
      <c r="K101" s="63">
        <f t="shared" si="30"/>
        <v>-944.5029999999997</v>
      </c>
      <c r="L101" s="37">
        <f t="shared" si="31"/>
        <v>-0.21556598272328006</v>
      </c>
      <c r="M101" s="126">
        <f t="shared" si="32"/>
        <v>7.0389240030269997</v>
      </c>
      <c r="N101" s="126">
        <f t="shared" si="33"/>
        <v>5.5170139709999999</v>
      </c>
      <c r="O101" s="125">
        <f t="shared" si="34"/>
        <v>-1.5219100320269998</v>
      </c>
      <c r="P101" s="37">
        <f t="shared" si="35"/>
        <v>-0.21621344844361465</v>
      </c>
      <c r="Q101" s="64">
        <v>753249.38600000006</v>
      </c>
      <c r="R101" s="64">
        <v>712068</v>
      </c>
      <c r="S101" s="63">
        <f t="shared" si="36"/>
        <v>-41181.386000000057</v>
      </c>
      <c r="T101" s="37">
        <f t="shared" si="37"/>
        <v>-5.4671648945758392E-2</v>
      </c>
      <c r="U101" s="122">
        <f t="shared" si="38"/>
        <v>1210.1019178534741</v>
      </c>
      <c r="V101" s="122">
        <f t="shared" si="39"/>
        <v>1142.9994484440001</v>
      </c>
      <c r="W101" s="123">
        <f t="shared" si="40"/>
        <v>-67.102469409473997</v>
      </c>
      <c r="X101" s="37">
        <f t="shared" si="41"/>
        <v>-5.5451915594434367E-2</v>
      </c>
      <c r="Y101" s="205" t="s">
        <v>301</v>
      </c>
      <c r="Z101" s="206"/>
      <c r="AA101" s="206"/>
      <c r="AB101" s="206"/>
      <c r="AC101" s="206"/>
      <c r="AD101" s="206"/>
      <c r="AE101" s="206"/>
      <c r="AF101" s="207"/>
    </row>
    <row r="102" spans="2:32" x14ac:dyDescent="0.35">
      <c r="B102" s="130">
        <v>46203</v>
      </c>
      <c r="C102" s="67">
        <v>90</v>
      </c>
      <c r="D102" s="52" t="s">
        <v>300</v>
      </c>
      <c r="E102" s="124">
        <v>1698.117</v>
      </c>
      <c r="F102" s="124">
        <v>1696.806</v>
      </c>
      <c r="G102" s="123">
        <f t="shared" si="28"/>
        <v>-1.3109999999999218</v>
      </c>
      <c r="H102" s="120">
        <f t="shared" si="29"/>
        <v>-7.7203160912936019E-4</v>
      </c>
      <c r="I102" s="64">
        <v>5309.7659999999996</v>
      </c>
      <c r="J102" s="64">
        <v>5327</v>
      </c>
      <c r="K102" s="63">
        <f t="shared" si="30"/>
        <v>17.234000000000378</v>
      </c>
      <c r="L102" s="37">
        <f t="shared" si="31"/>
        <v>3.2457174195624403E-3</v>
      </c>
      <c r="M102" s="126">
        <f t="shared" si="32"/>
        <v>9.0166039106219991</v>
      </c>
      <c r="N102" s="126">
        <f t="shared" si="33"/>
        <v>9.0388855620000008</v>
      </c>
      <c r="O102" s="125">
        <f t="shared" si="34"/>
        <v>2.2281651378001754E-2</v>
      </c>
      <c r="P102" s="37">
        <f t="shared" si="35"/>
        <v>2.4711800139909533E-3</v>
      </c>
      <c r="Q102" s="64">
        <v>798427.57299999997</v>
      </c>
      <c r="R102" s="64">
        <v>796393</v>
      </c>
      <c r="S102" s="63">
        <f t="shared" si="36"/>
        <v>-2034.5729999999749</v>
      </c>
      <c r="T102" s="37">
        <f t="shared" si="37"/>
        <v>-2.5482248719884515E-3</v>
      </c>
      <c r="U102" s="122">
        <f t="shared" si="38"/>
        <v>1355.8234349800409</v>
      </c>
      <c r="V102" s="122">
        <f t="shared" si="39"/>
        <v>1351.3244207580001</v>
      </c>
      <c r="W102" s="123">
        <f t="shared" si="40"/>
        <v>-4.4990142220408416</v>
      </c>
      <c r="X102" s="37">
        <f t="shared" si="41"/>
        <v>-3.3182891709694277E-3</v>
      </c>
      <c r="Y102" s="208" t="s">
        <v>299</v>
      </c>
      <c r="Z102" s="209"/>
      <c r="AA102" s="209"/>
      <c r="AB102" s="209"/>
      <c r="AC102" s="209"/>
      <c r="AD102" s="209"/>
      <c r="AE102" s="209"/>
      <c r="AF102" s="209"/>
    </row>
    <row r="103" spans="2:32" x14ac:dyDescent="0.35">
      <c r="B103" s="130">
        <v>46203</v>
      </c>
      <c r="C103" s="67">
        <v>91</v>
      </c>
      <c r="D103" s="52" t="s">
        <v>298</v>
      </c>
      <c r="E103" s="124">
        <v>1756.789</v>
      </c>
      <c r="F103" s="124">
        <v>1755.8879999999999</v>
      </c>
      <c r="G103" s="123">
        <f t="shared" si="28"/>
        <v>-0.9010000000000673</v>
      </c>
      <c r="H103" s="120">
        <f t="shared" si="29"/>
        <v>-5.1286750998558585E-4</v>
      </c>
      <c r="I103" s="64">
        <v>6114.3310000000001</v>
      </c>
      <c r="J103" s="64">
        <v>6177</v>
      </c>
      <c r="K103" s="63">
        <f t="shared" si="30"/>
        <v>62.668999999999869</v>
      </c>
      <c r="L103" s="37">
        <f t="shared" si="31"/>
        <v>1.0249526890186329E-2</v>
      </c>
      <c r="M103" s="126">
        <f t="shared" si="32"/>
        <v>10.741589443159</v>
      </c>
      <c r="N103" s="126">
        <f t="shared" si="33"/>
        <v>10.846120175999999</v>
      </c>
      <c r="O103" s="125">
        <f t="shared" si="34"/>
        <v>0.10453073284099901</v>
      </c>
      <c r="P103" s="37">
        <f t="shared" si="35"/>
        <v>9.7314027308660102E-3</v>
      </c>
      <c r="Q103" s="64">
        <v>841360.53399999999</v>
      </c>
      <c r="R103" s="64">
        <v>842776</v>
      </c>
      <c r="S103" s="63">
        <f t="shared" si="36"/>
        <v>1415.4660000000149</v>
      </c>
      <c r="T103" s="37">
        <f t="shared" si="37"/>
        <v>1.6823536911941901E-3</v>
      </c>
      <c r="U103" s="122">
        <f t="shared" si="38"/>
        <v>1478.0929311653258</v>
      </c>
      <c r="V103" s="122">
        <f t="shared" si="39"/>
        <v>1479.8202650879998</v>
      </c>
      <c r="W103" s="123">
        <f t="shared" si="40"/>
        <v>1.7273339226740063</v>
      </c>
      <c r="X103" s="37">
        <f t="shared" si="41"/>
        <v>1.1686233566601115E-3</v>
      </c>
      <c r="Y103" s="214"/>
      <c r="Z103" s="186"/>
      <c r="AA103" s="186"/>
      <c r="AB103" s="186"/>
      <c r="AC103" s="186"/>
      <c r="AD103" s="186"/>
      <c r="AE103" s="186"/>
      <c r="AF103" s="186"/>
    </row>
    <row r="104" spans="2:32" x14ac:dyDescent="0.35">
      <c r="B104" s="130">
        <v>46211</v>
      </c>
      <c r="C104" s="67">
        <v>92</v>
      </c>
      <c r="D104" s="52" t="s">
        <v>297</v>
      </c>
      <c r="E104" s="124">
        <v>1768.3119999999999</v>
      </c>
      <c r="F104" s="124">
        <v>1765.645</v>
      </c>
      <c r="G104" s="123">
        <f t="shared" si="28"/>
        <v>-2.6669999999999163</v>
      </c>
      <c r="H104" s="120">
        <f t="shared" si="29"/>
        <v>-1.5082180067770375E-3</v>
      </c>
      <c r="I104" s="64">
        <v>5215.424</v>
      </c>
      <c r="J104" s="64">
        <v>5261</v>
      </c>
      <c r="K104" s="63">
        <f t="shared" si="30"/>
        <v>45.576000000000022</v>
      </c>
      <c r="L104" s="37">
        <f t="shared" si="31"/>
        <v>8.7386950706212999E-3</v>
      </c>
      <c r="M104" s="126">
        <f t="shared" si="32"/>
        <v>9.2224968442879991</v>
      </c>
      <c r="N104" s="126">
        <f t="shared" si="33"/>
        <v>9.2890583450000008</v>
      </c>
      <c r="O104" s="125">
        <f t="shared" si="34"/>
        <v>6.6561500712001731E-2</v>
      </c>
      <c r="P104" s="37">
        <f t="shared" si="35"/>
        <v>7.2172972065831544E-3</v>
      </c>
      <c r="Q104" s="64">
        <v>807671.70299999998</v>
      </c>
      <c r="R104" s="64">
        <v>808172</v>
      </c>
      <c r="S104" s="63">
        <f t="shared" si="36"/>
        <v>500.29700000002049</v>
      </c>
      <c r="T104" s="37">
        <f t="shared" si="37"/>
        <v>6.1943113537558275E-4</v>
      </c>
      <c r="U104" s="122">
        <f t="shared" si="38"/>
        <v>1428.2155644753359</v>
      </c>
      <c r="V104" s="122">
        <f t="shared" si="39"/>
        <v>1426.9448509400002</v>
      </c>
      <c r="W104" s="123">
        <f t="shared" si="40"/>
        <v>-1.2707135353357444</v>
      </c>
      <c r="X104" s="37">
        <f t="shared" si="41"/>
        <v>-8.8972110859368006E-4</v>
      </c>
      <c r="Y104" s="214"/>
      <c r="Z104" s="186"/>
      <c r="AA104" s="186"/>
      <c r="AB104" s="186"/>
      <c r="AC104" s="186"/>
      <c r="AD104" s="186"/>
      <c r="AE104" s="186"/>
      <c r="AF104" s="186"/>
    </row>
    <row r="105" spans="2:32" x14ac:dyDescent="0.35">
      <c r="B105" s="130">
        <v>46211</v>
      </c>
      <c r="C105" s="67">
        <v>93</v>
      </c>
      <c r="D105" s="52" t="s">
        <v>296</v>
      </c>
      <c r="E105" s="124">
        <v>1719.338</v>
      </c>
      <c r="F105" s="124">
        <v>1717.4670000000001</v>
      </c>
      <c r="G105" s="123">
        <f t="shared" si="28"/>
        <v>-1.8709999999998672</v>
      </c>
      <c r="H105" s="120">
        <f t="shared" si="29"/>
        <v>-1.0882095318080955E-3</v>
      </c>
      <c r="I105" s="64">
        <v>4952.134</v>
      </c>
      <c r="J105" s="64">
        <v>5031</v>
      </c>
      <c r="K105" s="63">
        <f t="shared" si="30"/>
        <v>78.865999999999985</v>
      </c>
      <c r="L105" s="37">
        <f t="shared" si="31"/>
        <v>1.5925659523752786E-2</v>
      </c>
      <c r="M105" s="126">
        <f t="shared" si="32"/>
        <v>8.5143921672920015</v>
      </c>
      <c r="N105" s="126">
        <f t="shared" si="33"/>
        <v>8.6405764769999998</v>
      </c>
      <c r="O105" s="125">
        <f t="shared" si="34"/>
        <v>0.12618430970799821</v>
      </c>
      <c r="P105" s="37">
        <f t="shared" si="35"/>
        <v>1.4820119537450325E-2</v>
      </c>
      <c r="Q105" s="64">
        <v>787035.69099999999</v>
      </c>
      <c r="R105" s="64">
        <v>789347</v>
      </c>
      <c r="S105" s="63">
        <f t="shared" si="36"/>
        <v>2311.3090000000084</v>
      </c>
      <c r="T105" s="37">
        <f t="shared" si="37"/>
        <v>2.9367270460927651E-3</v>
      </c>
      <c r="U105" s="122">
        <f t="shared" si="38"/>
        <v>1353.1803708925579</v>
      </c>
      <c r="V105" s="122">
        <f t="shared" si="39"/>
        <v>1355.6774240490001</v>
      </c>
      <c r="W105" s="123">
        <f t="shared" si="40"/>
        <v>2.4970531564422345</v>
      </c>
      <c r="X105" s="37">
        <f t="shared" si="41"/>
        <v>1.8453217399208783E-3</v>
      </c>
      <c r="Y105" s="214"/>
      <c r="Z105" s="186"/>
      <c r="AA105" s="186"/>
      <c r="AB105" s="186"/>
      <c r="AC105" s="186"/>
      <c r="AD105" s="186"/>
      <c r="AE105" s="186"/>
      <c r="AF105" s="186"/>
    </row>
    <row r="106" spans="2:32" x14ac:dyDescent="0.35">
      <c r="B106" s="130">
        <v>46211</v>
      </c>
      <c r="C106" s="67">
        <v>94</v>
      </c>
      <c r="D106" s="52" t="s">
        <v>295</v>
      </c>
      <c r="E106" s="124">
        <v>1666.1510000000001</v>
      </c>
      <c r="F106" s="124">
        <v>1662.7809999999999</v>
      </c>
      <c r="G106" s="123">
        <f t="shared" si="28"/>
        <v>-3.3700000000001182</v>
      </c>
      <c r="H106" s="120">
        <f t="shared" si="29"/>
        <v>-2.0226258004227217E-3</v>
      </c>
      <c r="I106" s="64">
        <v>4614.97</v>
      </c>
      <c r="J106" s="64">
        <v>4625</v>
      </c>
      <c r="K106" s="63">
        <f t="shared" si="30"/>
        <v>10.029999999999745</v>
      </c>
      <c r="L106" s="37">
        <f t="shared" si="31"/>
        <v>2.1733619070112577E-3</v>
      </c>
      <c r="M106" s="126">
        <f t="shared" si="32"/>
        <v>7.6892368804700011</v>
      </c>
      <c r="N106" s="126">
        <f t="shared" si="33"/>
        <v>7.690362125</v>
      </c>
      <c r="O106" s="125">
        <f t="shared" si="34"/>
        <v>1.1252445299989589E-3</v>
      </c>
      <c r="P106" s="37">
        <f t="shared" si="35"/>
        <v>1.4634020872175013E-4</v>
      </c>
      <c r="Q106" s="64">
        <v>779392.03899999999</v>
      </c>
      <c r="R106" s="64">
        <v>773172</v>
      </c>
      <c r="S106" s="63">
        <f t="shared" si="36"/>
        <v>-6220.0389999999898</v>
      </c>
      <c r="T106" s="37">
        <f t="shared" si="37"/>
        <v>-7.9806293736084596E-3</v>
      </c>
      <c r="U106" s="122">
        <f t="shared" si="38"/>
        <v>1298.5848251718892</v>
      </c>
      <c r="V106" s="122">
        <f t="shared" si="39"/>
        <v>1285.615711332</v>
      </c>
      <c r="W106" s="123">
        <f t="shared" si="40"/>
        <v>-12.969113839889133</v>
      </c>
      <c r="X106" s="37">
        <f t="shared" si="41"/>
        <v>-9.9871133471565524E-3</v>
      </c>
      <c r="Y106" s="214"/>
      <c r="Z106" s="186"/>
      <c r="AA106" s="186"/>
      <c r="AB106" s="186"/>
      <c r="AC106" s="186"/>
      <c r="AD106" s="186"/>
      <c r="AE106" s="186"/>
      <c r="AF106" s="186"/>
    </row>
    <row r="107" spans="2:32" x14ac:dyDescent="0.35">
      <c r="B107" s="130">
        <v>46211</v>
      </c>
      <c r="C107" s="67">
        <v>95</v>
      </c>
      <c r="D107" s="52" t="s">
        <v>294</v>
      </c>
      <c r="E107" s="124">
        <v>1620.8019999999999</v>
      </c>
      <c r="F107" s="124">
        <v>1617.3820000000001</v>
      </c>
      <c r="G107" s="123">
        <f t="shared" si="28"/>
        <v>-3.4199999999998454</v>
      </c>
      <c r="H107" s="120">
        <f t="shared" si="29"/>
        <v>-2.1100664979435153E-3</v>
      </c>
      <c r="I107" s="64">
        <v>3804.087</v>
      </c>
      <c r="J107" s="64">
        <v>3845</v>
      </c>
      <c r="K107" s="63">
        <f t="shared" si="30"/>
        <v>40.913000000000011</v>
      </c>
      <c r="L107" s="37">
        <f t="shared" si="31"/>
        <v>1.0755011649312966E-2</v>
      </c>
      <c r="M107" s="126">
        <f t="shared" si="32"/>
        <v>6.1656718177739993</v>
      </c>
      <c r="N107" s="126">
        <f t="shared" si="33"/>
        <v>6.2188337899999997</v>
      </c>
      <c r="O107" s="125">
        <f t="shared" si="34"/>
        <v>5.3161972226000387E-2</v>
      </c>
      <c r="P107" s="37">
        <f t="shared" si="35"/>
        <v>8.6222513616032066E-3</v>
      </c>
      <c r="Q107" s="64">
        <v>751365.89800000004</v>
      </c>
      <c r="R107" s="64">
        <v>752702</v>
      </c>
      <c r="S107" s="63">
        <f t="shared" si="36"/>
        <v>1336.1019999999553</v>
      </c>
      <c r="T107" s="37">
        <f t="shared" si="37"/>
        <v>1.7782308240983746E-3</v>
      </c>
      <c r="U107" s="122">
        <f t="shared" si="38"/>
        <v>1217.8153502101961</v>
      </c>
      <c r="V107" s="122">
        <f t="shared" si="39"/>
        <v>1217.4066661639999</v>
      </c>
      <c r="W107" s="123">
        <f t="shared" si="40"/>
        <v>-0.40868404619618559</v>
      </c>
      <c r="X107" s="37">
        <f t="shared" si="41"/>
        <v>-3.3558785913286965E-4</v>
      </c>
      <c r="Y107" s="214"/>
      <c r="Z107" s="186"/>
      <c r="AA107" s="186"/>
      <c r="AB107" s="186"/>
      <c r="AC107" s="186"/>
      <c r="AD107" s="186"/>
      <c r="AE107" s="186"/>
      <c r="AF107" s="186"/>
    </row>
    <row r="108" spans="2:32" x14ac:dyDescent="0.35">
      <c r="B108" s="130">
        <v>46219</v>
      </c>
      <c r="C108" s="67">
        <v>96</v>
      </c>
      <c r="D108" s="52" t="s">
        <v>293</v>
      </c>
      <c r="E108" s="124">
        <v>1717.0509999999999</v>
      </c>
      <c r="F108" s="124">
        <v>1715.0060000000001</v>
      </c>
      <c r="G108" s="123">
        <f t="shared" si="28"/>
        <v>-2.0449999999998454</v>
      </c>
      <c r="H108" s="120">
        <f t="shared" si="29"/>
        <v>-1.1909954916888581E-3</v>
      </c>
      <c r="I108" s="64">
        <v>4025.098</v>
      </c>
      <c r="J108" s="64">
        <v>4055</v>
      </c>
      <c r="K108" s="63">
        <f t="shared" si="30"/>
        <v>29.902000000000044</v>
      </c>
      <c r="L108" s="37">
        <f t="shared" si="31"/>
        <v>7.4288874457218296E-3</v>
      </c>
      <c r="M108" s="126">
        <f t="shared" si="32"/>
        <v>6.9112985459979992</v>
      </c>
      <c r="N108" s="126">
        <f t="shared" si="33"/>
        <v>6.9543493300000003</v>
      </c>
      <c r="O108" s="125">
        <f t="shared" si="34"/>
        <v>4.305078400200113E-2</v>
      </c>
      <c r="P108" s="37">
        <f t="shared" si="35"/>
        <v>6.2290441825769149E-3</v>
      </c>
      <c r="Q108" s="64">
        <v>811910.17799999996</v>
      </c>
      <c r="R108" s="64">
        <v>813988</v>
      </c>
      <c r="S108" s="63">
        <f t="shared" si="36"/>
        <v>2077.8220000000438</v>
      </c>
      <c r="T108" s="37">
        <f t="shared" si="37"/>
        <v>2.5591771803112487E-3</v>
      </c>
      <c r="U108" s="122">
        <f t="shared" si="38"/>
        <v>1394.0911830450777</v>
      </c>
      <c r="V108" s="122">
        <f t="shared" si="39"/>
        <v>1395.9943039279999</v>
      </c>
      <c r="W108" s="123">
        <f t="shared" si="40"/>
        <v>1.9031208829221669</v>
      </c>
      <c r="X108" s="37">
        <f t="shared" si="41"/>
        <v>1.3651337201381825E-3</v>
      </c>
      <c r="Y108" s="214"/>
      <c r="Z108" s="186"/>
      <c r="AA108" s="186"/>
      <c r="AB108" s="186"/>
      <c r="AC108" s="186"/>
      <c r="AD108" s="186"/>
      <c r="AE108" s="186"/>
      <c r="AF108" s="186"/>
    </row>
    <row r="109" spans="2:32" x14ac:dyDescent="0.35">
      <c r="B109" s="130">
        <f>16/7/2026</f>
        <v>1.1281906642222534E-3</v>
      </c>
      <c r="C109" s="67">
        <v>97</v>
      </c>
      <c r="D109" s="52" t="s">
        <v>292</v>
      </c>
      <c r="E109" s="124">
        <v>1759.482</v>
      </c>
      <c r="F109" s="124">
        <v>1758.5360000000001</v>
      </c>
      <c r="G109" s="123">
        <f t="shared" ref="G109:G140" si="42">(IF(F109="","",F109-E109))</f>
        <v>-0.94599999999991269</v>
      </c>
      <c r="H109" s="120">
        <f t="shared" ref="H109:H140" si="43">IF(G109="","",G109/E109)</f>
        <v>-5.3765824259635088E-4</v>
      </c>
      <c r="I109" s="64">
        <v>4232.4160000000002</v>
      </c>
      <c r="J109" s="64">
        <v>4327</v>
      </c>
      <c r="K109" s="63">
        <f t="shared" ref="K109:K140" si="44">(IF(J109="","",J109-I109))</f>
        <v>94.583999999999833</v>
      </c>
      <c r="L109" s="37">
        <f t="shared" ref="L109:L140" si="45">IF(K109="","",K109/I109)</f>
        <v>2.2347519714508175E-2</v>
      </c>
      <c r="M109" s="126">
        <f t="shared" ref="M109:M116" si="46">IF(I109="","",(E109*I109)/1000000)</f>
        <v>7.4468597685120006</v>
      </c>
      <c r="N109" s="126">
        <f t="shared" ref="N109:N116" si="47">IF(J109="","",(F109*J109)/1000000)</f>
        <v>7.6091852719999995</v>
      </c>
      <c r="O109" s="125">
        <f t="shared" ref="O109:O140" si="48">(IF(N109="","",N109-M109))</f>
        <v>0.1623255034879989</v>
      </c>
      <c r="P109" s="37">
        <f t="shared" ref="P109:P140" si="49">IF(O109="","",O109/M109)</f>
        <v>2.1797846143735575E-2</v>
      </c>
      <c r="Q109" s="64">
        <v>836508.80700000003</v>
      </c>
      <c r="R109" s="64">
        <v>842444</v>
      </c>
      <c r="S109" s="63">
        <f t="shared" ref="S109:S140" si="50">(IF(R109="","",R109-Q109))</f>
        <v>5935.1929999999702</v>
      </c>
      <c r="T109" s="37">
        <f t="shared" ref="T109:T140" si="51">IF(S109="","",S109/Q109)</f>
        <v>7.095194874618899E-3</v>
      </c>
      <c r="U109" s="122">
        <f t="shared" ref="U109:U116" si="52">IF(Q109="","",(E109*Q109)/1000000)</f>
        <v>1471.8221887579739</v>
      </c>
      <c r="V109" s="122">
        <f t="shared" ref="V109:V116" si="53">IF(R109="","",(F109*R109)/1000000)</f>
        <v>1481.468101984</v>
      </c>
      <c r="W109" s="123">
        <f t="shared" ref="W109:W140" si="54">(IF(V109="","",V109-U109))</f>
        <v>9.6459132260260958</v>
      </c>
      <c r="X109" s="37">
        <f t="shared" ref="X109:X140" si="55">IF(W109="","",W109/U109)</f>
        <v>6.5537218420154333E-3</v>
      </c>
      <c r="Y109" s="214"/>
      <c r="Z109" s="186"/>
      <c r="AA109" s="186"/>
      <c r="AB109" s="186"/>
      <c r="AC109" s="186"/>
      <c r="AD109" s="186"/>
      <c r="AE109" s="186"/>
      <c r="AF109" s="186"/>
    </row>
    <row r="110" spans="2:32" x14ac:dyDescent="0.35">
      <c r="B110" s="130">
        <v>46219</v>
      </c>
      <c r="C110" s="67">
        <v>98</v>
      </c>
      <c r="D110" s="52" t="s">
        <v>291</v>
      </c>
      <c r="E110" s="124">
        <v>1747.164</v>
      </c>
      <c r="F110" s="124">
        <v>1746.383</v>
      </c>
      <c r="G110" s="123">
        <f t="shared" si="42"/>
        <v>-0.78099999999994907</v>
      </c>
      <c r="H110" s="120">
        <f t="shared" si="43"/>
        <v>-4.4701012612436444E-4</v>
      </c>
      <c r="I110" s="64">
        <v>4168.7619999999997</v>
      </c>
      <c r="J110" s="64">
        <v>4227</v>
      </c>
      <c r="K110" s="63">
        <f t="shared" si="44"/>
        <v>58.238000000000284</v>
      </c>
      <c r="L110" s="37">
        <f t="shared" si="45"/>
        <v>1.3970094718767895E-2</v>
      </c>
      <c r="M110" s="126">
        <f t="shared" si="46"/>
        <v>7.2835108909679995</v>
      </c>
      <c r="N110" s="126">
        <f t="shared" si="47"/>
        <v>7.3819609410000009</v>
      </c>
      <c r="O110" s="125">
        <f t="shared" si="48"/>
        <v>9.8450050032001357E-2</v>
      </c>
      <c r="P110" s="37">
        <f t="shared" si="49"/>
        <v>1.3516839818841414E-2</v>
      </c>
      <c r="Q110" s="64">
        <v>826718.84100000001</v>
      </c>
      <c r="R110" s="64">
        <v>843510</v>
      </c>
      <c r="S110" s="63">
        <f t="shared" si="50"/>
        <v>16791.158999999985</v>
      </c>
      <c r="T110" s="37">
        <f t="shared" si="51"/>
        <v>2.0310604001342682E-2</v>
      </c>
      <c r="U110" s="122">
        <f t="shared" si="52"/>
        <v>1444.413397116924</v>
      </c>
      <c r="V110" s="122">
        <f t="shared" si="53"/>
        <v>1473.0915243299999</v>
      </c>
      <c r="W110" s="123">
        <f t="shared" si="54"/>
        <v>28.678127213075868</v>
      </c>
      <c r="X110" s="37">
        <f t="shared" si="55"/>
        <v>1.9854514829561912E-2</v>
      </c>
      <c r="Y110" s="214"/>
      <c r="Z110" s="186"/>
      <c r="AA110" s="186"/>
      <c r="AB110" s="186"/>
      <c r="AC110" s="186"/>
      <c r="AD110" s="186"/>
      <c r="AE110" s="186"/>
      <c r="AF110" s="186"/>
    </row>
    <row r="111" spans="2:32" x14ac:dyDescent="0.35">
      <c r="B111" s="130">
        <v>46219</v>
      </c>
      <c r="C111" s="67">
        <v>99</v>
      </c>
      <c r="D111" s="52" t="s">
        <v>290</v>
      </c>
      <c r="E111" s="124">
        <v>1641.463</v>
      </c>
      <c r="F111" s="124">
        <v>1642.0360000000001</v>
      </c>
      <c r="G111" s="123">
        <f t="shared" si="42"/>
        <v>0.57300000000009277</v>
      </c>
      <c r="H111" s="120">
        <f t="shared" si="43"/>
        <v>3.4907884003483039E-4</v>
      </c>
      <c r="I111" s="64">
        <v>3952.8879999999999</v>
      </c>
      <c r="J111" s="64">
        <v>4034</v>
      </c>
      <c r="K111" s="63">
        <f t="shared" si="44"/>
        <v>81.11200000000008</v>
      </c>
      <c r="L111" s="37">
        <f t="shared" si="45"/>
        <v>2.051968080046793E-2</v>
      </c>
      <c r="M111" s="126">
        <f t="shared" si="46"/>
        <v>6.4885193951439994</v>
      </c>
      <c r="N111" s="126">
        <f t="shared" si="47"/>
        <v>6.6239732240000002</v>
      </c>
      <c r="O111" s="125">
        <f t="shared" si="48"/>
        <v>0.13545382885600077</v>
      </c>
      <c r="P111" s="37">
        <f t="shared" si="49"/>
        <v>2.0875922626874516E-2</v>
      </c>
      <c r="Q111" s="64">
        <v>845429.11199999996</v>
      </c>
      <c r="R111" s="64">
        <v>847475</v>
      </c>
      <c r="S111" s="63">
        <f t="shared" si="50"/>
        <v>2045.8880000000354</v>
      </c>
      <c r="T111" s="37">
        <f t="shared" si="51"/>
        <v>2.4199403249317436E-3</v>
      </c>
      <c r="U111" s="122">
        <f t="shared" si="52"/>
        <v>1387.7406064708559</v>
      </c>
      <c r="V111" s="122">
        <f t="shared" si="53"/>
        <v>1391.5844591000002</v>
      </c>
      <c r="W111" s="123">
        <f t="shared" si="54"/>
        <v>3.843852629144294</v>
      </c>
      <c r="X111" s="37">
        <f t="shared" si="55"/>
        <v>2.7698639149282681E-3</v>
      </c>
      <c r="Y111" s="214"/>
      <c r="Z111" s="186"/>
      <c r="AA111" s="186"/>
      <c r="AB111" s="186"/>
      <c r="AC111" s="186"/>
      <c r="AD111" s="186"/>
      <c r="AE111" s="186"/>
      <c r="AF111" s="186"/>
    </row>
    <row r="112" spans="2:32" x14ac:dyDescent="0.35">
      <c r="B112" s="130">
        <v>46225</v>
      </c>
      <c r="C112" s="67">
        <v>100</v>
      </c>
      <c r="D112" s="52" t="s">
        <v>289</v>
      </c>
      <c r="E112" s="124">
        <v>1691.521</v>
      </c>
      <c r="F112" s="124">
        <v>1691.1489999999999</v>
      </c>
      <c r="G112" s="123">
        <f t="shared" si="42"/>
        <v>-0.37200000000007094</v>
      </c>
      <c r="H112" s="120">
        <f t="shared" si="43"/>
        <v>-2.1992041482196849E-4</v>
      </c>
      <c r="I112" s="64">
        <v>4053.5749999999998</v>
      </c>
      <c r="J112" s="64">
        <v>4089</v>
      </c>
      <c r="K112" s="63">
        <f t="shared" si="44"/>
        <v>35.425000000000182</v>
      </c>
      <c r="L112" s="37">
        <f t="shared" si="45"/>
        <v>8.7391993487230864E-3</v>
      </c>
      <c r="M112" s="126">
        <f t="shared" si="46"/>
        <v>6.8567072375749989</v>
      </c>
      <c r="N112" s="126">
        <f t="shared" si="47"/>
        <v>6.9151082610000003</v>
      </c>
      <c r="O112" s="125">
        <f t="shared" si="48"/>
        <v>5.8401023425001419E-2</v>
      </c>
      <c r="P112" s="37">
        <f t="shared" si="49"/>
        <v>8.5173570055553406E-3</v>
      </c>
      <c r="Q112" s="64">
        <v>803389.89899999998</v>
      </c>
      <c r="R112" s="64">
        <v>803023</v>
      </c>
      <c r="S112" s="63">
        <f t="shared" si="50"/>
        <v>-366.89899999997579</v>
      </c>
      <c r="T112" s="37">
        <f t="shared" si="51"/>
        <v>-4.5668858975780549E-4</v>
      </c>
      <c r="U112" s="122">
        <f t="shared" si="52"/>
        <v>1358.950885346379</v>
      </c>
      <c r="V112" s="122">
        <f t="shared" si="53"/>
        <v>1358.0315434269999</v>
      </c>
      <c r="W112" s="123">
        <f t="shared" si="54"/>
        <v>-0.91934191937912146</v>
      </c>
      <c r="X112" s="37">
        <f t="shared" si="55"/>
        <v>-6.7650856943574761E-4</v>
      </c>
      <c r="Y112" s="214"/>
      <c r="Z112" s="186"/>
      <c r="AA112" s="186"/>
      <c r="AB112" s="186"/>
      <c r="AC112" s="186"/>
      <c r="AD112" s="186"/>
      <c r="AE112" s="186"/>
      <c r="AF112" s="186"/>
    </row>
    <row r="113" spans="2:32" x14ac:dyDescent="0.35">
      <c r="B113" s="130">
        <v>46225</v>
      </c>
      <c r="C113" s="67">
        <v>101</v>
      </c>
      <c r="D113" s="52" t="s">
        <v>288</v>
      </c>
      <c r="E113" s="124">
        <v>1686.8150000000001</v>
      </c>
      <c r="F113" s="124">
        <v>1691.9480000000001</v>
      </c>
      <c r="G113" s="123">
        <f t="shared" si="42"/>
        <v>5.1330000000000382</v>
      </c>
      <c r="H113" s="120">
        <f t="shared" si="43"/>
        <v>3.0430130156537841E-3</v>
      </c>
      <c r="I113" s="64">
        <v>4032.71</v>
      </c>
      <c r="J113" s="64">
        <v>4078</v>
      </c>
      <c r="K113" s="63">
        <f t="shared" si="44"/>
        <v>45.289999999999964</v>
      </c>
      <c r="L113" s="37">
        <f t="shared" si="45"/>
        <v>1.1230661267485131E-2</v>
      </c>
      <c r="M113" s="126">
        <f t="shared" si="46"/>
        <v>6.80243571865</v>
      </c>
      <c r="N113" s="126">
        <f t="shared" si="47"/>
        <v>6.899763944</v>
      </c>
      <c r="O113" s="125">
        <f t="shared" si="48"/>
        <v>9.7328225350000075E-2</v>
      </c>
      <c r="P113" s="37">
        <f t="shared" si="49"/>
        <v>1.4307849331550269E-2</v>
      </c>
      <c r="Q113" s="64">
        <v>803781.15399999998</v>
      </c>
      <c r="R113" s="64">
        <v>807081</v>
      </c>
      <c r="S113" s="63">
        <f t="shared" si="50"/>
        <v>3299.8460000000196</v>
      </c>
      <c r="T113" s="37">
        <f t="shared" si="51"/>
        <v>4.1054035461996156E-3</v>
      </c>
      <c r="U113" s="122">
        <f t="shared" si="52"/>
        <v>1355.8301072845099</v>
      </c>
      <c r="V113" s="122">
        <f t="shared" si="53"/>
        <v>1365.5390837880002</v>
      </c>
      <c r="W113" s="123">
        <f t="shared" si="54"/>
        <v>9.7089765034902484</v>
      </c>
      <c r="X113" s="37">
        <f t="shared" si="55"/>
        <v>7.1609093582791329E-3</v>
      </c>
      <c r="Y113" s="214"/>
      <c r="Z113" s="186"/>
      <c r="AA113" s="186"/>
      <c r="AB113" s="186"/>
      <c r="AC113" s="186"/>
      <c r="AD113" s="186"/>
      <c r="AE113" s="186"/>
      <c r="AF113" s="186"/>
    </row>
    <row r="114" spans="2:32" x14ac:dyDescent="0.35">
      <c r="B114" s="130">
        <v>46225</v>
      </c>
      <c r="C114" s="67">
        <v>102</v>
      </c>
      <c r="D114" s="52" t="s">
        <v>287</v>
      </c>
      <c r="E114" s="124">
        <v>1739.2840000000001</v>
      </c>
      <c r="F114" s="124">
        <v>1740.095</v>
      </c>
      <c r="G114" s="123">
        <f t="shared" si="42"/>
        <v>0.81099999999992178</v>
      </c>
      <c r="H114" s="120">
        <f t="shared" si="43"/>
        <v>4.6628382713801873E-4</v>
      </c>
      <c r="I114" s="64">
        <v>3917.1219999999998</v>
      </c>
      <c r="J114" s="64">
        <v>3945</v>
      </c>
      <c r="K114" s="63">
        <f t="shared" si="44"/>
        <v>27.878000000000156</v>
      </c>
      <c r="L114" s="37">
        <f t="shared" si="45"/>
        <v>7.1169598496039072E-3</v>
      </c>
      <c r="M114" s="126">
        <f t="shared" si="46"/>
        <v>6.8129876206480002</v>
      </c>
      <c r="N114" s="126">
        <f t="shared" si="47"/>
        <v>6.8646747750000001</v>
      </c>
      <c r="O114" s="125">
        <f t="shared" si="48"/>
        <v>5.1687154351999887E-2</v>
      </c>
      <c r="P114" s="37">
        <f t="shared" si="49"/>
        <v>7.5865622000181755E-3</v>
      </c>
      <c r="Q114" s="64">
        <v>816546.33499999996</v>
      </c>
      <c r="R114" s="64">
        <v>819228</v>
      </c>
      <c r="S114" s="63">
        <f t="shared" si="50"/>
        <v>2681.6650000000373</v>
      </c>
      <c r="T114" s="37">
        <f t="shared" si="51"/>
        <v>3.2841553321037655E-3</v>
      </c>
      <c r="U114" s="122">
        <f t="shared" si="52"/>
        <v>1420.20597572414</v>
      </c>
      <c r="V114" s="122">
        <f t="shared" si="53"/>
        <v>1425.5345466600002</v>
      </c>
      <c r="W114" s="123">
        <f t="shared" si="54"/>
        <v>5.3285709358601707</v>
      </c>
      <c r="X114" s="37">
        <f t="shared" si="55"/>
        <v>3.7519705077590725E-3</v>
      </c>
      <c r="Y114" s="214"/>
      <c r="Z114" s="186"/>
      <c r="AA114" s="186"/>
      <c r="AB114" s="186"/>
      <c r="AC114" s="186"/>
      <c r="AD114" s="186"/>
      <c r="AE114" s="186"/>
      <c r="AF114" s="186"/>
    </row>
    <row r="115" spans="2:32" x14ac:dyDescent="0.35">
      <c r="B115" s="130">
        <v>46225</v>
      </c>
      <c r="C115" s="67">
        <v>103</v>
      </c>
      <c r="D115" s="52" t="s">
        <v>286</v>
      </c>
      <c r="E115" s="124">
        <v>1696.6189999999999</v>
      </c>
      <c r="F115" s="124">
        <v>1697.6790000000001</v>
      </c>
      <c r="G115" s="123">
        <f t="shared" si="42"/>
        <v>1.0600000000001728</v>
      </c>
      <c r="H115" s="120">
        <f t="shared" si="43"/>
        <v>6.2477197296515765E-4</v>
      </c>
      <c r="I115" s="64">
        <v>3805.82</v>
      </c>
      <c r="J115" s="64">
        <v>3854</v>
      </c>
      <c r="K115" s="63">
        <f t="shared" si="44"/>
        <v>48.179999999999836</v>
      </c>
      <c r="L115" s="37">
        <f t="shared" si="45"/>
        <v>1.265955825551388E-2</v>
      </c>
      <c r="M115" s="126">
        <f t="shared" si="46"/>
        <v>6.4570265225799997</v>
      </c>
      <c r="N115" s="126">
        <f t="shared" si="47"/>
        <v>6.5428548660000008</v>
      </c>
      <c r="O115" s="125">
        <f t="shared" si="48"/>
        <v>8.5828343420001119E-2</v>
      </c>
      <c r="P115" s="37">
        <f t="shared" si="49"/>
        <v>1.3292239565667316E-2</v>
      </c>
      <c r="Q115" s="64">
        <v>822072.81</v>
      </c>
      <c r="R115" s="64">
        <v>827148</v>
      </c>
      <c r="S115" s="63">
        <f t="shared" si="50"/>
        <v>5075.1899999999441</v>
      </c>
      <c r="T115" s="37">
        <f t="shared" si="51"/>
        <v>6.1736502390827694E-3</v>
      </c>
      <c r="U115" s="122">
        <f t="shared" si="52"/>
        <v>1394.74434882939</v>
      </c>
      <c r="V115" s="122">
        <f t="shared" si="53"/>
        <v>1404.2317894920002</v>
      </c>
      <c r="W115" s="123">
        <f t="shared" si="54"/>
        <v>9.4874406626101973</v>
      </c>
      <c r="X115" s="37">
        <f t="shared" si="55"/>
        <v>6.8022793356883023E-3</v>
      </c>
      <c r="Y115" s="211"/>
      <c r="Z115" s="212"/>
      <c r="AA115" s="212"/>
      <c r="AB115" s="212"/>
      <c r="AC115" s="212"/>
      <c r="AD115" s="212"/>
      <c r="AE115" s="212"/>
      <c r="AF115" s="212"/>
    </row>
    <row r="116" spans="2:32" x14ac:dyDescent="0.35">
      <c r="B116" s="130">
        <v>46234</v>
      </c>
      <c r="C116" s="135">
        <v>104</v>
      </c>
      <c r="D116" s="134" t="s">
        <v>285</v>
      </c>
      <c r="E116" s="59">
        <v>1638.8309999999999</v>
      </c>
      <c r="F116" s="59">
        <v>1642.2619999999999</v>
      </c>
      <c r="G116" s="58">
        <f t="shared" si="42"/>
        <v>3.43100000000004</v>
      </c>
      <c r="H116" s="120">
        <f t="shared" si="43"/>
        <v>2.0935654744144092E-3</v>
      </c>
      <c r="I116" s="56">
        <v>4080.895</v>
      </c>
      <c r="J116" s="56">
        <v>4098</v>
      </c>
      <c r="K116" s="55">
        <f t="shared" si="44"/>
        <v>17.105000000000018</v>
      </c>
      <c r="L116" s="37">
        <f t="shared" si="45"/>
        <v>4.1914825056758431E-3</v>
      </c>
      <c r="M116" s="133">
        <f t="shared" si="46"/>
        <v>6.6878972337449998</v>
      </c>
      <c r="N116" s="133">
        <f t="shared" si="47"/>
        <v>6.7299896759999998</v>
      </c>
      <c r="O116" s="132">
        <f t="shared" si="48"/>
        <v>4.2092442254999973E-2</v>
      </c>
      <c r="P116" s="37">
        <f t="shared" si="49"/>
        <v>6.2938231231507141E-3</v>
      </c>
      <c r="Q116" s="56">
        <v>822638.93500000006</v>
      </c>
      <c r="R116" s="56">
        <v>825164</v>
      </c>
      <c r="S116" s="55">
        <f t="shared" si="50"/>
        <v>2525.0649999999441</v>
      </c>
      <c r="T116" s="37">
        <f t="shared" si="51"/>
        <v>3.0694693535262148E-3</v>
      </c>
      <c r="U116" s="131">
        <f t="shared" si="52"/>
        <v>1348.166188484985</v>
      </c>
      <c r="V116" s="131">
        <f t="shared" si="53"/>
        <v>1355.1354809679999</v>
      </c>
      <c r="W116" s="58">
        <f t="shared" si="54"/>
        <v>6.9692924830148968</v>
      </c>
      <c r="X116" s="37">
        <f t="shared" si="55"/>
        <v>5.1694609630039065E-3</v>
      </c>
      <c r="Y116" s="205"/>
      <c r="Z116" s="206"/>
      <c r="AA116" s="206"/>
      <c r="AB116" s="206"/>
      <c r="AC116" s="206"/>
      <c r="AD116" s="206"/>
      <c r="AE116" s="206"/>
      <c r="AF116" s="207"/>
    </row>
    <row r="117" spans="2:32" x14ac:dyDescent="0.35">
      <c r="B117" s="130">
        <v>46234</v>
      </c>
      <c r="C117" s="50">
        <v>105</v>
      </c>
      <c r="D117" s="52" t="s">
        <v>284</v>
      </c>
      <c r="E117" s="124">
        <v>1682.6420000000001</v>
      </c>
      <c r="F117" s="124">
        <v>1683.3130000000001</v>
      </c>
      <c r="G117" s="123">
        <f t="shared" si="42"/>
        <v>0.67100000000004911</v>
      </c>
      <c r="H117" s="120">
        <f t="shared" si="43"/>
        <v>3.9877763659771308E-4</v>
      </c>
      <c r="I117" s="64">
        <v>4075.53</v>
      </c>
      <c r="J117" s="64"/>
      <c r="K117" s="63" t="str">
        <f t="shared" si="44"/>
        <v/>
      </c>
      <c r="L117" s="37" t="str">
        <f t="shared" si="45"/>
        <v/>
      </c>
      <c r="M117" s="126"/>
      <c r="N117" s="126" t="str">
        <f t="shared" ref="N117:N122" si="56">IF(J117="","",(F117*J117)/1000000)</f>
        <v/>
      </c>
      <c r="O117" s="125" t="str">
        <f t="shared" si="48"/>
        <v/>
      </c>
      <c r="P117" s="37" t="str">
        <f t="shared" si="49"/>
        <v/>
      </c>
      <c r="Q117" s="64">
        <v>824017.74899999995</v>
      </c>
      <c r="R117" s="64"/>
      <c r="S117" s="63" t="str">
        <f t="shared" si="50"/>
        <v/>
      </c>
      <c r="T117" s="37" t="str">
        <f t="shared" si="51"/>
        <v/>
      </c>
      <c r="U117" s="122"/>
      <c r="V117" s="122" t="str">
        <f t="shared" ref="V117:V122" si="57">IF(R117="","",(F117*R117)/1000000)</f>
        <v/>
      </c>
      <c r="W117" s="123" t="str">
        <f t="shared" si="54"/>
        <v/>
      </c>
      <c r="X117" s="37" t="str">
        <f t="shared" si="55"/>
        <v/>
      </c>
      <c r="Y117" s="205"/>
      <c r="Z117" s="206"/>
      <c r="AA117" s="206"/>
      <c r="AB117" s="206"/>
      <c r="AC117" s="206"/>
      <c r="AD117" s="206"/>
      <c r="AE117" s="206"/>
      <c r="AF117" s="207"/>
    </row>
    <row r="118" spans="2:32" x14ac:dyDescent="0.35">
      <c r="B118" s="130">
        <v>46234</v>
      </c>
      <c r="C118" s="50">
        <v>106</v>
      </c>
      <c r="D118" s="33" t="s">
        <v>283</v>
      </c>
      <c r="E118" s="124">
        <v>967.65300000000002</v>
      </c>
      <c r="F118" s="124">
        <v>0</v>
      </c>
      <c r="G118" s="123" t="str">
        <f t="shared" si="42"/>
        <v/>
      </c>
      <c r="H118" s="120" t="str">
        <f t="shared" si="43"/>
        <v/>
      </c>
      <c r="I118" s="64">
        <v>4575.2790000000005</v>
      </c>
      <c r="J118" s="64"/>
      <c r="K118" s="63" t="str">
        <f t="shared" si="44"/>
        <v/>
      </c>
      <c r="L118" s="37" t="str">
        <f t="shared" si="45"/>
        <v/>
      </c>
      <c r="M118" s="126"/>
      <c r="N118" s="126" t="str">
        <f t="shared" si="56"/>
        <v/>
      </c>
      <c r="O118" s="125" t="str">
        <f t="shared" si="48"/>
        <v/>
      </c>
      <c r="P118" s="37" t="str">
        <f t="shared" si="49"/>
        <v/>
      </c>
      <c r="Q118" s="64">
        <v>831958.25199999998</v>
      </c>
      <c r="R118" s="64"/>
      <c r="S118" s="63" t="str">
        <f t="shared" si="50"/>
        <v/>
      </c>
      <c r="T118" s="37" t="str">
        <f t="shared" si="51"/>
        <v/>
      </c>
      <c r="U118" s="122"/>
      <c r="V118" s="122" t="str">
        <f t="shared" si="57"/>
        <v/>
      </c>
      <c r="W118" s="123" t="str">
        <f t="shared" si="54"/>
        <v/>
      </c>
      <c r="X118" s="37" t="str">
        <f t="shared" si="55"/>
        <v/>
      </c>
      <c r="Y118" s="205"/>
      <c r="Z118" s="206"/>
      <c r="AA118" s="206"/>
      <c r="AB118" s="206"/>
      <c r="AC118" s="206"/>
      <c r="AD118" s="206"/>
      <c r="AE118" s="206"/>
      <c r="AF118" s="207"/>
    </row>
    <row r="119" spans="2:32" x14ac:dyDescent="0.35">
      <c r="B119" s="129" t="s">
        <v>279</v>
      </c>
      <c r="C119" s="127">
        <v>107</v>
      </c>
      <c r="D119" s="34" t="s">
        <v>282</v>
      </c>
      <c r="E119" s="124">
        <v>1665.3489999999999</v>
      </c>
      <c r="F119" s="124">
        <v>1661.999</v>
      </c>
      <c r="G119" s="123">
        <f t="shared" si="42"/>
        <v>-3.3499999999999091</v>
      </c>
      <c r="H119" s="120">
        <f t="shared" si="43"/>
        <v>-2.0115903633412032E-3</v>
      </c>
      <c r="I119" s="64">
        <v>4234.3900000000003</v>
      </c>
      <c r="J119" s="64">
        <v>4380</v>
      </c>
      <c r="K119" s="63">
        <f t="shared" si="44"/>
        <v>145.60999999999967</v>
      </c>
      <c r="L119" s="37">
        <f t="shared" si="45"/>
        <v>3.4387479660588575E-2</v>
      </c>
      <c r="M119" s="126">
        <f>IF(I119="","",(E119*I119)/1000000)</f>
        <v>7.0517371521100003</v>
      </c>
      <c r="N119" s="126">
        <f t="shared" si="56"/>
        <v>7.27955562</v>
      </c>
      <c r="O119" s="125">
        <f t="shared" si="48"/>
        <v>0.22781846788999971</v>
      </c>
      <c r="P119" s="37">
        <f t="shared" si="49"/>
        <v>3.230671577454252E-2</v>
      </c>
      <c r="Q119" s="64">
        <v>843408.26599999995</v>
      </c>
      <c r="R119" s="64">
        <v>843248</v>
      </c>
      <c r="S119" s="63">
        <f t="shared" si="50"/>
        <v>-160.26599999994505</v>
      </c>
      <c r="T119" s="37">
        <f t="shared" si="51"/>
        <v>-1.9002185117301785E-4</v>
      </c>
      <c r="U119" s="122">
        <f>IF(Q119="","",(E119*Q119)/1000000)</f>
        <v>1404.5691123748338</v>
      </c>
      <c r="V119" s="122">
        <f t="shared" si="57"/>
        <v>1401.4773327520002</v>
      </c>
      <c r="W119" s="123">
        <f t="shared" si="54"/>
        <v>-3.0917796228336556</v>
      </c>
      <c r="X119" s="37">
        <f t="shared" si="55"/>
        <v>-2.2012299683894518E-3</v>
      </c>
      <c r="Y119" s="205"/>
      <c r="Z119" s="206"/>
      <c r="AA119" s="206"/>
      <c r="AB119" s="206"/>
      <c r="AC119" s="206"/>
      <c r="AD119" s="206"/>
      <c r="AE119" s="206"/>
      <c r="AF119" s="207"/>
    </row>
    <row r="120" spans="2:32" x14ac:dyDescent="0.35">
      <c r="B120" s="128" t="s">
        <v>279</v>
      </c>
      <c r="C120" s="66">
        <v>108</v>
      </c>
      <c r="D120" s="34" t="s">
        <v>281</v>
      </c>
      <c r="E120" s="124">
        <v>1702.7090000000001</v>
      </c>
      <c r="F120" s="124">
        <v>1704.8869999999999</v>
      </c>
      <c r="G120" s="123">
        <f t="shared" si="42"/>
        <v>2.1779999999998836</v>
      </c>
      <c r="H120" s="120">
        <f t="shared" si="43"/>
        <v>1.2791381263620991E-3</v>
      </c>
      <c r="I120" s="64">
        <v>4380.8620000000001</v>
      </c>
      <c r="J120" s="64">
        <v>4406</v>
      </c>
      <c r="K120" s="63">
        <f t="shared" si="44"/>
        <v>25.13799999999992</v>
      </c>
      <c r="L120" s="37">
        <f t="shared" si="45"/>
        <v>5.7381401194559244E-3</v>
      </c>
      <c r="M120" s="126">
        <f>IF(I120="","",(E120*I120)/1000000)</f>
        <v>7.4593331551580002</v>
      </c>
      <c r="N120" s="126">
        <f t="shared" si="56"/>
        <v>7.5117321219999997</v>
      </c>
      <c r="O120" s="125">
        <f t="shared" si="48"/>
        <v>5.2398966841999517E-2</v>
      </c>
      <c r="P120" s="37">
        <f t="shared" si="49"/>
        <v>7.0246181196192501E-3</v>
      </c>
      <c r="Q120" s="64">
        <v>851401.25399999996</v>
      </c>
      <c r="R120" s="64">
        <v>850684</v>
      </c>
      <c r="S120" s="63">
        <f t="shared" si="50"/>
        <v>-717.25399999995716</v>
      </c>
      <c r="T120" s="37">
        <f t="shared" si="51"/>
        <v>-8.4243944512672427E-4</v>
      </c>
      <c r="U120" s="122">
        <f>IF(Q120="","",(E120*Q120)/1000000)</f>
        <v>1449.6885777970861</v>
      </c>
      <c r="V120" s="122">
        <f t="shared" si="57"/>
        <v>1450.3200927079999</v>
      </c>
      <c r="W120" s="123">
        <f t="shared" si="54"/>
        <v>0.63151491091389289</v>
      </c>
      <c r="X120" s="37">
        <f t="shared" si="55"/>
        <v>4.3562108482190614E-4</v>
      </c>
    </row>
    <row r="121" spans="2:32" x14ac:dyDescent="0.35">
      <c r="B121" s="128" t="s">
        <v>279</v>
      </c>
      <c r="C121" s="66">
        <v>109</v>
      </c>
      <c r="D121" s="34" t="s">
        <v>280</v>
      </c>
      <c r="E121" s="124">
        <v>1738.903</v>
      </c>
      <c r="F121" s="124">
        <v>1737.325</v>
      </c>
      <c r="G121" s="123">
        <f t="shared" si="42"/>
        <v>-1.5779999999999745</v>
      </c>
      <c r="H121" s="120">
        <f t="shared" si="43"/>
        <v>-9.0746867421585592E-4</v>
      </c>
      <c r="I121" s="64">
        <v>4158.3509999999997</v>
      </c>
      <c r="J121" s="64">
        <v>4194</v>
      </c>
      <c r="K121" s="63">
        <f t="shared" si="44"/>
        <v>35.649000000000342</v>
      </c>
      <c r="L121" s="37">
        <f t="shared" si="45"/>
        <v>8.5728693898134978E-3</v>
      </c>
      <c r="M121" s="126">
        <f>IF(I121="","",(E121*I121)/1000000)</f>
        <v>7.2309690289529991</v>
      </c>
      <c r="N121" s="126">
        <f t="shared" si="56"/>
        <v>7.2863410499999999</v>
      </c>
      <c r="O121" s="125">
        <f t="shared" si="48"/>
        <v>5.5372021047000786E-2</v>
      </c>
      <c r="P121" s="37">
        <f t="shared" si="49"/>
        <v>7.6576211051782531E-3</v>
      </c>
      <c r="Q121" s="64">
        <v>807894.61300000001</v>
      </c>
      <c r="R121" s="64">
        <v>807651</v>
      </c>
      <c r="S121" s="63">
        <f t="shared" si="50"/>
        <v>-243.61300000001211</v>
      </c>
      <c r="T121" s="37">
        <f t="shared" si="51"/>
        <v>-3.0154056739577754E-4</v>
      </c>
      <c r="U121" s="122">
        <f>IF(Q121="","",(E121*Q121)/1000000)</f>
        <v>1404.8503662295391</v>
      </c>
      <c r="V121" s="122">
        <f t="shared" si="57"/>
        <v>1403.152273575</v>
      </c>
      <c r="W121" s="123">
        <f t="shared" si="54"/>
        <v>-1.6980926545390957</v>
      </c>
      <c r="X121" s="37">
        <f t="shared" si="55"/>
        <v>-1.2087356029927842E-3</v>
      </c>
      <c r="Y121" s="205"/>
      <c r="Z121" s="206"/>
      <c r="AA121" s="206"/>
      <c r="AB121" s="206"/>
      <c r="AC121" s="206"/>
      <c r="AD121" s="206"/>
      <c r="AE121" s="206"/>
      <c r="AF121" s="207"/>
    </row>
    <row r="122" spans="2:32" x14ac:dyDescent="0.35">
      <c r="B122" s="128" t="s">
        <v>279</v>
      </c>
      <c r="C122" s="127">
        <v>110</v>
      </c>
      <c r="D122" s="34" t="s">
        <v>278</v>
      </c>
      <c r="E122" s="124">
        <v>1546.6590000000001</v>
      </c>
      <c r="F122" s="124">
        <v>1549.0509999999999</v>
      </c>
      <c r="G122" s="123">
        <f t="shared" si="42"/>
        <v>2.3919999999998254</v>
      </c>
      <c r="H122" s="120">
        <f t="shared" si="43"/>
        <v>1.5465593902727268E-3</v>
      </c>
      <c r="I122" s="64">
        <v>3779.143</v>
      </c>
      <c r="J122" s="64">
        <v>3620</v>
      </c>
      <c r="K122" s="63">
        <f t="shared" si="44"/>
        <v>-159.14300000000003</v>
      </c>
      <c r="L122" s="37">
        <f t="shared" si="45"/>
        <v>-4.2110870109969382E-2</v>
      </c>
      <c r="M122" s="126">
        <f>IF(I122="","",(E122*I122)/1000000)</f>
        <v>5.8450455332370002</v>
      </c>
      <c r="N122" s="126">
        <f t="shared" si="56"/>
        <v>5.6075646199999998</v>
      </c>
      <c r="O122" s="125">
        <f t="shared" si="48"/>
        <v>-0.23748091323700038</v>
      </c>
      <c r="P122" s="37">
        <f t="shared" si="49"/>
        <v>-4.0629437681297731E-2</v>
      </c>
      <c r="Q122" s="64">
        <v>744543.30200000003</v>
      </c>
      <c r="R122" s="64">
        <v>745132</v>
      </c>
      <c r="S122" s="63">
        <f t="shared" si="50"/>
        <v>588.69799999997485</v>
      </c>
      <c r="T122" s="37">
        <f t="shared" si="51"/>
        <v>7.9068336041518081E-4</v>
      </c>
      <c r="U122" s="122">
        <f>IF(Q122="","",(E122*Q122)/1000000)</f>
        <v>1151.5545989280181</v>
      </c>
      <c r="V122" s="122">
        <f t="shared" si="57"/>
        <v>1154.2474697319999</v>
      </c>
      <c r="W122" s="123">
        <f t="shared" si="54"/>
        <v>2.6928708039818048</v>
      </c>
      <c r="X122" s="37">
        <f t="shared" si="55"/>
        <v>2.3384655894636672E-3</v>
      </c>
    </row>
    <row r="123" spans="2:32" x14ac:dyDescent="0.35">
      <c r="B123" s="121"/>
      <c r="C123" s="50"/>
      <c r="D123" s="34"/>
      <c r="E123" s="124"/>
      <c r="F123" s="124"/>
      <c r="G123" s="38"/>
      <c r="H123" s="120"/>
      <c r="I123" s="42"/>
      <c r="J123" s="42"/>
      <c r="K123" s="41" t="str">
        <f t="shared" si="44"/>
        <v/>
      </c>
      <c r="L123" s="37" t="str">
        <f t="shared" si="45"/>
        <v/>
      </c>
      <c r="M123" s="119"/>
      <c r="N123" s="119"/>
      <c r="O123" s="118" t="str">
        <f t="shared" si="48"/>
        <v/>
      </c>
      <c r="P123" s="37" t="str">
        <f t="shared" si="49"/>
        <v/>
      </c>
      <c r="Q123" s="42"/>
      <c r="R123" s="42"/>
      <c r="S123" s="41" t="str">
        <f t="shared" si="50"/>
        <v/>
      </c>
      <c r="T123" s="37" t="str">
        <f t="shared" si="51"/>
        <v/>
      </c>
      <c r="U123" s="122"/>
      <c r="V123" s="122"/>
      <c r="W123" s="123" t="str">
        <f t="shared" si="54"/>
        <v/>
      </c>
      <c r="X123" s="37" t="str">
        <f t="shared" si="55"/>
        <v/>
      </c>
    </row>
    <row r="124" spans="2:32" x14ac:dyDescent="0.35">
      <c r="C124" s="50"/>
      <c r="E124" s="48"/>
      <c r="F124" s="48"/>
      <c r="G124" s="38"/>
      <c r="H124" s="120"/>
      <c r="I124" s="42"/>
      <c r="J124" s="42"/>
      <c r="K124" s="41" t="str">
        <f t="shared" si="44"/>
        <v/>
      </c>
      <c r="L124" s="37" t="str">
        <f t="shared" si="45"/>
        <v/>
      </c>
      <c r="M124" s="119"/>
      <c r="N124" s="119"/>
      <c r="O124" s="118" t="str">
        <f t="shared" si="48"/>
        <v/>
      </c>
      <c r="P124" s="37" t="str">
        <f t="shared" si="49"/>
        <v/>
      </c>
      <c r="Q124" s="42"/>
      <c r="R124" s="42"/>
      <c r="S124" s="41" t="str">
        <f t="shared" si="50"/>
        <v/>
      </c>
      <c r="T124" s="37" t="str">
        <f t="shared" si="51"/>
        <v/>
      </c>
      <c r="U124" s="122"/>
      <c r="V124" s="122"/>
      <c r="W124" s="123" t="str">
        <f t="shared" si="54"/>
        <v/>
      </c>
      <c r="X124" s="37" t="str">
        <f t="shared" si="55"/>
        <v/>
      </c>
    </row>
    <row r="125" spans="2:32" x14ac:dyDescent="0.35">
      <c r="B125" s="121"/>
      <c r="C125" s="50"/>
      <c r="E125" s="48"/>
      <c r="F125" s="48"/>
      <c r="G125" s="38"/>
      <c r="H125" s="120"/>
      <c r="I125" s="42"/>
      <c r="J125" s="42"/>
      <c r="K125" s="41" t="str">
        <f t="shared" si="44"/>
        <v/>
      </c>
      <c r="L125" s="37" t="str">
        <f t="shared" si="45"/>
        <v/>
      </c>
      <c r="M125" s="119"/>
      <c r="N125" s="119"/>
      <c r="O125" s="118" t="str">
        <f t="shared" si="48"/>
        <v/>
      </c>
      <c r="P125" s="37" t="str">
        <f t="shared" si="49"/>
        <v/>
      </c>
      <c r="Q125" s="42"/>
      <c r="R125" s="42"/>
      <c r="S125" s="41" t="str">
        <f t="shared" si="50"/>
        <v/>
      </c>
      <c r="T125" s="37" t="str">
        <f t="shared" si="51"/>
        <v/>
      </c>
      <c r="U125" s="122"/>
      <c r="V125" s="122"/>
      <c r="W125" s="38" t="str">
        <f t="shared" si="54"/>
        <v/>
      </c>
      <c r="X125" s="37" t="str">
        <f t="shared" si="55"/>
        <v/>
      </c>
    </row>
    <row r="126" spans="2:32" x14ac:dyDescent="0.35">
      <c r="B126" s="121"/>
      <c r="C126" s="50"/>
      <c r="E126" s="48"/>
      <c r="F126" s="48"/>
      <c r="G126" s="38"/>
      <c r="H126" s="120"/>
      <c r="I126" s="42"/>
      <c r="J126" s="42"/>
      <c r="K126" s="41" t="str">
        <f t="shared" si="44"/>
        <v/>
      </c>
      <c r="L126" s="37" t="str">
        <f t="shared" si="45"/>
        <v/>
      </c>
      <c r="M126" s="119"/>
      <c r="N126" s="119"/>
      <c r="O126" s="118" t="str">
        <f t="shared" si="48"/>
        <v/>
      </c>
      <c r="P126" s="37" t="str">
        <f t="shared" si="49"/>
        <v/>
      </c>
      <c r="Q126" s="42"/>
      <c r="R126" s="42"/>
      <c r="S126" s="41" t="str">
        <f t="shared" si="50"/>
        <v/>
      </c>
      <c r="T126" s="37" t="str">
        <f t="shared" si="51"/>
        <v/>
      </c>
      <c r="U126" s="39"/>
      <c r="V126" s="39"/>
      <c r="W126" s="38" t="str">
        <f t="shared" si="54"/>
        <v/>
      </c>
      <c r="X126" s="37" t="str">
        <f t="shared" si="55"/>
        <v/>
      </c>
    </row>
    <row r="127" spans="2:32" x14ac:dyDescent="0.35">
      <c r="B127" s="121"/>
      <c r="C127" s="50"/>
      <c r="E127" s="48"/>
      <c r="F127" s="48"/>
      <c r="G127" s="38"/>
      <c r="H127" s="120"/>
      <c r="I127" s="42"/>
      <c r="J127" s="42"/>
      <c r="K127" s="41" t="str">
        <f t="shared" si="44"/>
        <v/>
      </c>
      <c r="L127" s="37" t="str">
        <f t="shared" si="45"/>
        <v/>
      </c>
      <c r="M127" s="119"/>
      <c r="N127" s="119"/>
      <c r="O127" s="118" t="str">
        <f t="shared" si="48"/>
        <v/>
      </c>
      <c r="P127" s="37" t="str">
        <f t="shared" si="49"/>
        <v/>
      </c>
      <c r="Q127" s="42"/>
      <c r="R127" s="42"/>
      <c r="S127" s="41" t="str">
        <f t="shared" si="50"/>
        <v/>
      </c>
      <c r="T127" s="37" t="str">
        <f t="shared" si="51"/>
        <v/>
      </c>
      <c r="U127" s="39"/>
      <c r="V127" s="39"/>
      <c r="W127" s="38" t="str">
        <f t="shared" si="54"/>
        <v/>
      </c>
      <c r="X127" s="37" t="str">
        <f t="shared" si="55"/>
        <v/>
      </c>
      <c r="Y127" s="205"/>
      <c r="Z127" s="206"/>
      <c r="AA127" s="206"/>
      <c r="AB127" s="206"/>
      <c r="AC127" s="206"/>
      <c r="AD127" s="206"/>
      <c r="AE127" s="206"/>
      <c r="AF127" s="207"/>
    </row>
    <row r="128" spans="2:32" x14ac:dyDescent="0.35">
      <c r="B128" s="121"/>
      <c r="C128" s="50"/>
      <c r="E128" s="48"/>
      <c r="F128" s="48"/>
      <c r="G128" s="38"/>
      <c r="H128" s="120"/>
      <c r="I128" s="42"/>
      <c r="J128" s="42"/>
      <c r="K128" s="41" t="str">
        <f t="shared" si="44"/>
        <v/>
      </c>
      <c r="L128" s="37" t="str">
        <f t="shared" si="45"/>
        <v/>
      </c>
      <c r="M128" s="119"/>
      <c r="N128" s="119"/>
      <c r="O128" s="118" t="str">
        <f t="shared" si="48"/>
        <v/>
      </c>
      <c r="P128" s="37" t="str">
        <f t="shared" si="49"/>
        <v/>
      </c>
      <c r="Q128" s="42"/>
      <c r="R128" s="42"/>
      <c r="S128" s="41" t="str">
        <f t="shared" si="50"/>
        <v/>
      </c>
      <c r="T128" s="37" t="str">
        <f t="shared" si="51"/>
        <v/>
      </c>
      <c r="U128" s="39"/>
      <c r="V128" s="39"/>
      <c r="W128" s="38" t="str">
        <f t="shared" si="54"/>
        <v/>
      </c>
      <c r="X128" s="37" t="str">
        <f t="shared" si="55"/>
        <v/>
      </c>
      <c r="Y128" s="205"/>
      <c r="Z128" s="206"/>
      <c r="AA128" s="206"/>
      <c r="AB128" s="206"/>
      <c r="AC128" s="206"/>
      <c r="AD128" s="206"/>
      <c r="AE128" s="206"/>
      <c r="AF128" s="207"/>
    </row>
    <row r="129" spans="2:32" x14ac:dyDescent="0.35">
      <c r="B129" s="121"/>
      <c r="C129" s="50"/>
      <c r="E129" s="48"/>
      <c r="F129" s="48"/>
      <c r="G129" s="38"/>
      <c r="H129" s="120"/>
      <c r="I129" s="42"/>
      <c r="J129" s="42"/>
      <c r="K129" s="41" t="str">
        <f t="shared" si="44"/>
        <v/>
      </c>
      <c r="L129" s="37" t="str">
        <f t="shared" si="45"/>
        <v/>
      </c>
      <c r="M129" s="119"/>
      <c r="N129" s="119"/>
      <c r="O129" s="118" t="str">
        <f t="shared" si="48"/>
        <v/>
      </c>
      <c r="P129" s="37" t="str">
        <f t="shared" si="49"/>
        <v/>
      </c>
      <c r="Q129" s="42"/>
      <c r="R129" s="42"/>
      <c r="S129" s="41" t="str">
        <f t="shared" si="50"/>
        <v/>
      </c>
      <c r="T129" s="37" t="str">
        <f t="shared" si="51"/>
        <v/>
      </c>
      <c r="U129" s="39"/>
      <c r="V129" s="39"/>
      <c r="W129" s="38" t="str">
        <f t="shared" si="54"/>
        <v/>
      </c>
      <c r="X129" s="37" t="str">
        <f t="shared" si="55"/>
        <v/>
      </c>
      <c r="Y129" s="205"/>
      <c r="Z129" s="206"/>
      <c r="AA129" s="206"/>
      <c r="AB129" s="206"/>
      <c r="AC129" s="206"/>
      <c r="AD129" s="206"/>
      <c r="AE129" s="206"/>
      <c r="AF129" s="207"/>
    </row>
    <row r="130" spans="2:32" x14ac:dyDescent="0.35">
      <c r="B130" s="121"/>
      <c r="C130" s="50"/>
      <c r="E130" s="48"/>
      <c r="F130" s="48"/>
      <c r="G130" s="38"/>
      <c r="H130" s="120"/>
      <c r="I130" s="42"/>
      <c r="J130" s="42"/>
      <c r="K130" s="41" t="str">
        <f t="shared" si="44"/>
        <v/>
      </c>
      <c r="L130" s="37" t="str">
        <f t="shared" si="45"/>
        <v/>
      </c>
      <c r="M130" s="119"/>
      <c r="N130" s="119"/>
      <c r="O130" s="118" t="str">
        <f t="shared" si="48"/>
        <v/>
      </c>
      <c r="P130" s="37" t="str">
        <f t="shared" si="49"/>
        <v/>
      </c>
      <c r="Q130" s="42"/>
      <c r="R130" s="42"/>
      <c r="S130" s="41" t="str">
        <f t="shared" si="50"/>
        <v/>
      </c>
      <c r="T130" s="37" t="str">
        <f t="shared" si="51"/>
        <v/>
      </c>
      <c r="U130" s="39"/>
      <c r="V130" s="39"/>
      <c r="W130" s="38" t="str">
        <f t="shared" si="54"/>
        <v/>
      </c>
      <c r="X130" s="37" t="str">
        <f t="shared" si="55"/>
        <v/>
      </c>
    </row>
    <row r="131" spans="2:32" x14ac:dyDescent="0.35">
      <c r="B131" s="121"/>
      <c r="C131" s="50"/>
      <c r="E131" s="48"/>
      <c r="F131" s="48"/>
      <c r="G131" s="38"/>
      <c r="H131" s="120"/>
      <c r="I131" s="42"/>
      <c r="J131" s="42"/>
      <c r="K131" s="41" t="str">
        <f t="shared" si="44"/>
        <v/>
      </c>
      <c r="L131" s="37" t="str">
        <f t="shared" si="45"/>
        <v/>
      </c>
      <c r="M131" s="119"/>
      <c r="N131" s="119"/>
      <c r="O131" s="118" t="str">
        <f t="shared" si="48"/>
        <v/>
      </c>
      <c r="P131" s="37" t="str">
        <f t="shared" si="49"/>
        <v/>
      </c>
      <c r="Q131" s="42"/>
      <c r="R131" s="42"/>
      <c r="S131" s="41" t="str">
        <f t="shared" si="50"/>
        <v/>
      </c>
      <c r="T131" s="37" t="str">
        <f t="shared" si="51"/>
        <v/>
      </c>
      <c r="U131" s="39"/>
      <c r="V131" s="39"/>
      <c r="W131" s="38" t="str">
        <f t="shared" si="54"/>
        <v/>
      </c>
      <c r="X131" s="37" t="str">
        <f t="shared" si="55"/>
        <v/>
      </c>
    </row>
    <row r="132" spans="2:32" x14ac:dyDescent="0.35">
      <c r="B132" s="121"/>
      <c r="C132" s="50"/>
      <c r="E132" s="48"/>
      <c r="F132" s="48"/>
      <c r="G132" s="38"/>
      <c r="H132" s="120"/>
      <c r="I132" s="42"/>
      <c r="J132" s="42"/>
      <c r="K132" s="41" t="str">
        <f t="shared" si="44"/>
        <v/>
      </c>
      <c r="L132" s="37" t="str">
        <f t="shared" si="45"/>
        <v/>
      </c>
      <c r="M132" s="119"/>
      <c r="N132" s="119"/>
      <c r="O132" s="118" t="str">
        <f t="shared" si="48"/>
        <v/>
      </c>
      <c r="P132" s="37" t="str">
        <f t="shared" si="49"/>
        <v/>
      </c>
      <c r="Q132" s="42"/>
      <c r="R132" s="42"/>
      <c r="S132" s="41" t="str">
        <f t="shared" si="50"/>
        <v/>
      </c>
      <c r="T132" s="37" t="str">
        <f t="shared" si="51"/>
        <v/>
      </c>
      <c r="U132" s="39"/>
      <c r="V132" s="39"/>
      <c r="W132" s="38" t="str">
        <f t="shared" si="54"/>
        <v/>
      </c>
      <c r="X132" s="37" t="str">
        <f t="shared" si="55"/>
        <v/>
      </c>
    </row>
    <row r="133" spans="2:32" x14ac:dyDescent="0.35">
      <c r="B133" s="121"/>
      <c r="C133" s="50"/>
      <c r="E133" s="48"/>
      <c r="F133" s="48"/>
      <c r="G133" s="38"/>
      <c r="H133" s="120"/>
      <c r="I133" s="42"/>
      <c r="J133" s="42"/>
      <c r="K133" s="41" t="str">
        <f t="shared" si="44"/>
        <v/>
      </c>
      <c r="L133" s="37" t="str">
        <f t="shared" si="45"/>
        <v/>
      </c>
      <c r="M133" s="119"/>
      <c r="N133" s="119"/>
      <c r="O133" s="118" t="str">
        <f t="shared" si="48"/>
        <v/>
      </c>
      <c r="P133" s="37" t="str">
        <f t="shared" si="49"/>
        <v/>
      </c>
      <c r="Q133" s="42"/>
      <c r="R133" s="42"/>
      <c r="S133" s="41" t="str">
        <f t="shared" si="50"/>
        <v/>
      </c>
      <c r="T133" s="37" t="str">
        <f t="shared" si="51"/>
        <v/>
      </c>
      <c r="U133" s="39"/>
      <c r="V133" s="39"/>
      <c r="W133" s="38" t="str">
        <f t="shared" si="54"/>
        <v/>
      </c>
      <c r="X133" s="37" t="str">
        <f t="shared" si="55"/>
        <v/>
      </c>
    </row>
    <row r="134" spans="2:32" x14ac:dyDescent="0.35">
      <c r="B134" s="121"/>
      <c r="C134" s="50"/>
      <c r="E134" s="48"/>
      <c r="F134" s="48"/>
      <c r="G134" s="38"/>
      <c r="H134" s="120"/>
      <c r="I134" s="42"/>
      <c r="J134" s="42"/>
      <c r="K134" s="41" t="str">
        <f t="shared" si="44"/>
        <v/>
      </c>
      <c r="L134" s="37" t="str">
        <f t="shared" si="45"/>
        <v/>
      </c>
      <c r="M134" s="119"/>
      <c r="N134" s="119"/>
      <c r="O134" s="118" t="str">
        <f t="shared" si="48"/>
        <v/>
      </c>
      <c r="P134" s="37" t="str">
        <f t="shared" si="49"/>
        <v/>
      </c>
      <c r="Q134" s="42"/>
      <c r="R134" s="42"/>
      <c r="S134" s="41" t="str">
        <f t="shared" si="50"/>
        <v/>
      </c>
      <c r="T134" s="37" t="str">
        <f t="shared" si="51"/>
        <v/>
      </c>
      <c r="U134" s="39"/>
      <c r="V134" s="39"/>
      <c r="W134" s="38" t="str">
        <f t="shared" si="54"/>
        <v/>
      </c>
      <c r="X134" s="37" t="str">
        <f t="shared" si="55"/>
        <v/>
      </c>
    </row>
    <row r="135" spans="2:32" x14ac:dyDescent="0.35">
      <c r="B135" s="121"/>
      <c r="C135" s="50"/>
      <c r="E135" s="48"/>
      <c r="F135" s="48"/>
      <c r="G135" s="38"/>
      <c r="H135" s="120"/>
      <c r="I135" s="42"/>
      <c r="J135" s="42"/>
      <c r="K135" s="41" t="str">
        <f t="shared" si="44"/>
        <v/>
      </c>
      <c r="L135" s="37" t="str">
        <f t="shared" si="45"/>
        <v/>
      </c>
      <c r="M135" s="119"/>
      <c r="N135" s="119"/>
      <c r="O135" s="118" t="str">
        <f t="shared" si="48"/>
        <v/>
      </c>
      <c r="P135" s="37" t="str">
        <f t="shared" si="49"/>
        <v/>
      </c>
      <c r="Q135" s="42"/>
      <c r="R135" s="42"/>
      <c r="S135" s="41" t="str">
        <f t="shared" si="50"/>
        <v/>
      </c>
      <c r="T135" s="37" t="str">
        <f t="shared" si="51"/>
        <v/>
      </c>
      <c r="U135" s="39"/>
      <c r="V135" s="39"/>
      <c r="W135" s="38" t="str">
        <f t="shared" si="54"/>
        <v/>
      </c>
      <c r="X135" s="37" t="str">
        <f t="shared" si="55"/>
        <v/>
      </c>
    </row>
    <row r="136" spans="2:32" x14ac:dyDescent="0.35">
      <c r="B136" s="121"/>
      <c r="C136" s="50"/>
      <c r="E136" s="48"/>
      <c r="F136" s="48"/>
      <c r="G136" s="38"/>
      <c r="H136" s="120"/>
      <c r="I136" s="42"/>
      <c r="J136" s="42"/>
      <c r="K136" s="41" t="str">
        <f t="shared" si="44"/>
        <v/>
      </c>
      <c r="L136" s="37" t="str">
        <f t="shared" si="45"/>
        <v/>
      </c>
      <c r="M136" s="119"/>
      <c r="N136" s="119"/>
      <c r="O136" s="118" t="str">
        <f t="shared" si="48"/>
        <v/>
      </c>
      <c r="P136" s="37" t="str">
        <f t="shared" si="49"/>
        <v/>
      </c>
      <c r="Q136" s="42"/>
      <c r="R136" s="42"/>
      <c r="S136" s="41" t="str">
        <f t="shared" si="50"/>
        <v/>
      </c>
      <c r="T136" s="37" t="str">
        <f t="shared" si="51"/>
        <v/>
      </c>
      <c r="U136" s="39"/>
      <c r="V136" s="39"/>
      <c r="W136" s="38" t="str">
        <f t="shared" si="54"/>
        <v/>
      </c>
      <c r="X136" s="37" t="str">
        <f t="shared" si="55"/>
        <v/>
      </c>
    </row>
    <row r="137" spans="2:32" x14ac:dyDescent="0.35">
      <c r="B137" s="121"/>
      <c r="C137" s="50"/>
      <c r="E137" s="48"/>
      <c r="F137" s="48"/>
      <c r="G137" s="38"/>
      <c r="H137" s="120"/>
      <c r="I137" s="42"/>
      <c r="J137" s="42"/>
      <c r="K137" s="41" t="str">
        <f t="shared" si="44"/>
        <v/>
      </c>
      <c r="L137" s="37" t="str">
        <f t="shared" si="45"/>
        <v/>
      </c>
      <c r="M137" s="119"/>
      <c r="N137" s="119"/>
      <c r="O137" s="118" t="str">
        <f t="shared" si="48"/>
        <v/>
      </c>
      <c r="P137" s="37" t="str">
        <f t="shared" si="49"/>
        <v/>
      </c>
      <c r="Q137" s="42"/>
      <c r="R137" s="42"/>
      <c r="S137" s="41" t="str">
        <f t="shared" si="50"/>
        <v/>
      </c>
      <c r="T137" s="37" t="str">
        <f t="shared" si="51"/>
        <v/>
      </c>
      <c r="U137" s="39"/>
      <c r="V137" s="39"/>
      <c r="W137" s="38" t="str">
        <f t="shared" si="54"/>
        <v/>
      </c>
      <c r="X137" s="37" t="str">
        <f t="shared" si="55"/>
        <v/>
      </c>
    </row>
    <row r="138" spans="2:32" x14ac:dyDescent="0.35">
      <c r="B138" s="121"/>
      <c r="C138" s="50"/>
      <c r="E138" s="48"/>
      <c r="F138" s="48"/>
      <c r="G138" s="38"/>
      <c r="H138" s="120"/>
      <c r="I138" s="42"/>
      <c r="J138" s="42"/>
      <c r="K138" s="41" t="str">
        <f t="shared" si="44"/>
        <v/>
      </c>
      <c r="L138" s="37" t="str">
        <f t="shared" si="45"/>
        <v/>
      </c>
      <c r="M138" s="119"/>
      <c r="N138" s="119"/>
      <c r="O138" s="118" t="str">
        <f t="shared" si="48"/>
        <v/>
      </c>
      <c r="P138" s="37" t="str">
        <f t="shared" si="49"/>
        <v/>
      </c>
      <c r="Q138" s="42"/>
      <c r="R138" s="42"/>
      <c r="S138" s="41" t="str">
        <f t="shared" si="50"/>
        <v/>
      </c>
      <c r="T138" s="37" t="str">
        <f t="shared" si="51"/>
        <v/>
      </c>
      <c r="U138" s="39"/>
      <c r="V138" s="39"/>
      <c r="W138" s="38" t="str">
        <f t="shared" si="54"/>
        <v/>
      </c>
      <c r="X138" s="37" t="str">
        <f t="shared" si="55"/>
        <v/>
      </c>
    </row>
    <row r="139" spans="2:32" x14ac:dyDescent="0.35">
      <c r="B139" s="121"/>
      <c r="C139" s="50"/>
      <c r="E139" s="48"/>
      <c r="F139" s="48"/>
      <c r="G139" s="38"/>
      <c r="H139" s="120"/>
      <c r="I139" s="42"/>
      <c r="J139" s="42"/>
      <c r="K139" s="41" t="str">
        <f t="shared" si="44"/>
        <v/>
      </c>
      <c r="L139" s="37" t="str">
        <f t="shared" si="45"/>
        <v/>
      </c>
      <c r="M139" s="119"/>
      <c r="N139" s="119"/>
      <c r="O139" s="118" t="str">
        <f t="shared" si="48"/>
        <v/>
      </c>
      <c r="P139" s="37" t="str">
        <f t="shared" si="49"/>
        <v/>
      </c>
      <c r="Q139" s="42"/>
      <c r="R139" s="42"/>
      <c r="S139" s="41" t="str">
        <f t="shared" si="50"/>
        <v/>
      </c>
      <c r="T139" s="37" t="str">
        <f t="shared" si="51"/>
        <v/>
      </c>
      <c r="U139" s="39"/>
      <c r="V139" s="39"/>
      <c r="W139" s="38" t="str">
        <f t="shared" si="54"/>
        <v/>
      </c>
      <c r="X139" s="37" t="str">
        <f t="shared" si="55"/>
        <v/>
      </c>
    </row>
    <row r="140" spans="2:32" x14ac:dyDescent="0.35">
      <c r="B140" s="121"/>
      <c r="C140" s="50"/>
      <c r="E140" s="48"/>
      <c r="F140" s="48"/>
      <c r="G140" s="38"/>
      <c r="H140" s="120"/>
      <c r="I140" s="42"/>
      <c r="J140" s="42"/>
      <c r="K140" s="41" t="str">
        <f t="shared" si="44"/>
        <v/>
      </c>
      <c r="L140" s="37" t="str">
        <f t="shared" si="45"/>
        <v/>
      </c>
      <c r="M140" s="119"/>
      <c r="N140" s="119"/>
      <c r="O140" s="118" t="str">
        <f t="shared" si="48"/>
        <v/>
      </c>
      <c r="P140" s="37" t="str">
        <f t="shared" si="49"/>
        <v/>
      </c>
      <c r="Q140" s="42"/>
      <c r="R140" s="42"/>
      <c r="S140" s="41" t="str">
        <f t="shared" si="50"/>
        <v/>
      </c>
      <c r="T140" s="37" t="str">
        <f t="shared" si="51"/>
        <v/>
      </c>
      <c r="U140" s="39"/>
      <c r="V140" s="39"/>
      <c r="W140" s="38" t="str">
        <f t="shared" si="54"/>
        <v/>
      </c>
      <c r="X140" s="37" t="str">
        <f t="shared" si="55"/>
        <v/>
      </c>
    </row>
    <row r="141" spans="2:32" x14ac:dyDescent="0.35">
      <c r="B141" s="121"/>
      <c r="C141" s="50"/>
      <c r="E141" s="48"/>
      <c r="F141" s="48"/>
      <c r="G141" s="38"/>
      <c r="H141" s="120"/>
      <c r="I141" s="42"/>
      <c r="J141" s="42"/>
      <c r="K141" s="41" t="str">
        <f t="shared" ref="K141:K172" si="58">(IF(J141="","",J141-I141))</f>
        <v/>
      </c>
      <c r="L141" s="37" t="str">
        <f t="shared" ref="L141:L172" si="59">IF(K141="","",K141/I141)</f>
        <v/>
      </c>
      <c r="M141" s="119"/>
      <c r="N141" s="119"/>
      <c r="O141" s="118" t="str">
        <f t="shared" ref="O141:O172" si="60">(IF(N141="","",N141-M141))</f>
        <v/>
      </c>
      <c r="P141" s="37" t="str">
        <f t="shared" ref="P141:P172" si="61">IF(O141="","",O141/M141)</f>
        <v/>
      </c>
      <c r="Q141" s="42"/>
      <c r="R141" s="42"/>
      <c r="S141" s="41" t="str">
        <f t="shared" ref="S141:S172" si="62">(IF(R141="","",R141-Q141))</f>
        <v/>
      </c>
      <c r="T141" s="37" t="str">
        <f t="shared" ref="T141:T172" si="63">IF(S141="","",S141/Q141)</f>
        <v/>
      </c>
      <c r="U141" s="39"/>
      <c r="V141" s="39"/>
      <c r="W141" s="38" t="str">
        <f t="shared" ref="W141:W172" si="64">(IF(V141="","",V141-U141))</f>
        <v/>
      </c>
      <c r="X141" s="37" t="str">
        <f t="shared" ref="X141:X172" si="65">IF(W141="","",W141/U141)</f>
        <v/>
      </c>
    </row>
    <row r="142" spans="2:32" x14ac:dyDescent="0.35">
      <c r="B142" s="121"/>
      <c r="C142" s="50"/>
      <c r="E142" s="48"/>
      <c r="F142" s="48"/>
      <c r="G142" s="38"/>
      <c r="H142" s="120"/>
      <c r="I142" s="42"/>
      <c r="J142" s="42"/>
      <c r="K142" s="41" t="str">
        <f t="shared" si="58"/>
        <v/>
      </c>
      <c r="L142" s="37" t="str">
        <f t="shared" si="59"/>
        <v/>
      </c>
      <c r="M142" s="119"/>
      <c r="N142" s="119"/>
      <c r="O142" s="118" t="str">
        <f t="shared" si="60"/>
        <v/>
      </c>
      <c r="P142" s="37" t="str">
        <f t="shared" si="61"/>
        <v/>
      </c>
      <c r="Q142" s="42"/>
      <c r="R142" s="42"/>
      <c r="S142" s="41" t="str">
        <f t="shared" si="62"/>
        <v/>
      </c>
      <c r="T142" s="37" t="str">
        <f t="shared" si="63"/>
        <v/>
      </c>
      <c r="U142" s="39"/>
      <c r="V142" s="39"/>
      <c r="W142" s="38" t="str">
        <f t="shared" si="64"/>
        <v/>
      </c>
      <c r="X142" s="37" t="str">
        <f t="shared" si="65"/>
        <v/>
      </c>
    </row>
    <row r="143" spans="2:32" x14ac:dyDescent="0.35">
      <c r="B143" s="121"/>
      <c r="C143" s="50"/>
      <c r="E143" s="48"/>
      <c r="F143" s="48"/>
      <c r="G143" s="38"/>
      <c r="H143" s="120"/>
      <c r="I143" s="42"/>
      <c r="J143" s="42"/>
      <c r="K143" s="41" t="str">
        <f t="shared" si="58"/>
        <v/>
      </c>
      <c r="L143" s="37" t="str">
        <f t="shared" si="59"/>
        <v/>
      </c>
      <c r="M143" s="119"/>
      <c r="N143" s="119"/>
      <c r="O143" s="118" t="str">
        <f t="shared" si="60"/>
        <v/>
      </c>
      <c r="P143" s="37" t="str">
        <f t="shared" si="61"/>
        <v/>
      </c>
      <c r="Q143" s="42"/>
      <c r="R143" s="42"/>
      <c r="S143" s="41" t="str">
        <f t="shared" si="62"/>
        <v/>
      </c>
      <c r="T143" s="37" t="str">
        <f t="shared" si="63"/>
        <v/>
      </c>
      <c r="U143" s="39"/>
      <c r="V143" s="39"/>
      <c r="W143" s="38" t="str">
        <f t="shared" si="64"/>
        <v/>
      </c>
      <c r="X143" s="37" t="str">
        <f t="shared" si="65"/>
        <v/>
      </c>
    </row>
    <row r="144" spans="2:32" x14ac:dyDescent="0.35">
      <c r="B144" s="121"/>
      <c r="C144" s="50"/>
      <c r="E144" s="48"/>
      <c r="F144" s="48"/>
      <c r="G144" s="38"/>
      <c r="H144" s="120"/>
      <c r="I144" s="42"/>
      <c r="J144" s="42"/>
      <c r="K144" s="41" t="str">
        <f t="shared" si="58"/>
        <v/>
      </c>
      <c r="L144" s="37" t="str">
        <f t="shared" si="59"/>
        <v/>
      </c>
      <c r="M144" s="119"/>
      <c r="N144" s="119"/>
      <c r="O144" s="118" t="str">
        <f t="shared" si="60"/>
        <v/>
      </c>
      <c r="P144" s="37" t="str">
        <f t="shared" si="61"/>
        <v/>
      </c>
      <c r="Q144" s="42"/>
      <c r="R144" s="42"/>
      <c r="S144" s="41" t="str">
        <f t="shared" si="62"/>
        <v/>
      </c>
      <c r="T144" s="37" t="str">
        <f t="shared" si="63"/>
        <v/>
      </c>
      <c r="U144" s="39"/>
      <c r="V144" s="39"/>
      <c r="W144" s="38" t="str">
        <f t="shared" si="64"/>
        <v/>
      </c>
      <c r="X144" s="37" t="str">
        <f t="shared" si="65"/>
        <v/>
      </c>
    </row>
    <row r="145" spans="2:32" x14ac:dyDescent="0.35">
      <c r="B145" s="121"/>
      <c r="C145" s="50"/>
      <c r="E145" s="48"/>
      <c r="F145" s="48"/>
      <c r="G145" s="38"/>
      <c r="H145" s="120"/>
      <c r="I145" s="42"/>
      <c r="J145" s="42"/>
      <c r="K145" s="41" t="str">
        <f t="shared" si="58"/>
        <v/>
      </c>
      <c r="L145" s="37" t="str">
        <f t="shared" si="59"/>
        <v/>
      </c>
      <c r="M145" s="119"/>
      <c r="N145" s="119"/>
      <c r="O145" s="118" t="str">
        <f t="shared" si="60"/>
        <v/>
      </c>
      <c r="P145" s="37" t="str">
        <f t="shared" si="61"/>
        <v/>
      </c>
      <c r="Q145" s="42"/>
      <c r="R145" s="42"/>
      <c r="S145" s="41" t="str">
        <f t="shared" si="62"/>
        <v/>
      </c>
      <c r="T145" s="37" t="str">
        <f t="shared" si="63"/>
        <v/>
      </c>
      <c r="U145" s="39"/>
      <c r="V145" s="39"/>
      <c r="W145" s="38" t="str">
        <f t="shared" si="64"/>
        <v/>
      </c>
      <c r="X145" s="37" t="str">
        <f t="shared" si="65"/>
        <v/>
      </c>
    </row>
    <row r="146" spans="2:32" x14ac:dyDescent="0.35">
      <c r="B146" s="121"/>
      <c r="C146" s="50"/>
      <c r="E146" s="48"/>
      <c r="F146" s="48"/>
      <c r="G146" s="38"/>
      <c r="H146" s="120"/>
      <c r="I146" s="42"/>
      <c r="J146" s="42"/>
      <c r="K146" s="41" t="str">
        <f t="shared" si="58"/>
        <v/>
      </c>
      <c r="L146" s="37" t="str">
        <f t="shared" si="59"/>
        <v/>
      </c>
      <c r="M146" s="119"/>
      <c r="N146" s="119"/>
      <c r="O146" s="118" t="str">
        <f t="shared" si="60"/>
        <v/>
      </c>
      <c r="P146" s="37" t="str">
        <f t="shared" si="61"/>
        <v/>
      </c>
      <c r="Q146" s="42"/>
      <c r="R146" s="42"/>
      <c r="S146" s="41" t="str">
        <f t="shared" si="62"/>
        <v/>
      </c>
      <c r="T146" s="37" t="str">
        <f t="shared" si="63"/>
        <v/>
      </c>
      <c r="U146" s="39"/>
      <c r="V146" s="39"/>
      <c r="W146" s="38" t="str">
        <f t="shared" si="64"/>
        <v/>
      </c>
      <c r="X146" s="37" t="str">
        <f t="shared" si="65"/>
        <v/>
      </c>
    </row>
    <row r="147" spans="2:32" x14ac:dyDescent="0.35">
      <c r="B147" s="121"/>
      <c r="C147" s="50"/>
      <c r="E147" s="48"/>
      <c r="F147" s="48"/>
      <c r="G147" s="38"/>
      <c r="H147" s="120"/>
      <c r="I147" s="42"/>
      <c r="J147" s="42"/>
      <c r="K147" s="41" t="str">
        <f t="shared" si="58"/>
        <v/>
      </c>
      <c r="L147" s="37" t="str">
        <f t="shared" si="59"/>
        <v/>
      </c>
      <c r="M147" s="119"/>
      <c r="N147" s="119"/>
      <c r="O147" s="118" t="str">
        <f t="shared" si="60"/>
        <v/>
      </c>
      <c r="P147" s="37" t="str">
        <f t="shared" si="61"/>
        <v/>
      </c>
      <c r="Q147" s="42"/>
      <c r="R147" s="42"/>
      <c r="S147" s="41" t="str">
        <f t="shared" si="62"/>
        <v/>
      </c>
      <c r="T147" s="37" t="str">
        <f t="shared" si="63"/>
        <v/>
      </c>
      <c r="U147" s="39"/>
      <c r="V147" s="39"/>
      <c r="W147" s="38" t="str">
        <f t="shared" si="64"/>
        <v/>
      </c>
      <c r="X147" s="37" t="str">
        <f t="shared" si="65"/>
        <v/>
      </c>
    </row>
    <row r="148" spans="2:32" x14ac:dyDescent="0.35">
      <c r="B148" s="121"/>
      <c r="C148" s="50"/>
      <c r="E148" s="48"/>
      <c r="F148" s="48"/>
      <c r="G148" s="38"/>
      <c r="H148" s="120"/>
      <c r="I148" s="42"/>
      <c r="J148" s="42"/>
      <c r="K148" s="41" t="str">
        <f t="shared" si="58"/>
        <v/>
      </c>
      <c r="L148" s="37" t="str">
        <f t="shared" si="59"/>
        <v/>
      </c>
      <c r="M148" s="119"/>
      <c r="N148" s="119"/>
      <c r="O148" s="118" t="str">
        <f t="shared" si="60"/>
        <v/>
      </c>
      <c r="P148" s="37" t="str">
        <f t="shared" si="61"/>
        <v/>
      </c>
      <c r="Q148" s="42"/>
      <c r="R148" s="42"/>
      <c r="S148" s="41" t="str">
        <f t="shared" si="62"/>
        <v/>
      </c>
      <c r="T148" s="37" t="str">
        <f t="shared" si="63"/>
        <v/>
      </c>
      <c r="U148" s="39"/>
      <c r="V148" s="39"/>
      <c r="W148" s="38" t="str">
        <f t="shared" si="64"/>
        <v/>
      </c>
      <c r="X148" s="37" t="str">
        <f t="shared" si="65"/>
        <v/>
      </c>
    </row>
    <row r="149" spans="2:32" x14ac:dyDescent="0.35">
      <c r="B149" s="121"/>
      <c r="C149" s="50"/>
      <c r="E149" s="48"/>
      <c r="F149" s="48"/>
      <c r="G149" s="38"/>
      <c r="H149" s="120"/>
      <c r="I149" s="42"/>
      <c r="J149" s="42"/>
      <c r="K149" s="41"/>
      <c r="L149" s="37"/>
      <c r="M149" s="119"/>
      <c r="N149" s="119"/>
      <c r="O149" s="118"/>
      <c r="P149" s="37"/>
      <c r="Q149" s="42"/>
      <c r="R149" s="42"/>
      <c r="S149" s="41"/>
      <c r="T149" s="37"/>
      <c r="U149" s="39"/>
      <c r="V149" s="39"/>
      <c r="W149" s="38"/>
      <c r="X149" s="37"/>
    </row>
    <row r="150" spans="2:32" x14ac:dyDescent="0.35">
      <c r="B150" s="121"/>
      <c r="C150" s="50"/>
      <c r="E150" s="48"/>
      <c r="F150" s="48"/>
      <c r="G150" s="38"/>
      <c r="H150" s="120"/>
      <c r="I150" s="42"/>
      <c r="J150" s="42"/>
      <c r="K150" s="41"/>
      <c r="L150" s="37"/>
      <c r="M150" s="119"/>
      <c r="N150" s="119"/>
      <c r="O150" s="118"/>
      <c r="P150" s="37"/>
      <c r="Q150" s="42"/>
      <c r="R150" s="42"/>
      <c r="S150" s="41"/>
      <c r="T150" s="37"/>
      <c r="U150" s="39"/>
      <c r="V150" s="39"/>
      <c r="W150" s="38"/>
      <c r="X150" s="37"/>
      <c r="Y150" s="205"/>
      <c r="Z150" s="206"/>
      <c r="AA150" s="206"/>
      <c r="AB150" s="206"/>
      <c r="AC150" s="206"/>
      <c r="AD150" s="206"/>
      <c r="AE150" s="206"/>
      <c r="AF150" s="207"/>
    </row>
    <row r="151" spans="2:32" x14ac:dyDescent="0.35">
      <c r="B151" s="121"/>
      <c r="C151" s="50"/>
      <c r="E151" s="48"/>
      <c r="F151" s="48"/>
      <c r="G151" s="38"/>
      <c r="H151" s="120"/>
      <c r="I151" s="42"/>
      <c r="J151" s="42"/>
      <c r="K151" s="41"/>
      <c r="L151" s="37"/>
      <c r="M151" s="119"/>
      <c r="N151" s="119"/>
      <c r="O151" s="118"/>
      <c r="P151" s="37"/>
      <c r="Q151" s="42"/>
      <c r="R151" s="42"/>
      <c r="S151" s="41"/>
      <c r="T151" s="37"/>
      <c r="U151" s="39"/>
      <c r="V151" s="39"/>
      <c r="W151" s="38"/>
      <c r="X151" s="37"/>
    </row>
    <row r="152" spans="2:32" x14ac:dyDescent="0.35">
      <c r="B152" s="121"/>
      <c r="C152" s="50"/>
      <c r="E152" s="48"/>
      <c r="F152" s="48"/>
      <c r="G152" s="38"/>
      <c r="H152" s="120"/>
      <c r="I152" s="42"/>
      <c r="J152" s="42"/>
      <c r="K152" s="41"/>
      <c r="L152" s="37"/>
      <c r="M152" s="119"/>
      <c r="N152" s="119"/>
      <c r="O152" s="118"/>
      <c r="P152" s="37"/>
      <c r="Q152" s="42"/>
      <c r="R152" s="42"/>
      <c r="S152" s="41"/>
      <c r="T152" s="37"/>
      <c r="U152" s="39"/>
      <c r="V152" s="39"/>
      <c r="W152" s="38"/>
      <c r="X152" s="37"/>
    </row>
    <row r="153" spans="2:32" x14ac:dyDescent="0.35">
      <c r="B153" s="121"/>
      <c r="C153" s="50"/>
      <c r="E153" s="48"/>
      <c r="F153" s="48"/>
      <c r="G153" s="38"/>
      <c r="H153" s="120"/>
      <c r="I153" s="42"/>
      <c r="J153" s="42"/>
      <c r="K153" s="41"/>
      <c r="L153" s="37"/>
      <c r="M153" s="119"/>
      <c r="N153" s="119"/>
      <c r="O153" s="118"/>
      <c r="P153" s="37"/>
      <c r="Q153" s="42"/>
      <c r="R153" s="42"/>
      <c r="S153" s="41"/>
      <c r="T153" s="37"/>
      <c r="U153" s="39"/>
      <c r="V153" s="39"/>
      <c r="W153" s="38"/>
      <c r="X153" s="37"/>
    </row>
    <row r="154" spans="2:32" x14ac:dyDescent="0.35">
      <c r="B154" s="121"/>
      <c r="C154" s="50"/>
      <c r="E154" s="48"/>
      <c r="F154" s="48"/>
      <c r="G154" s="38"/>
      <c r="H154" s="120"/>
      <c r="I154" s="42"/>
      <c r="J154" s="42"/>
      <c r="K154" s="41"/>
      <c r="L154" s="37"/>
      <c r="M154" s="119"/>
      <c r="N154" s="119"/>
      <c r="O154" s="118"/>
      <c r="P154" s="37"/>
      <c r="Q154" s="42"/>
      <c r="R154" s="42"/>
      <c r="S154" s="41"/>
      <c r="T154" s="37"/>
      <c r="U154" s="39"/>
      <c r="V154" s="39"/>
      <c r="W154" s="38"/>
      <c r="X154" s="37"/>
    </row>
    <row r="155" spans="2:32" x14ac:dyDescent="0.35">
      <c r="B155" s="121"/>
      <c r="C155" s="50"/>
      <c r="E155" s="48"/>
      <c r="F155" s="48"/>
      <c r="G155" s="38"/>
      <c r="H155" s="120"/>
      <c r="I155" s="42"/>
      <c r="J155" s="42"/>
      <c r="K155" s="41"/>
      <c r="L155" s="37"/>
      <c r="M155" s="119"/>
      <c r="N155" s="119"/>
      <c r="O155" s="118"/>
      <c r="P155" s="37"/>
      <c r="Q155" s="42"/>
      <c r="R155" s="42"/>
      <c r="S155" s="41"/>
      <c r="T155" s="37"/>
      <c r="U155" s="39"/>
      <c r="V155" s="39"/>
      <c r="W155" s="38"/>
      <c r="X155" s="37"/>
    </row>
    <row r="156" spans="2:32" x14ac:dyDescent="0.35">
      <c r="B156" s="121"/>
      <c r="C156" s="50"/>
      <c r="E156" s="48"/>
      <c r="F156" s="48"/>
      <c r="G156" s="38"/>
      <c r="H156" s="120"/>
      <c r="I156" s="42"/>
      <c r="J156" s="42"/>
      <c r="K156" s="41"/>
      <c r="L156" s="37"/>
      <c r="M156" s="119"/>
      <c r="N156" s="119"/>
      <c r="O156" s="118"/>
      <c r="P156" s="37"/>
      <c r="Q156" s="42"/>
      <c r="R156" s="42"/>
      <c r="S156" s="41"/>
      <c r="T156" s="37"/>
      <c r="U156" s="39"/>
      <c r="V156" s="39"/>
      <c r="W156" s="38"/>
      <c r="X156" s="37"/>
      <c r="Y156" s="205"/>
      <c r="Z156" s="206"/>
      <c r="AA156" s="206"/>
      <c r="AB156" s="206"/>
      <c r="AC156" s="206"/>
      <c r="AD156" s="206"/>
      <c r="AE156" s="206"/>
      <c r="AF156" s="207"/>
    </row>
    <row r="157" spans="2:32" x14ac:dyDescent="0.35">
      <c r="B157" s="121"/>
      <c r="C157" s="50"/>
      <c r="E157" s="48"/>
      <c r="F157" s="48"/>
      <c r="G157" s="38"/>
      <c r="H157" s="120"/>
      <c r="I157" s="42"/>
      <c r="J157" s="42"/>
      <c r="K157" s="41"/>
      <c r="L157" s="37"/>
      <c r="M157" s="119"/>
      <c r="N157" s="119"/>
      <c r="O157" s="118"/>
      <c r="P157" s="37"/>
      <c r="Q157" s="42"/>
      <c r="R157" s="42"/>
      <c r="S157" s="41"/>
      <c r="T157" s="37"/>
      <c r="U157" s="39"/>
      <c r="V157" s="39"/>
      <c r="W157" s="38"/>
      <c r="X157" s="37"/>
      <c r="Y157" s="205"/>
      <c r="Z157" s="206"/>
      <c r="AA157" s="206"/>
      <c r="AB157" s="206"/>
      <c r="AC157" s="206"/>
      <c r="AD157" s="206"/>
      <c r="AE157" s="206"/>
      <c r="AF157" s="207"/>
    </row>
    <row r="158" spans="2:32" x14ac:dyDescent="0.35">
      <c r="B158" s="121"/>
      <c r="C158" s="50"/>
      <c r="E158" s="48"/>
      <c r="F158" s="48"/>
      <c r="G158" s="38"/>
      <c r="H158" s="120"/>
      <c r="I158" s="42"/>
      <c r="J158" s="42"/>
      <c r="K158" s="41"/>
      <c r="L158" s="37"/>
      <c r="M158" s="119"/>
      <c r="N158" s="119"/>
      <c r="O158" s="118"/>
      <c r="P158" s="37"/>
      <c r="Q158" s="42"/>
      <c r="R158" s="42"/>
      <c r="S158" s="41"/>
      <c r="T158" s="37"/>
      <c r="U158" s="39"/>
      <c r="V158" s="39"/>
      <c r="W158" s="38"/>
      <c r="X158" s="37"/>
    </row>
    <row r="159" spans="2:32" x14ac:dyDescent="0.35">
      <c r="B159" s="121"/>
      <c r="C159" s="50"/>
      <c r="E159" s="48"/>
      <c r="F159" s="48"/>
      <c r="G159" s="38"/>
      <c r="H159" s="120"/>
      <c r="I159" s="42"/>
      <c r="J159" s="42"/>
      <c r="K159" s="41"/>
      <c r="L159" s="37"/>
      <c r="M159" s="119"/>
      <c r="N159" s="119"/>
      <c r="O159" s="118"/>
      <c r="P159" s="37"/>
      <c r="Q159" s="42"/>
      <c r="R159" s="42"/>
      <c r="S159" s="41"/>
      <c r="T159" s="37"/>
      <c r="U159" s="39"/>
      <c r="V159" s="39"/>
      <c r="W159" s="38"/>
      <c r="X159" s="37"/>
    </row>
    <row r="160" spans="2:32" x14ac:dyDescent="0.35">
      <c r="B160" s="121"/>
      <c r="C160" s="50"/>
      <c r="E160" s="48"/>
      <c r="F160" s="48"/>
      <c r="G160" s="38"/>
      <c r="H160" s="120"/>
      <c r="I160" s="42"/>
      <c r="J160" s="42"/>
      <c r="K160" s="41"/>
      <c r="L160" s="37"/>
      <c r="M160" s="119"/>
      <c r="N160" s="119"/>
      <c r="O160" s="118"/>
      <c r="P160" s="37"/>
      <c r="Q160" s="42"/>
      <c r="R160" s="42"/>
      <c r="S160" s="41"/>
      <c r="T160" s="37"/>
      <c r="U160" s="39"/>
      <c r="V160" s="39"/>
      <c r="W160" s="38"/>
      <c r="X160" s="37"/>
    </row>
    <row r="161" spans="2:32" x14ac:dyDescent="0.35">
      <c r="B161" s="121"/>
      <c r="C161" s="50"/>
      <c r="E161" s="48"/>
      <c r="F161" s="48"/>
      <c r="G161" s="38"/>
      <c r="H161" s="120"/>
      <c r="I161" s="42"/>
      <c r="J161" s="42"/>
      <c r="K161" s="41"/>
      <c r="L161" s="37"/>
      <c r="M161" s="119"/>
      <c r="N161" s="119"/>
      <c r="O161" s="118"/>
      <c r="P161" s="37"/>
      <c r="Q161" s="42"/>
      <c r="R161" s="42"/>
      <c r="S161" s="41"/>
      <c r="T161" s="37"/>
      <c r="U161" s="39"/>
      <c r="V161" s="39"/>
      <c r="W161" s="38"/>
      <c r="X161" s="37"/>
    </row>
    <row r="162" spans="2:32" x14ac:dyDescent="0.35">
      <c r="B162" s="121"/>
      <c r="C162" s="50"/>
      <c r="E162" s="48"/>
      <c r="F162" s="48"/>
      <c r="G162" s="38"/>
      <c r="H162" s="120"/>
      <c r="I162" s="42"/>
      <c r="J162" s="42"/>
      <c r="K162" s="41"/>
      <c r="L162" s="37"/>
      <c r="M162" s="119"/>
      <c r="N162" s="119"/>
      <c r="O162" s="118"/>
      <c r="P162" s="37"/>
      <c r="Q162" s="42"/>
      <c r="R162" s="42"/>
      <c r="S162" s="41"/>
      <c r="T162" s="37"/>
      <c r="U162" s="39"/>
      <c r="V162" s="39"/>
      <c r="W162" s="38"/>
      <c r="X162" s="37"/>
      <c r="Y162" s="205"/>
      <c r="Z162" s="206"/>
      <c r="AA162" s="206"/>
      <c r="AB162" s="206"/>
      <c r="AC162" s="206"/>
      <c r="AD162" s="206"/>
      <c r="AE162" s="206"/>
      <c r="AF162" s="207"/>
    </row>
    <row r="163" spans="2:32" x14ac:dyDescent="0.35">
      <c r="B163" s="121"/>
      <c r="C163" s="50"/>
      <c r="E163" s="48"/>
      <c r="F163" s="48"/>
      <c r="G163" s="38"/>
      <c r="H163" s="120"/>
      <c r="I163" s="42"/>
      <c r="J163" s="42"/>
      <c r="K163" s="41"/>
      <c r="L163" s="37"/>
      <c r="M163" s="119"/>
      <c r="N163" s="119"/>
      <c r="O163" s="118"/>
      <c r="P163" s="37"/>
      <c r="Q163" s="42"/>
      <c r="R163" s="42"/>
      <c r="S163" s="41"/>
      <c r="T163" s="37"/>
      <c r="U163" s="39"/>
      <c r="V163" s="39"/>
      <c r="W163" s="38"/>
      <c r="X163" s="37"/>
      <c r="Y163" s="205"/>
      <c r="Z163" s="206"/>
      <c r="AA163" s="206"/>
      <c r="AB163" s="206"/>
      <c r="AC163" s="206"/>
      <c r="AD163" s="206"/>
      <c r="AE163" s="206"/>
      <c r="AF163" s="207"/>
    </row>
    <row r="164" spans="2:32" x14ac:dyDescent="0.35">
      <c r="B164" s="121"/>
      <c r="C164" s="50"/>
      <c r="E164" s="48"/>
      <c r="F164" s="48"/>
      <c r="G164" s="38"/>
      <c r="H164" s="120"/>
      <c r="I164" s="42"/>
      <c r="J164" s="42"/>
      <c r="K164" s="41"/>
      <c r="L164" s="37"/>
      <c r="M164" s="119"/>
      <c r="N164" s="119"/>
      <c r="O164" s="118"/>
      <c r="P164" s="37"/>
      <c r="Q164" s="42"/>
      <c r="R164" s="42"/>
      <c r="S164" s="41"/>
      <c r="T164" s="37"/>
      <c r="U164" s="39"/>
      <c r="V164" s="39"/>
      <c r="W164" s="38"/>
      <c r="X164" s="37"/>
    </row>
    <row r="165" spans="2:32" x14ac:dyDescent="0.35">
      <c r="B165" s="121"/>
      <c r="C165" s="50"/>
      <c r="E165" s="48"/>
      <c r="F165" s="48"/>
      <c r="G165" s="38"/>
      <c r="H165" s="120"/>
      <c r="I165" s="42"/>
      <c r="J165" s="42"/>
      <c r="K165" s="41"/>
      <c r="L165" s="37"/>
      <c r="M165" s="119"/>
      <c r="N165" s="119"/>
      <c r="O165" s="118"/>
      <c r="P165" s="37"/>
      <c r="Q165" s="42"/>
      <c r="R165" s="42"/>
      <c r="S165" s="41"/>
      <c r="T165" s="37"/>
      <c r="U165" s="39"/>
      <c r="V165" s="39"/>
      <c r="W165" s="38"/>
      <c r="X165" s="37"/>
    </row>
    <row r="166" spans="2:32" x14ac:dyDescent="0.35">
      <c r="B166" s="121"/>
      <c r="C166" s="50"/>
      <c r="E166" s="48"/>
      <c r="F166" s="48"/>
      <c r="G166" s="38"/>
      <c r="H166" s="120"/>
      <c r="I166" s="42"/>
      <c r="J166" s="42"/>
      <c r="K166" s="41"/>
      <c r="L166" s="37"/>
      <c r="M166" s="119"/>
      <c r="N166" s="119"/>
      <c r="O166" s="118"/>
      <c r="P166" s="37"/>
      <c r="Q166" s="42"/>
      <c r="R166" s="42"/>
      <c r="S166" s="41"/>
      <c r="T166" s="37"/>
      <c r="U166" s="39"/>
      <c r="V166" s="39"/>
      <c r="W166" s="38"/>
      <c r="X166" s="37"/>
    </row>
    <row r="167" spans="2:32" x14ac:dyDescent="0.35">
      <c r="B167" s="121"/>
      <c r="C167" s="50"/>
      <c r="E167" s="48"/>
      <c r="F167" s="48"/>
      <c r="G167" s="38"/>
      <c r="H167" s="120"/>
      <c r="I167" s="42"/>
      <c r="J167" s="42"/>
      <c r="K167" s="41"/>
      <c r="L167" s="37"/>
      <c r="M167" s="119"/>
      <c r="N167" s="119"/>
      <c r="O167" s="118"/>
      <c r="P167" s="37"/>
      <c r="Q167" s="42"/>
      <c r="R167" s="42"/>
      <c r="S167" s="41"/>
      <c r="T167" s="37"/>
      <c r="U167" s="39"/>
      <c r="V167" s="39"/>
      <c r="W167" s="38"/>
      <c r="X167" s="37"/>
    </row>
    <row r="168" spans="2:32" x14ac:dyDescent="0.35">
      <c r="B168" s="121"/>
      <c r="C168" s="50"/>
      <c r="E168" s="48"/>
      <c r="F168" s="48"/>
      <c r="G168" s="38"/>
      <c r="H168" s="120"/>
      <c r="I168" s="42"/>
      <c r="J168" s="42"/>
      <c r="K168" s="41"/>
      <c r="L168" s="37"/>
      <c r="M168" s="119"/>
      <c r="N168" s="119"/>
      <c r="O168" s="118"/>
      <c r="P168" s="37"/>
      <c r="Q168" s="42"/>
      <c r="R168" s="42"/>
      <c r="S168" s="41"/>
      <c r="T168" s="37"/>
      <c r="U168" s="39"/>
      <c r="V168" s="39"/>
      <c r="W168" s="38"/>
      <c r="X168" s="37"/>
    </row>
    <row r="169" spans="2:32" x14ac:dyDescent="0.35">
      <c r="B169" s="121"/>
      <c r="C169" s="50"/>
      <c r="E169" s="48"/>
      <c r="F169" s="48"/>
      <c r="G169" s="38"/>
      <c r="H169" s="120"/>
      <c r="I169" s="42"/>
      <c r="J169" s="42"/>
      <c r="K169" s="41"/>
      <c r="L169" s="37"/>
      <c r="M169" s="119"/>
      <c r="N169" s="119"/>
      <c r="O169" s="118"/>
      <c r="P169" s="37"/>
      <c r="Q169" s="42"/>
      <c r="R169" s="42"/>
      <c r="S169" s="41"/>
      <c r="T169" s="37"/>
      <c r="U169" s="39"/>
      <c r="V169" s="39"/>
      <c r="W169" s="38"/>
      <c r="X169" s="37"/>
    </row>
    <row r="170" spans="2:32" x14ac:dyDescent="0.35">
      <c r="B170" s="121"/>
      <c r="C170" s="50"/>
      <c r="E170" s="48"/>
      <c r="F170" s="48"/>
      <c r="G170" s="38"/>
      <c r="H170" s="120"/>
      <c r="I170" s="42"/>
      <c r="J170" s="42"/>
      <c r="K170" s="41"/>
      <c r="L170" s="37"/>
      <c r="M170" s="119"/>
      <c r="N170" s="119"/>
      <c r="O170" s="118"/>
      <c r="P170" s="37"/>
      <c r="Q170" s="42"/>
      <c r="R170" s="42"/>
      <c r="S170" s="41"/>
      <c r="T170" s="37"/>
      <c r="U170" s="39"/>
      <c r="V170" s="39"/>
      <c r="W170" s="38"/>
      <c r="X170" s="37"/>
    </row>
    <row r="171" spans="2:32" x14ac:dyDescent="0.35">
      <c r="B171" s="121"/>
      <c r="C171" s="50"/>
      <c r="E171" s="48"/>
      <c r="F171" s="48"/>
      <c r="G171" s="38"/>
      <c r="H171" s="120"/>
      <c r="I171" s="42"/>
      <c r="J171" s="42"/>
      <c r="K171" s="41"/>
      <c r="L171" s="37"/>
      <c r="M171" s="119"/>
      <c r="N171" s="119"/>
      <c r="O171" s="118"/>
      <c r="P171" s="37"/>
      <c r="Q171" s="42"/>
      <c r="R171" s="42"/>
      <c r="S171" s="41"/>
      <c r="T171" s="37"/>
      <c r="U171" s="39"/>
      <c r="V171" s="39"/>
      <c r="W171" s="38"/>
      <c r="X171" s="37"/>
    </row>
    <row r="172" spans="2:32" x14ac:dyDescent="0.35">
      <c r="B172" s="121"/>
      <c r="C172" s="50"/>
      <c r="E172" s="48"/>
      <c r="F172" s="48"/>
      <c r="G172" s="38"/>
      <c r="H172" s="120"/>
      <c r="I172" s="42"/>
      <c r="J172" s="42"/>
      <c r="K172" s="41"/>
      <c r="L172" s="37"/>
      <c r="M172" s="119"/>
      <c r="N172" s="119"/>
      <c r="O172" s="118"/>
      <c r="P172" s="37"/>
      <c r="Q172" s="42"/>
      <c r="R172" s="42"/>
      <c r="S172" s="41"/>
      <c r="T172" s="37"/>
      <c r="U172" s="39"/>
      <c r="V172" s="39"/>
      <c r="W172" s="38"/>
      <c r="X172" s="37"/>
    </row>
    <row r="173" spans="2:32" x14ac:dyDescent="0.35">
      <c r="B173" s="121"/>
      <c r="C173" s="50"/>
      <c r="E173" s="48"/>
      <c r="F173" s="48"/>
      <c r="G173" s="38"/>
      <c r="H173" s="120"/>
      <c r="I173" s="42"/>
      <c r="J173" s="42"/>
      <c r="K173" s="41"/>
      <c r="L173" s="37"/>
      <c r="M173" s="119"/>
      <c r="N173" s="119"/>
      <c r="O173" s="118"/>
      <c r="P173" s="37"/>
      <c r="Q173" s="42"/>
      <c r="R173" s="42"/>
      <c r="S173" s="41"/>
      <c r="T173" s="37"/>
      <c r="U173" s="39"/>
      <c r="V173" s="39"/>
      <c r="W173" s="38"/>
      <c r="X173" s="37"/>
    </row>
    <row r="174" spans="2:32" x14ac:dyDescent="0.35">
      <c r="B174" s="121"/>
      <c r="C174" s="50"/>
      <c r="E174" s="48"/>
      <c r="F174" s="48"/>
      <c r="G174" s="38"/>
      <c r="H174" s="120"/>
      <c r="I174" s="42"/>
      <c r="J174" s="42"/>
      <c r="K174" s="41"/>
      <c r="L174" s="37"/>
      <c r="M174" s="119"/>
      <c r="N174" s="119"/>
      <c r="O174" s="118"/>
      <c r="P174" s="37"/>
      <c r="Q174" s="42"/>
      <c r="R174" s="42"/>
      <c r="S174" s="41"/>
      <c r="T174" s="37"/>
      <c r="U174" s="39"/>
      <c r="V174" s="39"/>
      <c r="W174" s="38"/>
      <c r="X174" s="37"/>
    </row>
    <row r="175" spans="2:32" x14ac:dyDescent="0.35">
      <c r="B175" s="121"/>
      <c r="C175" s="50"/>
      <c r="E175" s="48"/>
      <c r="F175" s="48"/>
      <c r="G175" s="38"/>
      <c r="H175" s="120"/>
      <c r="I175" s="42"/>
      <c r="J175" s="42"/>
      <c r="K175" s="41"/>
      <c r="L175" s="37"/>
      <c r="M175" s="119"/>
      <c r="N175" s="119"/>
      <c r="O175" s="118"/>
      <c r="P175" s="37"/>
      <c r="Q175" s="42"/>
      <c r="R175" s="42"/>
      <c r="S175" s="41"/>
      <c r="T175" s="37"/>
      <c r="U175" s="39"/>
      <c r="V175" s="39"/>
      <c r="W175" s="38"/>
      <c r="X175" s="37"/>
    </row>
    <row r="176" spans="2:32" x14ac:dyDescent="0.35">
      <c r="B176" s="121"/>
      <c r="C176" s="50"/>
      <c r="E176" s="48"/>
      <c r="F176" s="48"/>
      <c r="G176" s="38"/>
      <c r="H176" s="120"/>
      <c r="I176" s="42"/>
      <c r="J176" s="42"/>
      <c r="K176" s="41"/>
      <c r="L176" s="37"/>
      <c r="M176" s="119"/>
      <c r="N176" s="119"/>
      <c r="O176" s="118"/>
      <c r="P176" s="37"/>
      <c r="Q176" s="42"/>
      <c r="R176" s="42"/>
      <c r="S176" s="41"/>
      <c r="T176" s="37"/>
      <c r="U176" s="39"/>
      <c r="V176" s="39"/>
      <c r="W176" s="38"/>
      <c r="X176" s="37"/>
    </row>
    <row r="177" spans="2:32" x14ac:dyDescent="0.35">
      <c r="B177" s="121"/>
      <c r="C177" s="50"/>
      <c r="E177" s="48"/>
      <c r="F177" s="48"/>
      <c r="G177" s="38"/>
      <c r="H177" s="120"/>
      <c r="I177" s="42"/>
      <c r="J177" s="42"/>
      <c r="K177" s="41"/>
      <c r="L177" s="37"/>
      <c r="M177" s="119"/>
      <c r="N177" s="119"/>
      <c r="O177" s="118"/>
      <c r="P177" s="37"/>
      <c r="Q177" s="42"/>
      <c r="R177" s="42"/>
      <c r="S177" s="41"/>
      <c r="T177" s="37"/>
      <c r="U177" s="39"/>
      <c r="V177" s="39"/>
      <c r="W177" s="38"/>
      <c r="X177" s="37"/>
    </row>
    <row r="178" spans="2:32" x14ac:dyDescent="0.35">
      <c r="B178" s="121"/>
      <c r="C178" s="50"/>
      <c r="E178" s="48"/>
      <c r="F178" s="48"/>
      <c r="G178" s="38"/>
      <c r="H178" s="120"/>
      <c r="I178" s="42"/>
      <c r="J178" s="42"/>
      <c r="K178" s="41"/>
      <c r="L178" s="37"/>
      <c r="M178" s="119"/>
      <c r="N178" s="119"/>
      <c r="O178" s="118"/>
      <c r="P178" s="37"/>
      <c r="Q178" s="42"/>
      <c r="R178" s="42"/>
      <c r="S178" s="41"/>
      <c r="T178" s="37"/>
      <c r="U178" s="39"/>
      <c r="V178" s="39"/>
      <c r="W178" s="38"/>
      <c r="X178" s="37"/>
    </row>
    <row r="179" spans="2:32" x14ac:dyDescent="0.35">
      <c r="B179" s="121"/>
      <c r="C179" s="50"/>
      <c r="E179" s="48"/>
      <c r="F179" s="48"/>
      <c r="G179" s="38"/>
      <c r="H179" s="120"/>
      <c r="I179" s="42"/>
      <c r="J179" s="42"/>
      <c r="K179" s="41"/>
      <c r="L179" s="37"/>
      <c r="M179" s="119"/>
      <c r="N179" s="119"/>
      <c r="O179" s="118"/>
      <c r="P179" s="37"/>
      <c r="Q179" s="42"/>
      <c r="R179" s="42"/>
      <c r="S179" s="41"/>
      <c r="T179" s="37"/>
      <c r="U179" s="39"/>
      <c r="V179" s="39"/>
      <c r="W179" s="38"/>
      <c r="X179" s="37"/>
      <c r="Y179" s="205"/>
      <c r="Z179" s="206"/>
      <c r="AA179" s="206"/>
      <c r="AB179" s="206"/>
      <c r="AC179" s="206"/>
      <c r="AD179" s="206"/>
      <c r="AE179" s="206"/>
      <c r="AF179" s="207"/>
    </row>
    <row r="180" spans="2:32" x14ac:dyDescent="0.35">
      <c r="B180" s="121"/>
      <c r="C180" s="50"/>
      <c r="E180" s="48"/>
      <c r="F180" s="48"/>
      <c r="G180" s="38"/>
      <c r="H180" s="120"/>
      <c r="I180" s="42"/>
      <c r="J180" s="42"/>
      <c r="K180" s="41"/>
      <c r="L180" s="37"/>
      <c r="M180" s="119"/>
      <c r="N180" s="119"/>
      <c r="O180" s="118"/>
      <c r="P180" s="37"/>
      <c r="Q180" s="42"/>
      <c r="R180" s="42"/>
      <c r="S180" s="41"/>
      <c r="T180" s="37"/>
      <c r="U180" s="39"/>
      <c r="V180" s="39"/>
      <c r="W180" s="38"/>
      <c r="X180" s="37"/>
      <c r="Y180" s="205"/>
      <c r="Z180" s="206"/>
      <c r="AA180" s="206"/>
      <c r="AB180" s="206"/>
      <c r="AC180" s="206"/>
      <c r="AD180" s="206"/>
      <c r="AE180" s="206"/>
      <c r="AF180" s="207"/>
    </row>
    <row r="181" spans="2:32" x14ac:dyDescent="0.35">
      <c r="B181" s="121"/>
      <c r="C181" s="50"/>
      <c r="E181" s="48"/>
      <c r="F181" s="48"/>
      <c r="G181" s="38"/>
      <c r="H181" s="120"/>
      <c r="I181" s="42"/>
      <c r="J181" s="42"/>
      <c r="K181" s="41"/>
      <c r="L181" s="37"/>
      <c r="M181" s="119"/>
      <c r="N181" s="119"/>
      <c r="O181" s="118"/>
      <c r="P181" s="37"/>
      <c r="Q181" s="42"/>
      <c r="R181" s="42"/>
      <c r="S181" s="41"/>
      <c r="T181" s="37"/>
      <c r="U181" s="39"/>
      <c r="V181" s="39"/>
      <c r="W181" s="38"/>
      <c r="X181" s="37"/>
      <c r="Y181" s="205"/>
      <c r="Z181" s="206"/>
      <c r="AA181" s="206"/>
      <c r="AB181" s="206"/>
      <c r="AC181" s="206"/>
      <c r="AD181" s="206"/>
      <c r="AE181" s="206"/>
      <c r="AF181" s="207"/>
    </row>
    <row r="182" spans="2:32" x14ac:dyDescent="0.35">
      <c r="B182" s="121"/>
      <c r="C182" s="50"/>
      <c r="E182" s="48"/>
      <c r="F182" s="48"/>
      <c r="G182" s="38"/>
      <c r="H182" s="120"/>
      <c r="I182" s="42"/>
      <c r="J182" s="42"/>
      <c r="K182" s="41"/>
      <c r="L182" s="37"/>
      <c r="M182" s="119"/>
      <c r="N182" s="119"/>
      <c r="O182" s="118"/>
      <c r="P182" s="37"/>
      <c r="Q182" s="42"/>
      <c r="R182" s="42"/>
      <c r="S182" s="41"/>
      <c r="T182" s="37"/>
      <c r="U182" s="39"/>
      <c r="V182" s="39"/>
      <c r="W182" s="38"/>
      <c r="X182" s="37"/>
    </row>
    <row r="183" spans="2:32" x14ac:dyDescent="0.35">
      <c r="B183" s="121"/>
      <c r="C183" s="50"/>
      <c r="E183" s="48"/>
      <c r="F183" s="48"/>
      <c r="G183" s="38"/>
      <c r="H183" s="120"/>
      <c r="I183" s="42"/>
      <c r="J183" s="42"/>
      <c r="K183" s="41"/>
      <c r="L183" s="37"/>
      <c r="M183" s="119"/>
      <c r="N183" s="119"/>
      <c r="O183" s="118"/>
      <c r="P183" s="37"/>
      <c r="Q183" s="42"/>
      <c r="R183" s="42"/>
      <c r="S183" s="41"/>
      <c r="T183" s="37"/>
      <c r="U183" s="39"/>
      <c r="V183" s="39"/>
      <c r="W183" s="38"/>
      <c r="X183" s="37"/>
    </row>
    <row r="184" spans="2:32" x14ac:dyDescent="0.35">
      <c r="B184" s="121"/>
      <c r="C184" s="50"/>
      <c r="E184" s="48"/>
      <c r="F184" s="48"/>
      <c r="G184" s="38"/>
      <c r="H184" s="120"/>
      <c r="I184" s="42"/>
      <c r="J184" s="42"/>
      <c r="K184" s="41"/>
      <c r="L184" s="37"/>
      <c r="M184" s="119"/>
      <c r="N184" s="119"/>
      <c r="O184" s="118"/>
      <c r="P184" s="37"/>
      <c r="Q184" s="42"/>
      <c r="R184" s="42"/>
      <c r="S184" s="41"/>
      <c r="T184" s="37"/>
      <c r="U184" s="39"/>
      <c r="V184" s="39"/>
      <c r="W184" s="38"/>
      <c r="X184" s="37"/>
    </row>
    <row r="185" spans="2:32" x14ac:dyDescent="0.35">
      <c r="B185" s="121"/>
      <c r="C185" s="50"/>
      <c r="E185" s="48"/>
      <c r="F185" s="48"/>
      <c r="G185" s="38"/>
      <c r="H185" s="120"/>
      <c r="I185" s="42"/>
      <c r="J185" s="42"/>
      <c r="K185" s="41"/>
      <c r="L185" s="37"/>
      <c r="M185" s="119"/>
      <c r="N185" s="119"/>
      <c r="O185" s="118"/>
      <c r="P185" s="37"/>
      <c r="Q185" s="42"/>
      <c r="R185" s="42"/>
      <c r="S185" s="41"/>
      <c r="T185" s="37"/>
      <c r="U185" s="39"/>
      <c r="V185" s="39"/>
      <c r="W185" s="38"/>
      <c r="X185" s="37"/>
    </row>
    <row r="186" spans="2:32" x14ac:dyDescent="0.35">
      <c r="B186" s="121"/>
      <c r="C186" s="50"/>
      <c r="E186" s="48"/>
      <c r="F186" s="48"/>
      <c r="G186" s="38"/>
      <c r="H186" s="120"/>
      <c r="I186" s="42"/>
      <c r="J186" s="42"/>
      <c r="K186" s="41"/>
      <c r="L186" s="37"/>
      <c r="M186" s="119"/>
      <c r="N186" s="119"/>
      <c r="O186" s="118"/>
      <c r="P186" s="37"/>
      <c r="Q186" s="42"/>
      <c r="R186" s="42"/>
      <c r="S186" s="41"/>
      <c r="T186" s="37"/>
      <c r="U186" s="39"/>
      <c r="V186" s="39"/>
      <c r="W186" s="38"/>
      <c r="X186" s="37"/>
    </row>
    <row r="187" spans="2:32" x14ac:dyDescent="0.35">
      <c r="B187" s="121"/>
      <c r="C187" s="50"/>
      <c r="E187" s="48"/>
      <c r="F187" s="48"/>
      <c r="G187" s="38"/>
      <c r="H187" s="120"/>
      <c r="I187" s="42"/>
      <c r="J187" s="42"/>
      <c r="K187" s="41"/>
      <c r="L187" s="37"/>
      <c r="M187" s="119"/>
      <c r="N187" s="119"/>
      <c r="O187" s="118"/>
      <c r="P187" s="37"/>
      <c r="Q187" s="42"/>
      <c r="R187" s="42"/>
      <c r="S187" s="41"/>
      <c r="T187" s="37"/>
      <c r="U187" s="39"/>
      <c r="V187" s="39"/>
      <c r="W187" s="38"/>
      <c r="X187" s="37"/>
    </row>
    <row r="188" spans="2:32" x14ac:dyDescent="0.35">
      <c r="B188" s="121"/>
      <c r="C188" s="50"/>
      <c r="E188" s="48"/>
      <c r="F188" s="48"/>
      <c r="G188" s="38"/>
      <c r="H188" s="120"/>
      <c r="I188" s="42"/>
      <c r="J188" s="42"/>
      <c r="K188" s="41"/>
      <c r="L188" s="37"/>
      <c r="M188" s="119"/>
      <c r="N188" s="119"/>
      <c r="O188" s="118"/>
      <c r="P188" s="37"/>
      <c r="Q188" s="42"/>
      <c r="R188" s="42"/>
      <c r="S188" s="41"/>
      <c r="T188" s="37"/>
      <c r="U188" s="39"/>
      <c r="V188" s="39"/>
      <c r="W188" s="38"/>
      <c r="X188" s="37"/>
    </row>
    <row r="189" spans="2:32" x14ac:dyDescent="0.35">
      <c r="B189" s="121"/>
      <c r="C189" s="50"/>
      <c r="E189" s="48"/>
      <c r="F189" s="48"/>
      <c r="G189" s="38"/>
      <c r="H189" s="120"/>
      <c r="I189" s="42"/>
      <c r="J189" s="42"/>
      <c r="K189" s="41"/>
      <c r="L189" s="37"/>
      <c r="M189" s="119"/>
      <c r="N189" s="119"/>
      <c r="O189" s="118"/>
      <c r="P189" s="37"/>
      <c r="Q189" s="42"/>
      <c r="R189" s="42"/>
      <c r="S189" s="41"/>
      <c r="T189" s="37"/>
      <c r="U189" s="39"/>
      <c r="V189" s="39"/>
      <c r="W189" s="38"/>
      <c r="X189" s="37"/>
    </row>
    <row r="190" spans="2:32" x14ac:dyDescent="0.35">
      <c r="B190" s="121"/>
      <c r="C190" s="50"/>
      <c r="E190" s="48"/>
      <c r="F190" s="48"/>
      <c r="G190" s="38"/>
      <c r="H190" s="120"/>
      <c r="I190" s="42"/>
      <c r="J190" s="42"/>
      <c r="K190" s="41"/>
      <c r="L190" s="37"/>
      <c r="M190" s="119"/>
      <c r="N190" s="119"/>
      <c r="O190" s="118"/>
      <c r="P190" s="37"/>
      <c r="Q190" s="42"/>
      <c r="R190" s="42"/>
      <c r="S190" s="41"/>
      <c r="T190" s="37"/>
      <c r="U190" s="39"/>
      <c r="V190" s="39"/>
      <c r="W190" s="38"/>
      <c r="X190" s="37"/>
    </row>
    <row r="191" spans="2:32" x14ac:dyDescent="0.35">
      <c r="B191" s="121"/>
      <c r="C191" s="50"/>
      <c r="E191" s="48"/>
      <c r="F191" s="48"/>
      <c r="G191" s="38"/>
      <c r="H191" s="120"/>
      <c r="I191" s="42"/>
      <c r="J191" s="42"/>
      <c r="K191" s="41"/>
      <c r="L191" s="37"/>
      <c r="M191" s="119"/>
      <c r="N191" s="119"/>
      <c r="O191" s="118"/>
      <c r="P191" s="37"/>
      <c r="Q191" s="42"/>
      <c r="R191" s="42"/>
      <c r="S191" s="41"/>
      <c r="T191" s="37"/>
      <c r="U191" s="39"/>
      <c r="V191" s="39"/>
      <c r="W191" s="38"/>
      <c r="X191" s="37"/>
    </row>
    <row r="192" spans="2:32" x14ac:dyDescent="0.35">
      <c r="B192" s="121"/>
      <c r="C192" s="50"/>
      <c r="E192" s="48"/>
      <c r="F192" s="48"/>
      <c r="G192" s="38"/>
      <c r="H192" s="120"/>
      <c r="I192" s="42"/>
      <c r="J192" s="42"/>
      <c r="K192" s="41"/>
      <c r="L192" s="37"/>
      <c r="M192" s="119"/>
      <c r="N192" s="119"/>
      <c r="O192" s="118"/>
      <c r="P192" s="37"/>
      <c r="Q192" s="42"/>
      <c r="R192" s="42"/>
      <c r="S192" s="41"/>
      <c r="T192" s="37"/>
      <c r="U192" s="39"/>
      <c r="V192" s="39"/>
      <c r="W192" s="38"/>
      <c r="X192" s="37"/>
    </row>
    <row r="193" spans="2:24" x14ac:dyDescent="0.35">
      <c r="B193" s="121"/>
      <c r="C193" s="50"/>
      <c r="E193" s="48"/>
      <c r="F193" s="48"/>
      <c r="G193" s="38"/>
      <c r="H193" s="120"/>
      <c r="I193" s="42"/>
      <c r="J193" s="42"/>
      <c r="K193" s="41"/>
      <c r="L193" s="37"/>
      <c r="M193" s="119"/>
      <c r="N193" s="119"/>
      <c r="O193" s="118"/>
      <c r="P193" s="37"/>
      <c r="Q193" s="42"/>
      <c r="R193" s="42"/>
      <c r="S193" s="41"/>
      <c r="T193" s="37"/>
      <c r="U193" s="39"/>
      <c r="V193" s="39"/>
      <c r="W193" s="38"/>
      <c r="X193" s="37"/>
    </row>
    <row r="194" spans="2:24" x14ac:dyDescent="0.35">
      <c r="B194" s="121"/>
      <c r="C194" s="50"/>
      <c r="E194" s="48"/>
      <c r="F194" s="48"/>
      <c r="G194" s="38"/>
      <c r="H194" s="120"/>
      <c r="I194" s="42"/>
      <c r="J194" s="42"/>
      <c r="K194" s="41"/>
      <c r="L194" s="37"/>
      <c r="M194" s="119"/>
      <c r="N194" s="119"/>
      <c r="O194" s="118"/>
      <c r="P194" s="37"/>
      <c r="Q194" s="42"/>
      <c r="R194" s="42"/>
      <c r="S194" s="41"/>
      <c r="T194" s="37"/>
      <c r="U194" s="39"/>
      <c r="V194" s="39"/>
      <c r="W194" s="38"/>
      <c r="X194" s="37"/>
    </row>
    <row r="195" spans="2:24" x14ac:dyDescent="0.35">
      <c r="B195" s="121"/>
      <c r="C195" s="50"/>
      <c r="E195" s="48"/>
      <c r="F195" s="48"/>
      <c r="G195" s="38"/>
      <c r="H195" s="120"/>
      <c r="I195" s="42"/>
      <c r="J195" s="42"/>
      <c r="K195" s="41"/>
      <c r="L195" s="37"/>
      <c r="M195" s="119"/>
      <c r="N195" s="119"/>
      <c r="O195" s="118"/>
      <c r="P195" s="37"/>
      <c r="Q195" s="42"/>
      <c r="R195" s="42"/>
      <c r="S195" s="41"/>
      <c r="T195" s="37"/>
      <c r="U195" s="39"/>
      <c r="V195" s="39"/>
      <c r="W195" s="38"/>
      <c r="X195" s="37"/>
    </row>
    <row r="196" spans="2:24" x14ac:dyDescent="0.35">
      <c r="B196" s="121"/>
      <c r="C196" s="50"/>
      <c r="E196" s="48"/>
      <c r="F196" s="48"/>
      <c r="G196" s="38"/>
      <c r="H196" s="120"/>
      <c r="I196" s="42"/>
      <c r="J196" s="42"/>
      <c r="K196" s="41"/>
      <c r="L196" s="37"/>
      <c r="M196" s="119"/>
      <c r="N196" s="119"/>
      <c r="O196" s="118"/>
      <c r="P196" s="37"/>
      <c r="Q196" s="42"/>
      <c r="R196" s="42"/>
      <c r="S196" s="41"/>
      <c r="T196" s="37"/>
      <c r="U196" s="39"/>
      <c r="V196" s="39"/>
      <c r="W196" s="38"/>
      <c r="X196" s="37"/>
    </row>
    <row r="197" spans="2:24" x14ac:dyDescent="0.35">
      <c r="B197" s="121"/>
      <c r="C197" s="50"/>
      <c r="E197" s="48"/>
      <c r="F197" s="48"/>
      <c r="G197" s="38"/>
      <c r="H197" s="120"/>
      <c r="I197" s="42"/>
      <c r="J197" s="42"/>
      <c r="K197" s="41"/>
      <c r="L197" s="37"/>
      <c r="M197" s="119"/>
      <c r="N197" s="119"/>
      <c r="O197" s="118"/>
      <c r="P197" s="37"/>
      <c r="Q197" s="42"/>
      <c r="R197" s="42"/>
      <c r="S197" s="41"/>
      <c r="T197" s="37"/>
      <c r="U197" s="39"/>
      <c r="V197" s="39"/>
      <c r="W197" s="38"/>
      <c r="X197" s="37"/>
    </row>
    <row r="198" spans="2:24" x14ac:dyDescent="0.35">
      <c r="B198" s="121"/>
      <c r="C198" s="50"/>
      <c r="E198" s="48"/>
      <c r="F198" s="48"/>
      <c r="G198" s="38"/>
      <c r="H198" s="120"/>
      <c r="I198" s="42"/>
      <c r="J198" s="42"/>
      <c r="K198" s="41"/>
      <c r="L198" s="37"/>
      <c r="M198" s="119"/>
      <c r="N198" s="119"/>
      <c r="O198" s="118"/>
      <c r="P198" s="37"/>
      <c r="Q198" s="42"/>
      <c r="R198" s="42"/>
      <c r="S198" s="41"/>
      <c r="T198" s="37"/>
      <c r="U198" s="39"/>
      <c r="V198" s="39"/>
      <c r="W198" s="38"/>
      <c r="X198" s="37"/>
    </row>
    <row r="199" spans="2:24" x14ac:dyDescent="0.35">
      <c r="B199" s="121"/>
      <c r="C199" s="50"/>
      <c r="E199" s="48"/>
      <c r="F199" s="48"/>
      <c r="G199" s="38"/>
      <c r="H199" s="120"/>
      <c r="I199" s="42"/>
      <c r="J199" s="42"/>
      <c r="K199" s="41"/>
      <c r="L199" s="37"/>
      <c r="M199" s="119"/>
      <c r="N199" s="119"/>
      <c r="O199" s="118"/>
      <c r="P199" s="37"/>
      <c r="Q199" s="42"/>
      <c r="R199" s="42"/>
      <c r="S199" s="41"/>
      <c r="T199" s="37"/>
      <c r="U199" s="39"/>
      <c r="V199" s="39"/>
      <c r="W199" s="38"/>
      <c r="X199" s="37"/>
    </row>
    <row r="200" spans="2:24" x14ac:dyDescent="0.35">
      <c r="B200" s="121"/>
      <c r="C200" s="50"/>
      <c r="E200" s="48"/>
      <c r="F200" s="48"/>
      <c r="G200" s="38"/>
      <c r="H200" s="120"/>
      <c r="I200" s="42"/>
      <c r="J200" s="42"/>
      <c r="K200" s="41"/>
      <c r="L200" s="37"/>
      <c r="M200" s="119"/>
      <c r="N200" s="119"/>
      <c r="O200" s="118"/>
      <c r="P200" s="37"/>
      <c r="Q200" s="42"/>
      <c r="R200" s="42"/>
      <c r="S200" s="41"/>
      <c r="T200" s="37"/>
      <c r="U200" s="39"/>
      <c r="V200" s="39"/>
      <c r="W200" s="38"/>
      <c r="X200" s="37"/>
    </row>
    <row r="201" spans="2:24" x14ac:dyDescent="0.35">
      <c r="B201" s="121"/>
      <c r="C201" s="50"/>
      <c r="E201" s="48"/>
      <c r="F201" s="48"/>
      <c r="G201" s="38"/>
      <c r="H201" s="120"/>
      <c r="I201" s="42"/>
      <c r="J201" s="42"/>
      <c r="K201" s="41"/>
      <c r="L201" s="37"/>
      <c r="M201" s="119"/>
      <c r="N201" s="119"/>
      <c r="O201" s="118"/>
      <c r="P201" s="37"/>
      <c r="Q201" s="42"/>
      <c r="R201" s="42"/>
      <c r="S201" s="41"/>
      <c r="T201" s="37"/>
      <c r="U201" s="39"/>
      <c r="V201" s="39"/>
      <c r="W201" s="38"/>
      <c r="X201" s="37"/>
    </row>
    <row r="202" spans="2:24" x14ac:dyDescent="0.35">
      <c r="B202" s="121"/>
      <c r="C202" s="50"/>
      <c r="E202" s="48"/>
      <c r="F202" s="48"/>
      <c r="G202" s="38"/>
      <c r="H202" s="120"/>
      <c r="I202" s="42"/>
      <c r="J202" s="42"/>
      <c r="K202" s="41"/>
      <c r="L202" s="37"/>
      <c r="M202" s="119"/>
      <c r="N202" s="119"/>
      <c r="O202" s="118"/>
      <c r="P202" s="37"/>
      <c r="Q202" s="42"/>
      <c r="R202" s="42"/>
      <c r="S202" s="41"/>
      <c r="T202" s="37"/>
      <c r="U202" s="39"/>
      <c r="V202" s="39"/>
      <c r="W202" s="38"/>
      <c r="X202" s="37"/>
    </row>
    <row r="203" spans="2:24" x14ac:dyDescent="0.35">
      <c r="B203" s="121"/>
      <c r="C203" s="50"/>
      <c r="E203" s="48"/>
      <c r="F203" s="48"/>
      <c r="G203" s="38"/>
      <c r="H203" s="120"/>
      <c r="I203" s="42"/>
      <c r="J203" s="42"/>
      <c r="K203" s="41"/>
      <c r="L203" s="37"/>
      <c r="M203" s="119"/>
      <c r="N203" s="119"/>
      <c r="O203" s="118"/>
      <c r="P203" s="37"/>
      <c r="Q203" s="42"/>
      <c r="R203" s="42"/>
      <c r="S203" s="41"/>
      <c r="T203" s="37"/>
      <c r="U203" s="39"/>
      <c r="V203" s="39"/>
      <c r="W203" s="38"/>
      <c r="X203" s="37"/>
    </row>
    <row r="204" spans="2:24" x14ac:dyDescent="0.35">
      <c r="B204" s="121"/>
      <c r="C204" s="50"/>
      <c r="E204" s="48"/>
      <c r="F204" s="48"/>
      <c r="G204" s="38"/>
      <c r="H204" s="120"/>
      <c r="I204" s="42"/>
      <c r="J204" s="42"/>
      <c r="K204" s="41"/>
      <c r="L204" s="37"/>
      <c r="M204" s="119"/>
      <c r="N204" s="119"/>
      <c r="O204" s="118"/>
      <c r="P204" s="37"/>
      <c r="Q204" s="42"/>
      <c r="R204" s="42"/>
      <c r="S204" s="41"/>
      <c r="T204" s="37"/>
      <c r="U204" s="39"/>
      <c r="V204" s="39"/>
      <c r="W204" s="38"/>
      <c r="X204" s="37"/>
    </row>
    <row r="205" spans="2:24" x14ac:dyDescent="0.35">
      <c r="B205" s="121"/>
      <c r="C205" s="50"/>
      <c r="E205" s="48"/>
      <c r="F205" s="48"/>
      <c r="G205" s="38"/>
      <c r="H205" s="120"/>
      <c r="I205" s="42"/>
      <c r="J205" s="42"/>
      <c r="K205" s="41"/>
      <c r="L205" s="37"/>
      <c r="M205" s="119"/>
      <c r="N205" s="119"/>
      <c r="O205" s="118"/>
      <c r="P205" s="37"/>
      <c r="Q205" s="42"/>
      <c r="R205" s="42"/>
      <c r="S205" s="41"/>
      <c r="T205" s="37"/>
      <c r="U205" s="39"/>
      <c r="V205" s="39"/>
      <c r="W205" s="38"/>
      <c r="X205" s="37"/>
    </row>
    <row r="206" spans="2:24" x14ac:dyDescent="0.35">
      <c r="B206" s="121"/>
      <c r="C206" s="50"/>
      <c r="E206" s="48"/>
      <c r="F206" s="48"/>
      <c r="G206" s="38"/>
      <c r="H206" s="120"/>
      <c r="I206" s="42"/>
      <c r="J206" s="42"/>
      <c r="K206" s="41"/>
      <c r="L206" s="37"/>
      <c r="M206" s="119"/>
      <c r="N206" s="119"/>
      <c r="O206" s="118"/>
      <c r="P206" s="37"/>
      <c r="Q206" s="42"/>
      <c r="R206" s="42"/>
      <c r="S206" s="41"/>
      <c r="T206" s="37"/>
      <c r="U206" s="39"/>
      <c r="V206" s="39"/>
      <c r="W206" s="38"/>
      <c r="X206" s="37"/>
    </row>
    <row r="207" spans="2:24" x14ac:dyDescent="0.35">
      <c r="B207" s="121"/>
      <c r="C207" s="50"/>
      <c r="E207" s="48"/>
      <c r="F207" s="48"/>
      <c r="G207" s="38"/>
      <c r="H207" s="120"/>
      <c r="I207" s="42"/>
      <c r="J207" s="42"/>
      <c r="K207" s="41"/>
      <c r="L207" s="37"/>
      <c r="M207" s="119"/>
      <c r="N207" s="119"/>
      <c r="O207" s="118"/>
      <c r="P207" s="37"/>
      <c r="Q207" s="42"/>
      <c r="R207" s="42"/>
      <c r="S207" s="41"/>
      <c r="T207" s="37"/>
      <c r="U207" s="39"/>
      <c r="V207" s="39"/>
      <c r="W207" s="38"/>
      <c r="X207" s="37"/>
    </row>
    <row r="208" spans="2:24" x14ac:dyDescent="0.35">
      <c r="B208" s="121"/>
      <c r="C208" s="50"/>
      <c r="E208" s="48"/>
      <c r="F208" s="48"/>
      <c r="G208" s="38"/>
      <c r="H208" s="120"/>
      <c r="I208" s="42"/>
      <c r="J208" s="42"/>
      <c r="K208" s="41"/>
      <c r="L208" s="37"/>
      <c r="M208" s="119"/>
      <c r="N208" s="119"/>
      <c r="O208" s="118"/>
      <c r="P208" s="37"/>
      <c r="Q208" s="42"/>
      <c r="R208" s="42"/>
      <c r="S208" s="41"/>
      <c r="T208" s="37"/>
      <c r="U208" s="39"/>
      <c r="V208" s="39"/>
      <c r="W208" s="38"/>
      <c r="X208" s="37"/>
    </row>
    <row r="209" spans="2:24" x14ac:dyDescent="0.35">
      <c r="B209" s="121"/>
      <c r="C209" s="50"/>
      <c r="E209" s="48"/>
      <c r="F209" s="48"/>
      <c r="G209" s="38"/>
      <c r="H209" s="120"/>
      <c r="I209" s="42"/>
      <c r="J209" s="42"/>
      <c r="K209" s="41"/>
      <c r="L209" s="37"/>
      <c r="M209" s="119"/>
      <c r="N209" s="119"/>
      <c r="O209" s="118"/>
      <c r="P209" s="37"/>
      <c r="Q209" s="42"/>
      <c r="R209" s="42"/>
      <c r="S209" s="41"/>
      <c r="T209" s="37"/>
      <c r="U209" s="39"/>
      <c r="V209" s="39"/>
      <c r="W209" s="38"/>
      <c r="X209" s="37"/>
    </row>
    <row r="210" spans="2:24" x14ac:dyDescent="0.35">
      <c r="B210" s="121"/>
      <c r="C210" s="50"/>
      <c r="E210" s="48"/>
      <c r="F210" s="48"/>
      <c r="G210" s="38"/>
      <c r="H210" s="120"/>
      <c r="I210" s="42"/>
      <c r="J210" s="42"/>
      <c r="K210" s="41"/>
      <c r="L210" s="37"/>
      <c r="M210" s="119"/>
      <c r="N210" s="119"/>
      <c r="O210" s="118"/>
      <c r="P210" s="37"/>
      <c r="Q210" s="42"/>
      <c r="R210" s="42"/>
      <c r="S210" s="41"/>
      <c r="T210" s="37"/>
      <c r="U210" s="39"/>
      <c r="V210" s="39"/>
      <c r="W210" s="38"/>
      <c r="X210" s="37"/>
    </row>
    <row r="211" spans="2:24" x14ac:dyDescent="0.35">
      <c r="B211" s="121"/>
      <c r="C211" s="50"/>
      <c r="E211" s="48"/>
      <c r="F211" s="48"/>
      <c r="G211" s="38"/>
      <c r="H211" s="120"/>
      <c r="I211" s="42"/>
      <c r="J211" s="42"/>
      <c r="K211" s="41"/>
      <c r="L211" s="37"/>
      <c r="M211" s="119"/>
      <c r="N211" s="119"/>
      <c r="O211" s="118"/>
      <c r="P211" s="37"/>
      <c r="Q211" s="42"/>
      <c r="R211" s="42"/>
      <c r="S211" s="41"/>
      <c r="T211" s="37"/>
      <c r="U211" s="39"/>
      <c r="V211" s="39"/>
      <c r="W211" s="38"/>
      <c r="X211" s="37"/>
    </row>
  </sheetData>
  <mergeCells count="58">
    <mergeCell ref="Y180:AF180"/>
    <mergeCell ref="Y181:AF181"/>
    <mergeCell ref="Y128:AF128"/>
    <mergeCell ref="Y129:AF129"/>
    <mergeCell ref="Y150:AF150"/>
    <mergeCell ref="Y156:AF156"/>
    <mergeCell ref="Y157:AF157"/>
    <mergeCell ref="Y162:AF162"/>
    <mergeCell ref="Y119:AF119"/>
    <mergeCell ref="Y121:AF121"/>
    <mergeCell ref="Y127:AF127"/>
    <mergeCell ref="Y163:AF163"/>
    <mergeCell ref="Y179:AF179"/>
    <mergeCell ref="Y101:AF101"/>
    <mergeCell ref="Y102:AF115"/>
    <mergeCell ref="Y116:AF116"/>
    <mergeCell ref="Y117:AF117"/>
    <mergeCell ref="Y118:AF118"/>
    <mergeCell ref="Y91:AF91"/>
    <mergeCell ref="Y94:AF94"/>
    <mergeCell ref="Y95:AF95"/>
    <mergeCell ref="Y96:AF99"/>
    <mergeCell ref="Y100:AF100"/>
    <mergeCell ref="Y83:AF83"/>
    <mergeCell ref="Y84:AF85"/>
    <mergeCell ref="Y87:AF87"/>
    <mergeCell ref="Y88:AF88"/>
    <mergeCell ref="Y90:AF90"/>
    <mergeCell ref="Y46:AF46"/>
    <mergeCell ref="Y48:AF48"/>
    <mergeCell ref="Y49:AF56"/>
    <mergeCell ref="Y57:AF57"/>
    <mergeCell ref="Y58:AF82"/>
    <mergeCell ref="Y40:AF40"/>
    <mergeCell ref="Y41:AF41"/>
    <mergeCell ref="Y42:AF42"/>
    <mergeCell ref="Y43:AF43"/>
    <mergeCell ref="Y44:AF45"/>
    <mergeCell ref="Y35:AF35"/>
    <mergeCell ref="Y36:AF36"/>
    <mergeCell ref="Y37:AF37"/>
    <mergeCell ref="Y38:AF38"/>
    <mergeCell ref="Y39:AF39"/>
    <mergeCell ref="Y30:AF30"/>
    <mergeCell ref="Y31:AF31"/>
    <mergeCell ref="Y32:AF32"/>
    <mergeCell ref="Y33:AF33"/>
    <mergeCell ref="Y34:AF34"/>
    <mergeCell ref="Y21:AF21"/>
    <mergeCell ref="Y22:AF22"/>
    <mergeCell ref="Y23:AF27"/>
    <mergeCell ref="Y28:AF28"/>
    <mergeCell ref="Y29:AF29"/>
    <mergeCell ref="Y11:AF12"/>
    <mergeCell ref="Y13:AF16"/>
    <mergeCell ref="Y17:AF17"/>
    <mergeCell ref="Y18:AF18"/>
    <mergeCell ref="Y19:AF20"/>
  </mergeCells>
  <conditionalFormatting sqref="B116:B118">
    <cfRule type="timePeriod" dxfId="0" priority="1" timePeriod="lastMonth">
      <formula>AND(MONTH(B116)=MONTH(EDATE(TODAY(),0-1)),YEAR(B116)=YEAR(EDATE(TODAY(),0-1)))</formula>
    </cfRule>
  </conditionalFormatting>
  <printOptions horizontalCentered="1" verticalCentered="1"/>
  <pageMargins left="0" right="0" top="0" bottom="0" header="0" footer="0"/>
  <pageSetup scale="19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9B8A-47F5-4BD5-A528-E10EA9802314}">
  <dimension ref="O3:P3"/>
  <sheetViews>
    <sheetView workbookViewId="0">
      <selection activeCell="O19" sqref="O19"/>
    </sheetView>
  </sheetViews>
  <sheetFormatPr baseColWidth="10" defaultRowHeight="14.5" x14ac:dyDescent="0.35"/>
  <sheetData>
    <row r="3" spans="15:16" x14ac:dyDescent="0.35">
      <c r="O3" s="215" t="s">
        <v>277</v>
      </c>
      <c r="P3" s="215"/>
    </row>
  </sheetData>
  <mergeCells count="1">
    <mergeCell ref="O3:P3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.pdfxml.1" dvAspect="DVASPECT_ICON" shapeId="2049" r:id="rId4">
          <objectPr defaultSize="0" autoPict="0" r:id="rId5">
            <anchor moveWithCells="1">
              <from>
                <xdr:col>14</xdr:col>
                <xdr:colOff>6350</xdr:colOff>
                <xdr:row>3</xdr:row>
                <xdr:rowOff>19050</xdr:rowOff>
              </from>
              <to>
                <xdr:col>15</xdr:col>
                <xdr:colOff>730250</xdr:colOff>
                <xdr:row>7</xdr:row>
                <xdr:rowOff>133350</xdr:rowOff>
              </to>
            </anchor>
          </objectPr>
        </oleObject>
      </mc:Choice>
      <mc:Fallback>
        <oleObject progId="Acrobat.pdfxml.1" dvAspect="DVASPECT_ICON" shapeId="204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4D02A1-6E8C-4178-8698-9FAA793A39C7}"/>
</file>

<file path=customXml/itemProps2.xml><?xml version="1.0" encoding="utf-8"?>
<ds:datastoreItem xmlns:ds="http://schemas.openxmlformats.org/officeDocument/2006/customXml" ds:itemID="{021496C0-DEEC-4D6C-9667-1C0E2B3727CB}"/>
</file>

<file path=customXml/itemProps3.xml><?xml version="1.0" encoding="utf-8"?>
<ds:datastoreItem xmlns:ds="http://schemas.openxmlformats.org/officeDocument/2006/customXml" ds:itemID="{8D7742C3-D585-41D9-A82D-4D31463BD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PROF. Pb Y Zn </vt:lpstr>
      <vt:lpstr>PROF. PRECIPITADO</vt:lpstr>
      <vt:lpstr>ENSAYES EN CONJUNTO SAU</vt:lpstr>
      <vt:lpstr>ENSAYES EN CONJUNTO SJ</vt:lpstr>
      <vt:lpstr>ENSAYES MET-MEX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EMMANUEL LUNA HERNANDEZ</dc:creator>
  <cp:lastModifiedBy>CHRISTIAN EMMANUEL LUNA HERNANDEZ</cp:lastModifiedBy>
  <dcterms:created xsi:type="dcterms:W3CDTF">2026-09-17T21:35:17Z</dcterms:created>
  <dcterms:modified xsi:type="dcterms:W3CDTF">2026-09-18T21:24:26Z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2026-09-17T23:28:39Z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5b049f1b-c5f4-4e55-a90e-9bbc74468d9e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  <property fmtid="{D5CDD505-2E9C-101B-9397-08002B2CF9AE}" pid="10" name="ContentTypeId">
    <vt:lpwstr>0x0101002A87349D256D584A8859AB7414D38CF3</vt:lpwstr>
  </property>
</Properties>
</file>