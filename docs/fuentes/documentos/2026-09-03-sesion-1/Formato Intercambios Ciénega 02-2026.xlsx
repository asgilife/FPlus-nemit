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M011155\Desktop\Laura SAV\2.- Minera - Ciénega\6.- Intercambios de concentrados\2026\2-Febrero\"/>
    </mc:Choice>
  </mc:AlternateContent>
  <xr:revisionPtr revIDLastSave="0" documentId="13_ncr:1_{DC191B03-7F0D-4BF1-9BC6-90D43263B9FC}" xr6:coauthVersionLast="47" xr6:coauthVersionMax="47" xr10:uidLastSave="{00000000-0000-0000-0000-000000000000}"/>
  <bookViews>
    <workbookView xWindow="-110" yWindow="-110" windowWidth="19420" windowHeight="11500" tabRatio="433" activeTab="2" xr2:uid="{00000000-000D-0000-FFFF-FFFF00000000}"/>
  </bookViews>
  <sheets>
    <sheet name="Ens. Plomo" sheetId="9" r:id="rId1"/>
    <sheet name="Pb" sheetId="3" r:id="rId2"/>
    <sheet name="Terc. Plomo" sheetId="5" r:id="rId3"/>
    <sheet name="Ens. Zinc" sheetId="8" r:id="rId4"/>
    <sheet name="Zn" sheetId="10" r:id="rId5"/>
    <sheet name="Terc. Zinc" sheetId="11" r:id="rId6"/>
    <sheet name="Ensaye Ponderado" sheetId="6" state="hidden" r:id="rId7"/>
  </sheets>
  <externalReferences>
    <externalReference r:id="rId8"/>
  </externalReferences>
  <definedNames>
    <definedName name="_xlnm._FilterDatabase" localSheetId="1" hidden="1">Pb!$A$7:$BA$7</definedName>
    <definedName name="_xlnm.Print_Area" localSheetId="0">'Ens. Plomo'!$A$1:$J$21</definedName>
    <definedName name="_xlnm.Print_Area" localSheetId="3">'Ens. Zinc'!$A$1:$J$20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8" l="1"/>
  <c r="I14" i="8"/>
  <c r="H14" i="8"/>
  <c r="G14" i="8"/>
  <c r="F14" i="8"/>
  <c r="E14" i="8"/>
  <c r="D14" i="8"/>
  <c r="C14" i="8"/>
  <c r="B14" i="8"/>
  <c r="A14" i="8"/>
  <c r="J13" i="8"/>
  <c r="I13" i="8"/>
  <c r="H13" i="8"/>
  <c r="G13" i="8"/>
  <c r="F13" i="8"/>
  <c r="E13" i="8"/>
  <c r="D13" i="8"/>
  <c r="C13" i="8"/>
  <c r="B13" i="8"/>
  <c r="A13" i="8"/>
  <c r="J16" i="9"/>
  <c r="I16" i="9"/>
  <c r="H16" i="9"/>
  <c r="G16" i="9"/>
  <c r="F16" i="9"/>
  <c r="E16" i="9"/>
  <c r="D16" i="9"/>
  <c r="C16" i="9"/>
  <c r="B16" i="9"/>
  <c r="B11" i="3" s="1"/>
  <c r="A16" i="9"/>
  <c r="J15" i="9"/>
  <c r="I15" i="9"/>
  <c r="H15" i="9"/>
  <c r="G15" i="9"/>
  <c r="F15" i="9"/>
  <c r="E15" i="9"/>
  <c r="D15" i="9"/>
  <c r="C15" i="9"/>
  <c r="B15" i="9"/>
  <c r="B10" i="3" s="1"/>
  <c r="A15" i="9"/>
  <c r="J14" i="9"/>
  <c r="I14" i="9"/>
  <c r="H14" i="9"/>
  <c r="G14" i="9"/>
  <c r="AB9" i="3" s="1"/>
  <c r="AD9" i="3" s="1"/>
  <c r="F14" i="9"/>
  <c r="E14" i="9"/>
  <c r="D14" i="9"/>
  <c r="C14" i="9"/>
  <c r="B14" i="9"/>
  <c r="B9" i="3" s="1"/>
  <c r="A14" i="9"/>
  <c r="J13" i="9"/>
  <c r="I13" i="9"/>
  <c r="AN8" i="3" s="1"/>
  <c r="AP8" i="3" s="1"/>
  <c r="H13" i="9"/>
  <c r="AH8" i="3" s="1"/>
  <c r="G13" i="9"/>
  <c r="AB8" i="3" s="1"/>
  <c r="AD8" i="3" s="1"/>
  <c r="F13" i="9"/>
  <c r="V8" i="3" s="1"/>
  <c r="X8" i="3" s="1"/>
  <c r="E13" i="9"/>
  <c r="P8" i="3" s="1"/>
  <c r="R8" i="3" s="1"/>
  <c r="D13" i="9"/>
  <c r="C13" i="9"/>
  <c r="D8" i="3" s="1"/>
  <c r="F8" i="3" s="1"/>
  <c r="B13" i="9"/>
  <c r="B8" i="3" s="1"/>
  <c r="A13" i="9"/>
  <c r="A3" i="3"/>
  <c r="AW12" i="3"/>
  <c r="M12" i="3"/>
  <c r="AC9" i="3" l="1"/>
  <c r="AU9" i="10"/>
  <c r="AW9" i="10" s="1"/>
  <c r="AO9" i="10"/>
  <c r="AP9" i="10" s="1"/>
  <c r="AR9" i="10" s="1"/>
  <c r="AC11" i="11" s="1"/>
  <c r="AI9" i="10"/>
  <c r="AQ11" i="11" s="1"/>
  <c r="AC9" i="10"/>
  <c r="BG11" i="11" s="1"/>
  <c r="W9" i="10"/>
  <c r="AI11" i="11" s="1"/>
  <c r="Q9" i="10"/>
  <c r="S11" i="11" s="1"/>
  <c r="K9" i="10"/>
  <c r="K11" i="11" s="1"/>
  <c r="E9" i="10"/>
  <c r="C11" i="11" s="1"/>
  <c r="B9" i="10"/>
  <c r="A11" i="11" s="1"/>
  <c r="AU8" i="10"/>
  <c r="AY10" i="11" s="1"/>
  <c r="AI8" i="10"/>
  <c r="AQ10" i="11" s="1"/>
  <c r="AC8" i="10"/>
  <c r="AE8" i="10" s="1"/>
  <c r="W8" i="10"/>
  <c r="AI10" i="11" s="1"/>
  <c r="Q8" i="10"/>
  <c r="R8" i="10" s="1"/>
  <c r="K8" i="10"/>
  <c r="K10" i="11" s="1"/>
  <c r="E8" i="10"/>
  <c r="C10" i="11" s="1"/>
  <c r="B8" i="10"/>
  <c r="A10" i="11" s="1"/>
  <c r="AT11" i="3"/>
  <c r="AV11" i="3" s="1"/>
  <c r="AN11" i="3"/>
  <c r="AO11" i="3" s="1"/>
  <c r="AH11" i="3"/>
  <c r="AJ11" i="3" s="1"/>
  <c r="AB11" i="3"/>
  <c r="AD11" i="3" s="1"/>
  <c r="V11" i="3"/>
  <c r="X11" i="3" s="1"/>
  <c r="P11" i="3"/>
  <c r="R11" i="3" s="1"/>
  <c r="J11" i="3"/>
  <c r="D11" i="3"/>
  <c r="F11" i="3" s="1"/>
  <c r="AT10" i="3"/>
  <c r="AV10" i="3" s="1"/>
  <c r="AN10" i="3"/>
  <c r="AO10" i="3" s="1"/>
  <c r="AH10" i="3"/>
  <c r="AJ10" i="3" s="1"/>
  <c r="AB10" i="3"/>
  <c r="AD10" i="3" s="1"/>
  <c r="V10" i="3"/>
  <c r="X10" i="3" s="1"/>
  <c r="P10" i="3"/>
  <c r="R10" i="3" s="1"/>
  <c r="J10" i="3"/>
  <c r="D10" i="3"/>
  <c r="F10" i="3" s="1"/>
  <c r="AT9" i="3"/>
  <c r="AV9" i="3" s="1"/>
  <c r="AN9" i="3"/>
  <c r="AH9" i="3"/>
  <c r="AJ9" i="3" s="1"/>
  <c r="V9" i="3"/>
  <c r="X9" i="3" s="1"/>
  <c r="P9" i="3"/>
  <c r="R9" i="3" s="1"/>
  <c r="J9" i="3"/>
  <c r="D9" i="3"/>
  <c r="F9" i="3" s="1"/>
  <c r="AT8" i="3"/>
  <c r="AV8" i="3" s="1"/>
  <c r="J8" i="3"/>
  <c r="L8" i="3" s="1"/>
  <c r="AA10" i="11"/>
  <c r="A1" i="3"/>
  <c r="AU10" i="10"/>
  <c r="AW10" i="10" s="1"/>
  <c r="AI10" i="10"/>
  <c r="AK10" i="10" s="1"/>
  <c r="AC10" i="10"/>
  <c r="AE10" i="10" s="1"/>
  <c r="Q10" i="10"/>
  <c r="S10" i="10" s="1"/>
  <c r="W10" i="10"/>
  <c r="X10" i="10" s="1"/>
  <c r="K10" i="10"/>
  <c r="K12" i="11" s="1"/>
  <c r="E10" i="10"/>
  <c r="G10" i="10" s="1"/>
  <c r="B10" i="10"/>
  <c r="A12" i="11" s="1"/>
  <c r="A3" i="10"/>
  <c r="AO10" i="10"/>
  <c r="AP10" i="10" s="1"/>
  <c r="AR10" i="10" s="1"/>
  <c r="AC12" i="11" s="1"/>
  <c r="B10" i="5"/>
  <c r="B11" i="5"/>
  <c r="B12" i="5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B27" i="11"/>
  <c r="G27" i="11"/>
  <c r="H27" i="11"/>
  <c r="I27" i="11"/>
  <c r="J27" i="11"/>
  <c r="K27" i="11"/>
  <c r="O27" i="11"/>
  <c r="P27" i="11"/>
  <c r="Q27" i="11"/>
  <c r="R27" i="11"/>
  <c r="W27" i="11"/>
  <c r="X27" i="11"/>
  <c r="Y27" i="11"/>
  <c r="Z27" i="11"/>
  <c r="AA27" i="11"/>
  <c r="AF27" i="11" s="1"/>
  <c r="AG27" i="11"/>
  <c r="AH27" i="11"/>
  <c r="AI27" i="11"/>
  <c r="AN27" i="11" s="1"/>
  <c r="AO27" i="11"/>
  <c r="AP27" i="11"/>
  <c r="AU27" i="11" s="1"/>
  <c r="AQ27" i="11"/>
  <c r="AW27" i="11"/>
  <c r="AX27" i="11"/>
  <c r="BC27" i="11" s="1"/>
  <c r="AY27" i="11"/>
  <c r="BD27" i="11" s="1"/>
  <c r="BE27" i="11"/>
  <c r="BF27" i="11"/>
  <c r="BJ27" i="11" s="1"/>
  <c r="BG27" i="11"/>
  <c r="BL27" i="11" s="1"/>
  <c r="BM27" i="11"/>
  <c r="B28" i="11"/>
  <c r="C28" i="11"/>
  <c r="G28" i="11"/>
  <c r="H28" i="11"/>
  <c r="I28" i="11"/>
  <c r="J28" i="11"/>
  <c r="K28" i="11"/>
  <c r="N28" i="11" s="1"/>
  <c r="O28" i="11"/>
  <c r="P28" i="11"/>
  <c r="Q28" i="11"/>
  <c r="R28" i="11"/>
  <c r="V28" i="11" s="1"/>
  <c r="S28" i="11"/>
  <c r="W28" i="11"/>
  <c r="X28" i="11"/>
  <c r="Y28" i="11"/>
  <c r="Z28" i="11"/>
  <c r="AD28" i="11" s="1"/>
  <c r="AA28" i="11"/>
  <c r="AE28" i="11"/>
  <c r="AF28" i="11"/>
  <c r="AG28" i="11"/>
  <c r="AH28" i="11"/>
  <c r="AL28" i="11" s="1"/>
  <c r="AI28" i="11"/>
  <c r="AN28" i="11" s="1"/>
  <c r="AO28" i="11"/>
  <c r="AP28" i="11"/>
  <c r="AQ28" i="11"/>
  <c r="AU28" i="11"/>
  <c r="AW28" i="11"/>
  <c r="AX28" i="11"/>
  <c r="BB28" i="11" s="1"/>
  <c r="AY28" i="11"/>
  <c r="BD28" i="11" s="1"/>
  <c r="BE28" i="11"/>
  <c r="BF28" i="11"/>
  <c r="BG28" i="11"/>
  <c r="BL28" i="11" s="1"/>
  <c r="BK28" i="11"/>
  <c r="BM28" i="11"/>
  <c r="B29" i="11"/>
  <c r="C29" i="11"/>
  <c r="G29" i="11"/>
  <c r="H29" i="11"/>
  <c r="I29" i="11"/>
  <c r="J29" i="11"/>
  <c r="K29" i="11"/>
  <c r="O29" i="11"/>
  <c r="P29" i="11"/>
  <c r="Q29" i="11"/>
  <c r="R29" i="11"/>
  <c r="V29" i="11" s="1"/>
  <c r="S29" i="11"/>
  <c r="W29" i="11"/>
  <c r="X29" i="11"/>
  <c r="Y29" i="11"/>
  <c r="Z29" i="11"/>
  <c r="AA29" i="11"/>
  <c r="AE29" i="11"/>
  <c r="AF29" i="11"/>
  <c r="AG29" i="11"/>
  <c r="AH29" i="11"/>
  <c r="AI29" i="11"/>
  <c r="AN29" i="11" s="1"/>
  <c r="AO29" i="11"/>
  <c r="AP29" i="11"/>
  <c r="AU29" i="11" s="1"/>
  <c r="AQ29" i="11"/>
  <c r="AT29" i="11" s="1"/>
  <c r="AW29" i="11"/>
  <c r="AX29" i="11"/>
  <c r="AY29" i="11"/>
  <c r="BD29" i="11" s="1"/>
  <c r="BC29" i="11"/>
  <c r="BE29" i="11"/>
  <c r="BF29" i="11"/>
  <c r="BJ29" i="11" s="1"/>
  <c r="BG29" i="11"/>
  <c r="BK29" i="11"/>
  <c r="BL29" i="11"/>
  <c r="BM29" i="11"/>
  <c r="B30" i="11"/>
  <c r="F30" i="11" s="1"/>
  <c r="C30" i="11"/>
  <c r="G30" i="11"/>
  <c r="H30" i="11"/>
  <c r="I30" i="11"/>
  <c r="J30" i="11"/>
  <c r="K30" i="11"/>
  <c r="N30" i="11" s="1"/>
  <c r="O30" i="11"/>
  <c r="P30" i="11"/>
  <c r="Q30" i="11"/>
  <c r="R30" i="11"/>
  <c r="S30" i="11"/>
  <c r="W30" i="11"/>
  <c r="X30" i="11"/>
  <c r="Y30" i="11"/>
  <c r="Z30" i="11"/>
  <c r="AA30" i="11"/>
  <c r="AF30" i="11" s="1"/>
  <c r="AG30" i="11"/>
  <c r="AH30" i="11"/>
  <c r="AI30" i="11"/>
  <c r="AN30" i="11" s="1"/>
  <c r="AO30" i="11"/>
  <c r="AP30" i="11"/>
  <c r="AU30" i="11" s="1"/>
  <c r="AQ30" i="11"/>
  <c r="AT30" i="11" s="1"/>
  <c r="AW30" i="11"/>
  <c r="AX30" i="11"/>
  <c r="BB30" i="11" s="1"/>
  <c r="AY30" i="11"/>
  <c r="BC30" i="11"/>
  <c r="BD30" i="11"/>
  <c r="BE30" i="11"/>
  <c r="BF30" i="11"/>
  <c r="BJ30" i="11" s="1"/>
  <c r="BG30" i="11"/>
  <c r="BL30" i="11" s="1"/>
  <c r="BM30" i="11"/>
  <c r="B31" i="11"/>
  <c r="C31" i="11"/>
  <c r="G31" i="11"/>
  <c r="H31" i="11"/>
  <c r="I31" i="11"/>
  <c r="J31" i="11"/>
  <c r="K31" i="11"/>
  <c r="N31" i="11" s="1"/>
  <c r="O31" i="11"/>
  <c r="P31" i="11"/>
  <c r="Q31" i="11"/>
  <c r="R31" i="11"/>
  <c r="S31" i="11"/>
  <c r="W31" i="11"/>
  <c r="X31" i="11"/>
  <c r="Y31" i="11"/>
  <c r="Z31" i="11"/>
  <c r="AA31" i="11"/>
  <c r="AE31" i="11"/>
  <c r="AF31" i="11"/>
  <c r="AG31" i="11"/>
  <c r="AH31" i="11"/>
  <c r="AL31" i="11" s="1"/>
  <c r="AI31" i="11"/>
  <c r="AN31" i="11" s="1"/>
  <c r="AO31" i="11"/>
  <c r="AP31" i="11"/>
  <c r="AQ31" i="11"/>
  <c r="AT31" i="11" s="1"/>
  <c r="AU31" i="11"/>
  <c r="AW31" i="11"/>
  <c r="AX31" i="11"/>
  <c r="BB31" i="11" s="1"/>
  <c r="AY31" i="11"/>
  <c r="BD31" i="11" s="1"/>
  <c r="BE31" i="11"/>
  <c r="BF31" i="11"/>
  <c r="BJ31" i="11" s="1"/>
  <c r="BG31" i="11"/>
  <c r="BK31" i="11"/>
  <c r="BL31" i="11"/>
  <c r="BM31" i="11"/>
  <c r="B32" i="11"/>
  <c r="C32" i="11"/>
  <c r="G32" i="11"/>
  <c r="H32" i="11"/>
  <c r="I32" i="11"/>
  <c r="J32" i="11"/>
  <c r="K32" i="11"/>
  <c r="N32" i="11" s="1"/>
  <c r="O32" i="11"/>
  <c r="P32" i="11"/>
  <c r="Q32" i="11"/>
  <c r="R32" i="11"/>
  <c r="S32" i="11"/>
  <c r="W32" i="11"/>
  <c r="X32" i="11"/>
  <c r="Y32" i="11"/>
  <c r="Z32" i="11"/>
  <c r="AD32" i="11" s="1"/>
  <c r="AA32" i="11"/>
  <c r="AF32" i="11" s="1"/>
  <c r="AG32" i="11"/>
  <c r="AH32" i="11"/>
  <c r="AI32" i="11"/>
  <c r="AN32" i="11" s="1"/>
  <c r="AO32" i="11"/>
  <c r="AP32" i="11"/>
  <c r="AU32" i="11" s="1"/>
  <c r="AQ32" i="11"/>
  <c r="AW32" i="11"/>
  <c r="AX32" i="11"/>
  <c r="BB32" i="11" s="1"/>
  <c r="AY32" i="11"/>
  <c r="BD32" i="11"/>
  <c r="BE32" i="11"/>
  <c r="BF32" i="11"/>
  <c r="BJ32" i="11" s="1"/>
  <c r="BG32" i="11"/>
  <c r="BL32" i="11"/>
  <c r="BM32" i="11"/>
  <c r="B33" i="11"/>
  <c r="C33" i="11"/>
  <c r="G33" i="11"/>
  <c r="H33" i="11"/>
  <c r="I33" i="11"/>
  <c r="J33" i="11"/>
  <c r="K33" i="11"/>
  <c r="N33" i="11" s="1"/>
  <c r="O33" i="11"/>
  <c r="P33" i="11"/>
  <c r="Q33" i="11"/>
  <c r="R33" i="11"/>
  <c r="V33" i="11" s="1"/>
  <c r="S33" i="11"/>
  <c r="W33" i="11"/>
  <c r="X33" i="11"/>
  <c r="Y33" i="11"/>
  <c r="Z33" i="11"/>
  <c r="AA33" i="11"/>
  <c r="AF33" i="11" s="1"/>
  <c r="AE33" i="11"/>
  <c r="AG33" i="11"/>
  <c r="AH33" i="11"/>
  <c r="AL33" i="11" s="1"/>
  <c r="AI33" i="11"/>
  <c r="AN33" i="11" s="1"/>
  <c r="AO33" i="11"/>
  <c r="AP33" i="11"/>
  <c r="AQ33" i="11"/>
  <c r="AT33" i="11" s="1"/>
  <c r="AU33" i="11"/>
  <c r="AW33" i="11"/>
  <c r="AX33" i="11"/>
  <c r="BB33" i="11" s="1"/>
  <c r="AY33" i="11"/>
  <c r="BD33" i="11"/>
  <c r="BE33" i="11"/>
  <c r="BF33" i="11"/>
  <c r="BG33" i="11"/>
  <c r="BL33" i="11" s="1"/>
  <c r="BM33" i="11"/>
  <c r="B34" i="11"/>
  <c r="C34" i="11"/>
  <c r="G34" i="11"/>
  <c r="H34" i="11"/>
  <c r="I34" i="11"/>
  <c r="J34" i="11"/>
  <c r="K34" i="11"/>
  <c r="O34" i="11"/>
  <c r="P34" i="11"/>
  <c r="Q34" i="11"/>
  <c r="R34" i="11"/>
  <c r="S34" i="11"/>
  <c r="W34" i="11"/>
  <c r="X34" i="11"/>
  <c r="Y34" i="11"/>
  <c r="Z34" i="11"/>
  <c r="AD34" i="11" s="1"/>
  <c r="AA34" i="11"/>
  <c r="AE34" i="11"/>
  <c r="AF34" i="11"/>
  <c r="AG34" i="11"/>
  <c r="AH34" i="11"/>
  <c r="AL34" i="11" s="1"/>
  <c r="AI34" i="11"/>
  <c r="AN34" i="11" s="1"/>
  <c r="AO34" i="11"/>
  <c r="AP34" i="11"/>
  <c r="AQ34" i="11"/>
  <c r="AU34" i="11"/>
  <c r="AW34" i="11"/>
  <c r="AX34" i="11"/>
  <c r="AY34" i="11"/>
  <c r="BD34" i="11" s="1"/>
  <c r="BE34" i="11"/>
  <c r="BF34" i="11"/>
  <c r="BG34" i="11"/>
  <c r="BK34" i="11"/>
  <c r="BL34" i="11"/>
  <c r="BM34" i="11"/>
  <c r="B35" i="11"/>
  <c r="F35" i="11" s="1"/>
  <c r="C35" i="11"/>
  <c r="G35" i="11"/>
  <c r="H35" i="11"/>
  <c r="I35" i="11"/>
  <c r="J35" i="11"/>
  <c r="K35" i="11"/>
  <c r="N35" i="11" s="1"/>
  <c r="O35" i="11"/>
  <c r="P35" i="11"/>
  <c r="Q35" i="11"/>
  <c r="R35" i="11"/>
  <c r="V35" i="11" s="1"/>
  <c r="S35" i="11"/>
  <c r="W35" i="11"/>
  <c r="X35" i="11"/>
  <c r="Y35" i="11"/>
  <c r="Z35" i="11"/>
  <c r="AD35" i="11" s="1"/>
  <c r="AA35" i="11"/>
  <c r="AF35" i="11" s="1"/>
  <c r="AG35" i="11"/>
  <c r="AH35" i="11"/>
  <c r="AL35" i="11" s="1"/>
  <c r="AI35" i="11"/>
  <c r="AN35" i="11" s="1"/>
  <c r="AO35" i="11"/>
  <c r="AP35" i="11"/>
  <c r="AU35" i="11" s="1"/>
  <c r="AQ35" i="11"/>
  <c r="AW35" i="11"/>
  <c r="AX35" i="11"/>
  <c r="AY35" i="11"/>
  <c r="BC35" i="11"/>
  <c r="BD35" i="11"/>
  <c r="BE35" i="11"/>
  <c r="BF35" i="11"/>
  <c r="BJ35" i="11" s="1"/>
  <c r="BG35" i="11"/>
  <c r="BL35" i="11" s="1"/>
  <c r="BM35" i="11"/>
  <c r="B36" i="11"/>
  <c r="C36" i="11"/>
  <c r="G36" i="11"/>
  <c r="H36" i="11"/>
  <c r="I36" i="11"/>
  <c r="J36" i="11"/>
  <c r="K36" i="11"/>
  <c r="O36" i="11"/>
  <c r="P36" i="11"/>
  <c r="Q36" i="11"/>
  <c r="R36" i="11"/>
  <c r="V36" i="11" s="1"/>
  <c r="S36" i="11"/>
  <c r="W36" i="11"/>
  <c r="X36" i="11"/>
  <c r="Y36" i="11"/>
  <c r="Z36" i="11"/>
  <c r="AD36" i="11" s="1"/>
  <c r="AA36" i="11"/>
  <c r="AE36" i="11"/>
  <c r="AF36" i="11"/>
  <c r="AG36" i="11"/>
  <c r="AH36" i="11"/>
  <c r="AL36" i="11" s="1"/>
  <c r="AI36" i="11"/>
  <c r="AN36" i="11" s="1"/>
  <c r="AO36" i="11"/>
  <c r="AP36" i="11"/>
  <c r="AQ36" i="11"/>
  <c r="AU36" i="11"/>
  <c r="AW36" i="11"/>
  <c r="AX36" i="11"/>
  <c r="BB36" i="11" s="1"/>
  <c r="AY36" i="11"/>
  <c r="BD36" i="11" s="1"/>
  <c r="BE36" i="11"/>
  <c r="BF36" i="11"/>
  <c r="BG36" i="11"/>
  <c r="BL36" i="11" s="1"/>
  <c r="BK36" i="11"/>
  <c r="BM36" i="11"/>
  <c r="B37" i="11"/>
  <c r="F37" i="11" s="1"/>
  <c r="C37" i="11"/>
  <c r="G37" i="11"/>
  <c r="H37" i="11"/>
  <c r="I37" i="11"/>
  <c r="J37" i="11"/>
  <c r="K37" i="11"/>
  <c r="O37" i="11"/>
  <c r="P37" i="11"/>
  <c r="Q37" i="11"/>
  <c r="R37" i="11"/>
  <c r="V37" i="11" s="1"/>
  <c r="S37" i="11"/>
  <c r="W37" i="11"/>
  <c r="X37" i="11"/>
  <c r="Y37" i="11"/>
  <c r="Z37" i="11"/>
  <c r="AD37" i="11" s="1"/>
  <c r="AA37" i="11"/>
  <c r="AF37" i="11"/>
  <c r="AG37" i="11"/>
  <c r="AH37" i="11"/>
  <c r="AI37" i="11"/>
  <c r="AN37" i="11" s="1"/>
  <c r="AO37" i="11"/>
  <c r="AP37" i="11"/>
  <c r="AU37" i="11" s="1"/>
  <c r="AQ37" i="11"/>
  <c r="AW37" i="11"/>
  <c r="AX37" i="11"/>
  <c r="AY37" i="11"/>
  <c r="BD37" i="11" s="1"/>
  <c r="BC37" i="11"/>
  <c r="BE37" i="11"/>
  <c r="BF37" i="11"/>
  <c r="BJ37" i="11" s="1"/>
  <c r="BG37" i="11"/>
  <c r="BK37" i="11"/>
  <c r="BL37" i="11"/>
  <c r="BM37" i="11"/>
  <c r="B38" i="11"/>
  <c r="F38" i="11" s="1"/>
  <c r="C38" i="11"/>
  <c r="G38" i="11"/>
  <c r="H38" i="11"/>
  <c r="I38" i="11"/>
  <c r="J38" i="11"/>
  <c r="K38" i="11"/>
  <c r="N38" i="11"/>
  <c r="O38" i="11"/>
  <c r="P38" i="11"/>
  <c r="Q38" i="11"/>
  <c r="R38" i="11"/>
  <c r="V38" i="11" s="1"/>
  <c r="S38" i="11"/>
  <c r="W38" i="11"/>
  <c r="X38" i="11"/>
  <c r="Y38" i="11"/>
  <c r="Z38" i="11"/>
  <c r="AD38" i="11" s="1"/>
  <c r="AA38" i="11"/>
  <c r="AF38" i="11" s="1"/>
  <c r="AG38" i="11"/>
  <c r="AH38" i="11"/>
  <c r="AL38" i="11" s="1"/>
  <c r="AI38" i="11"/>
  <c r="AN38" i="11" s="1"/>
  <c r="AO38" i="11"/>
  <c r="AP38" i="11"/>
  <c r="AT38" i="11" s="1"/>
  <c r="AQ38" i="11"/>
  <c r="AV38" i="11" s="1"/>
  <c r="AW38" i="11"/>
  <c r="AX38" i="11"/>
  <c r="BB38" i="11" s="1"/>
  <c r="AY38" i="11"/>
  <c r="BC38" i="11"/>
  <c r="BD38" i="11"/>
  <c r="BE38" i="11"/>
  <c r="BF38" i="11"/>
  <c r="BJ38" i="11" s="1"/>
  <c r="BG38" i="11"/>
  <c r="BL38" i="11"/>
  <c r="BM38" i="11"/>
  <c r="B39" i="11"/>
  <c r="C39" i="11"/>
  <c r="G39" i="11"/>
  <c r="H39" i="11"/>
  <c r="I39" i="11"/>
  <c r="J39" i="11"/>
  <c r="K39" i="11"/>
  <c r="N39" i="11" s="1"/>
  <c r="O39" i="11"/>
  <c r="P39" i="11"/>
  <c r="Q39" i="11"/>
  <c r="R39" i="11"/>
  <c r="V39" i="11" s="1"/>
  <c r="S39" i="11"/>
  <c r="W39" i="11"/>
  <c r="X39" i="11"/>
  <c r="Y39" i="11"/>
  <c r="Z39" i="11"/>
  <c r="AA39" i="11"/>
  <c r="AF39" i="11" s="1"/>
  <c r="AG39" i="11"/>
  <c r="AH39" i="11"/>
  <c r="AI39" i="11"/>
  <c r="AN39" i="11" s="1"/>
  <c r="AO39" i="11"/>
  <c r="AP39" i="11"/>
  <c r="AT39" i="11" s="1"/>
  <c r="AQ39" i="11"/>
  <c r="AV39" i="11" s="1"/>
  <c r="AW39" i="11"/>
  <c r="AX39" i="11"/>
  <c r="AY39" i="11"/>
  <c r="BC39" i="11"/>
  <c r="BD39" i="11"/>
  <c r="BE39" i="11"/>
  <c r="BF39" i="11"/>
  <c r="BJ39" i="11" s="1"/>
  <c r="BG39" i="11"/>
  <c r="BL39" i="11" s="1"/>
  <c r="BM39" i="11"/>
  <c r="B40" i="11"/>
  <c r="C40" i="11"/>
  <c r="G40" i="11"/>
  <c r="H40" i="11"/>
  <c r="I40" i="11"/>
  <c r="J40" i="11"/>
  <c r="K40" i="11"/>
  <c r="N40" i="11"/>
  <c r="O40" i="11"/>
  <c r="P40" i="11"/>
  <c r="Q40" i="11"/>
  <c r="R40" i="11"/>
  <c r="V40" i="11" s="1"/>
  <c r="S40" i="11"/>
  <c r="W40" i="11"/>
  <c r="X40" i="11"/>
  <c r="Y40" i="11"/>
  <c r="Z40" i="11"/>
  <c r="AA40" i="11"/>
  <c r="AF40" i="11" s="1"/>
  <c r="AE40" i="11"/>
  <c r="AG40" i="11"/>
  <c r="AH40" i="11"/>
  <c r="AL40" i="11" s="1"/>
  <c r="AI40" i="11"/>
  <c r="AN40" i="11" s="1"/>
  <c r="AO40" i="11"/>
  <c r="AP40" i="11"/>
  <c r="AU40" i="11" s="1"/>
  <c r="AQ40" i="11"/>
  <c r="AV40" i="11" s="1"/>
  <c r="AT40" i="11"/>
  <c r="AW40" i="11"/>
  <c r="AX40" i="11"/>
  <c r="BB40" i="11" s="1"/>
  <c r="AY40" i="11"/>
  <c r="BC40" i="11"/>
  <c r="BD40" i="11"/>
  <c r="BE40" i="11"/>
  <c r="BF40" i="11"/>
  <c r="BJ40" i="11" s="1"/>
  <c r="BG40" i="11"/>
  <c r="BL40" i="11" s="1"/>
  <c r="BM40" i="11"/>
  <c r="BF11" i="11"/>
  <c r="BK11" i="11" s="1"/>
  <c r="BF12" i="11"/>
  <c r="BK12" i="11" s="1"/>
  <c r="BF13" i="11"/>
  <c r="BK13" i="11" s="1"/>
  <c r="BF10" i="11"/>
  <c r="BK10" i="11" s="1"/>
  <c r="AX11" i="11"/>
  <c r="BC11" i="11" s="1"/>
  <c r="AX12" i="11"/>
  <c r="BC12" i="11" s="1"/>
  <c r="AX13" i="11"/>
  <c r="BC13" i="11" s="1"/>
  <c r="AX10" i="11"/>
  <c r="BC10" i="11" s="1"/>
  <c r="AP11" i="11"/>
  <c r="AU11" i="11" s="1"/>
  <c r="AP12" i="11"/>
  <c r="AU12" i="11" s="1"/>
  <c r="AP13" i="11"/>
  <c r="AU13" i="11" s="1"/>
  <c r="AP10" i="11"/>
  <c r="AU10" i="11" s="1"/>
  <c r="AH11" i="11"/>
  <c r="AM11" i="11" s="1"/>
  <c r="AH12" i="11"/>
  <c r="AM12" i="11" s="1"/>
  <c r="AH13" i="11"/>
  <c r="AM13" i="11" s="1"/>
  <c r="AH10" i="11"/>
  <c r="AM10" i="11" s="1"/>
  <c r="Z11" i="11"/>
  <c r="AE11" i="11" s="1"/>
  <c r="Z12" i="11"/>
  <c r="AE12" i="11" s="1"/>
  <c r="Z13" i="11"/>
  <c r="AE13" i="11" s="1"/>
  <c r="Z10" i="11"/>
  <c r="AE10" i="11" s="1"/>
  <c r="R11" i="11"/>
  <c r="R12" i="11"/>
  <c r="R13" i="11"/>
  <c r="R10" i="11"/>
  <c r="J11" i="11"/>
  <c r="J12" i="11"/>
  <c r="J13" i="11"/>
  <c r="J10" i="11"/>
  <c r="B11" i="11"/>
  <c r="B12" i="11"/>
  <c r="B13" i="11"/>
  <c r="B10" i="11"/>
  <c r="BF11" i="5"/>
  <c r="BF12" i="5"/>
  <c r="BF13" i="5"/>
  <c r="BF14" i="5"/>
  <c r="BF15" i="5"/>
  <c r="BF16" i="5"/>
  <c r="BF17" i="5"/>
  <c r="BF18" i="5"/>
  <c r="BF19" i="5"/>
  <c r="BF20" i="5"/>
  <c r="BF21" i="5"/>
  <c r="BF22" i="5"/>
  <c r="BF23" i="5"/>
  <c r="BF24" i="5"/>
  <c r="BF10" i="5"/>
  <c r="AX11" i="5"/>
  <c r="AX12" i="5"/>
  <c r="AX13" i="5"/>
  <c r="AX14" i="5"/>
  <c r="AX15" i="5"/>
  <c r="AX16" i="5"/>
  <c r="AX17" i="5"/>
  <c r="AX18" i="5"/>
  <c r="AX19" i="5"/>
  <c r="AX20" i="5"/>
  <c r="AX21" i="5"/>
  <c r="AX22" i="5"/>
  <c r="AX23" i="5"/>
  <c r="AX24" i="5"/>
  <c r="AX10" i="5"/>
  <c r="AP11" i="5"/>
  <c r="AP12" i="5"/>
  <c r="AP13" i="5"/>
  <c r="AP14" i="5"/>
  <c r="AP15" i="5"/>
  <c r="AP16" i="5"/>
  <c r="AP17" i="5"/>
  <c r="AP18" i="5"/>
  <c r="AP19" i="5"/>
  <c r="AP20" i="5"/>
  <c r="AP21" i="5"/>
  <c r="AP22" i="5"/>
  <c r="AP23" i="5"/>
  <c r="AP24" i="5"/>
  <c r="AP10" i="5"/>
  <c r="AH11" i="5"/>
  <c r="AH12" i="5"/>
  <c r="AH13" i="5"/>
  <c r="AH14" i="5"/>
  <c r="AH15" i="5"/>
  <c r="AH16" i="5"/>
  <c r="AH17" i="5"/>
  <c r="AH18" i="5"/>
  <c r="AH19" i="5"/>
  <c r="AH20" i="5"/>
  <c r="AH21" i="5"/>
  <c r="AH22" i="5"/>
  <c r="AH23" i="5"/>
  <c r="AH24" i="5"/>
  <c r="AH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10" i="5"/>
  <c r="B13" i="5"/>
  <c r="B14" i="5"/>
  <c r="B15" i="5"/>
  <c r="B16" i="5"/>
  <c r="B17" i="5"/>
  <c r="B18" i="5"/>
  <c r="B19" i="5"/>
  <c r="B20" i="5"/>
  <c r="B21" i="5"/>
  <c r="B22" i="5"/>
  <c r="B23" i="5"/>
  <c r="B24" i="5"/>
  <c r="BM13" i="11"/>
  <c r="BE13" i="11"/>
  <c r="AW13" i="11"/>
  <c r="AO13" i="11"/>
  <c r="AG13" i="11"/>
  <c r="Y13" i="11"/>
  <c r="X13" i="11"/>
  <c r="W13" i="11"/>
  <c r="Q13" i="11"/>
  <c r="P13" i="11"/>
  <c r="O13" i="11"/>
  <c r="I13" i="11"/>
  <c r="H13" i="11"/>
  <c r="G13" i="11"/>
  <c r="BM12" i="11"/>
  <c r="BE12" i="11"/>
  <c r="AW12" i="11"/>
  <c r="AO12" i="11"/>
  <c r="AG12" i="11"/>
  <c r="Y12" i="11"/>
  <c r="X12" i="11"/>
  <c r="W12" i="11"/>
  <c r="Q12" i="11"/>
  <c r="P12" i="11"/>
  <c r="O12" i="11"/>
  <c r="I12" i="11"/>
  <c r="H12" i="11"/>
  <c r="G12" i="11"/>
  <c r="BM11" i="11"/>
  <c r="BE11" i="11"/>
  <c r="AW11" i="11"/>
  <c r="AO11" i="11"/>
  <c r="AG11" i="11"/>
  <c r="Y11" i="11"/>
  <c r="X11" i="11"/>
  <c r="W11" i="11"/>
  <c r="Q11" i="11"/>
  <c r="P11" i="11"/>
  <c r="O11" i="11"/>
  <c r="I11" i="11"/>
  <c r="H11" i="11"/>
  <c r="G11" i="11"/>
  <c r="BM10" i="11"/>
  <c r="BE10" i="11"/>
  <c r="AW10" i="11"/>
  <c r="AO10" i="11"/>
  <c r="AG10" i="11"/>
  <c r="Y10" i="11"/>
  <c r="X10" i="11"/>
  <c r="W10" i="11"/>
  <c r="Q10" i="11"/>
  <c r="P10" i="11"/>
  <c r="O10" i="11"/>
  <c r="H10" i="11"/>
  <c r="I10" i="11" s="1"/>
  <c r="G10" i="11"/>
  <c r="C13" i="11"/>
  <c r="A13" i="11"/>
  <c r="A1" i="10"/>
  <c r="H10" i="5"/>
  <c r="I10" i="5" s="1"/>
  <c r="G10" i="5"/>
  <c r="K11" i="3" l="1"/>
  <c r="L11" i="3"/>
  <c r="AI9" i="3"/>
  <c r="AI8" i="3"/>
  <c r="AJ8" i="3"/>
  <c r="AC11" i="3"/>
  <c r="AE11" i="3" s="1"/>
  <c r="AI11" i="3"/>
  <c r="AI10" i="3"/>
  <c r="AC8" i="3"/>
  <c r="K9" i="3"/>
  <c r="L9" i="3"/>
  <c r="K8" i="3"/>
  <c r="K10" i="3"/>
  <c r="L10" i="3"/>
  <c r="AC10" i="3"/>
  <c r="AE10" i="3" s="1"/>
  <c r="S8" i="10"/>
  <c r="T8" i="10" s="1"/>
  <c r="AE9" i="10"/>
  <c r="AS10" i="10"/>
  <c r="AS9" i="10"/>
  <c r="AD39" i="11"/>
  <c r="F39" i="11"/>
  <c r="AL37" i="11"/>
  <c r="BB34" i="11"/>
  <c r="BJ33" i="11"/>
  <c r="F33" i="11"/>
  <c r="BC32" i="11"/>
  <c r="V31" i="11"/>
  <c r="AD30" i="11"/>
  <c r="AL29" i="11"/>
  <c r="AD27" i="11"/>
  <c r="AD40" i="11"/>
  <c r="F40" i="11"/>
  <c r="BB37" i="11"/>
  <c r="BJ36" i="11"/>
  <c r="AT36" i="11"/>
  <c r="F36" i="11"/>
  <c r="V34" i="11"/>
  <c r="AD33" i="11"/>
  <c r="AL32" i="11"/>
  <c r="BB29" i="11"/>
  <c r="BJ28" i="11"/>
  <c r="AT28" i="11"/>
  <c r="F28" i="11"/>
  <c r="F31" i="11"/>
  <c r="BB39" i="11"/>
  <c r="AL39" i="11"/>
  <c r="BK38" i="11"/>
  <c r="AE37" i="11"/>
  <c r="N36" i="11"/>
  <c r="BB35" i="11"/>
  <c r="BJ34" i="11"/>
  <c r="AT34" i="11"/>
  <c r="F34" i="11"/>
  <c r="BC33" i="11"/>
  <c r="BK32" i="11"/>
  <c r="V32" i="11"/>
  <c r="AD31" i="11"/>
  <c r="AL30" i="11"/>
  <c r="BK39" i="11"/>
  <c r="AU38" i="11"/>
  <c r="AT37" i="11"/>
  <c r="BC36" i="11"/>
  <c r="BK35" i="11"/>
  <c r="AE32" i="11"/>
  <c r="F29" i="11"/>
  <c r="BC28" i="11"/>
  <c r="BK40" i="11"/>
  <c r="AU39" i="11"/>
  <c r="AE38" i="11"/>
  <c r="AE35" i="11"/>
  <c r="N34" i="11"/>
  <c r="AT32" i="11"/>
  <c r="F32" i="11"/>
  <c r="BC31" i="11"/>
  <c r="BK30" i="11"/>
  <c r="V30" i="11"/>
  <c r="AD29" i="11"/>
  <c r="AE39" i="11"/>
  <c r="N37" i="11"/>
  <c r="AT35" i="11"/>
  <c r="BC34" i="11"/>
  <c r="BK33" i="11"/>
  <c r="AE30" i="11"/>
  <c r="N29" i="11"/>
  <c r="AL27" i="11"/>
  <c r="S27" i="11"/>
  <c r="V27" i="11" s="1"/>
  <c r="C27" i="11"/>
  <c r="F27" i="11" s="1"/>
  <c r="N27" i="11"/>
  <c r="BB27" i="11"/>
  <c r="BK27" i="11"/>
  <c r="AE27" i="11"/>
  <c r="AT27" i="11"/>
  <c r="S10" i="11"/>
  <c r="AA12" i="11"/>
  <c r="K13" i="11"/>
  <c r="AA13" i="11"/>
  <c r="BG10" i="11"/>
  <c r="BG13" i="11"/>
  <c r="BG12" i="11"/>
  <c r="AA11" i="11"/>
  <c r="AQ13" i="11"/>
  <c r="S13" i="11"/>
  <c r="AI13" i="11"/>
  <c r="AQ12" i="11"/>
  <c r="AY13" i="11"/>
  <c r="C12" i="11"/>
  <c r="S12" i="11"/>
  <c r="AI12" i="11"/>
  <c r="AY12" i="11"/>
  <c r="AY11" i="11"/>
  <c r="AM40" i="11"/>
  <c r="AM39" i="11"/>
  <c r="AM38" i="11"/>
  <c r="AM37" i="11"/>
  <c r="AM36" i="11"/>
  <c r="AM35" i="11"/>
  <c r="AM34" i="11"/>
  <c r="AM33" i="11"/>
  <c r="AM32" i="11"/>
  <c r="AM31" i="11"/>
  <c r="AM30" i="11"/>
  <c r="AM29" i="11"/>
  <c r="AM28" i="11"/>
  <c r="AM27" i="11"/>
  <c r="AV37" i="11"/>
  <c r="AV36" i="11"/>
  <c r="AV35" i="11"/>
  <c r="AV34" i="11"/>
  <c r="AV33" i="11"/>
  <c r="AV32" i="11"/>
  <c r="AV31" i="11"/>
  <c r="AV30" i="11"/>
  <c r="AV29" i="11"/>
  <c r="AV28" i="11"/>
  <c r="AV27" i="11"/>
  <c r="R10" i="10"/>
  <c r="Y10" i="10"/>
  <c r="AD10" i="10"/>
  <c r="S9" i="10"/>
  <c r="R9" i="10"/>
  <c r="AK9" i="10"/>
  <c r="AJ9" i="10"/>
  <c r="AD9" i="10"/>
  <c r="Y9" i="10"/>
  <c r="X9" i="10"/>
  <c r="X8" i="10"/>
  <c r="Y8" i="10"/>
  <c r="L10" i="10"/>
  <c r="M10" i="10"/>
  <c r="AP8" i="10"/>
  <c r="AR8" i="10" s="1"/>
  <c r="AW8" i="10"/>
  <c r="AV8" i="10"/>
  <c r="L8" i="10"/>
  <c r="M8" i="10"/>
  <c r="L9" i="10"/>
  <c r="M9" i="10"/>
  <c r="G9" i="10"/>
  <c r="F9" i="10"/>
  <c r="I9" i="10" s="1"/>
  <c r="G8" i="10"/>
  <c r="F8" i="10"/>
  <c r="F10" i="10"/>
  <c r="AJ8" i="10"/>
  <c r="AV9" i="10"/>
  <c r="AX9" i="10" s="1"/>
  <c r="AJ10" i="10"/>
  <c r="AL10" i="10" s="1"/>
  <c r="AK8" i="10"/>
  <c r="AV10" i="10"/>
  <c r="AX10" i="10" s="1"/>
  <c r="AD8" i="10"/>
  <c r="U8" i="10" l="1"/>
  <c r="U10" i="11"/>
  <c r="AL9" i="10"/>
  <c r="AF9" i="10"/>
  <c r="BI11" i="11" s="1"/>
  <c r="AL8" i="10"/>
  <c r="Z10" i="10"/>
  <c r="AK12" i="11" s="1"/>
  <c r="AA10" i="10"/>
  <c r="AA9" i="10"/>
  <c r="O10" i="10"/>
  <c r="AF10" i="10"/>
  <c r="BI12" i="11" s="1"/>
  <c r="AG10" i="10"/>
  <c r="BA12" i="11"/>
  <c r="AY10" i="10"/>
  <c r="AS12" i="11"/>
  <c r="AM10" i="10"/>
  <c r="T10" i="10"/>
  <c r="U12" i="11" s="1"/>
  <c r="U10" i="10"/>
  <c r="H10" i="10"/>
  <c r="E12" i="11" s="1"/>
  <c r="I10" i="10"/>
  <c r="O9" i="10"/>
  <c r="AG9" i="10"/>
  <c r="U9" i="10"/>
  <c r="BA11" i="11"/>
  <c r="AY9" i="10"/>
  <c r="AS8" i="10"/>
  <c r="AC10" i="11"/>
  <c r="H9" i="10"/>
  <c r="E11" i="11" s="1"/>
  <c r="Z9" i="10"/>
  <c r="AK11" i="11" s="1"/>
  <c r="N8" i="10"/>
  <c r="M10" i="11" s="1"/>
  <c r="N9" i="10"/>
  <c r="M11" i="11" s="1"/>
  <c r="N10" i="10"/>
  <c r="M12" i="11" s="1"/>
  <c r="H8" i="10"/>
  <c r="E10" i="11" s="1"/>
  <c r="AX8" i="10"/>
  <c r="Z8" i="10"/>
  <c r="AK10" i="11" s="1"/>
  <c r="O8" i="10"/>
  <c r="AA8" i="10"/>
  <c r="I8" i="10"/>
  <c r="T9" i="10"/>
  <c r="U11" i="11" s="1"/>
  <c r="AG8" i="10"/>
  <c r="AF8" i="10"/>
  <c r="BI10" i="11" s="1"/>
  <c r="AS11" i="11" l="1"/>
  <c r="AM9" i="10"/>
  <c r="AM8" i="10"/>
  <c r="AS10" i="11"/>
  <c r="AY8" i="10"/>
  <c r="BA10" i="11"/>
  <c r="AO8" i="3" l="1"/>
  <c r="F11" i="11"/>
  <c r="N13" i="11"/>
  <c r="V11" i="11" l="1"/>
  <c r="N10" i="11"/>
  <c r="F10" i="11"/>
  <c r="V13" i="11"/>
  <c r="N12" i="11"/>
  <c r="F13" i="11"/>
  <c r="N11" i="11"/>
  <c r="V12" i="11"/>
  <c r="V10" i="11"/>
  <c r="F12" i="11"/>
  <c r="AQ8" i="3"/>
  <c r="BI10" i="5" s="1"/>
  <c r="BM14" i="5" l="1"/>
  <c r="BK14" i="5"/>
  <c r="BM13" i="5"/>
  <c r="BK13" i="5"/>
  <c r="BK12" i="5"/>
  <c r="BK11" i="5"/>
  <c r="BK10" i="5"/>
  <c r="BE14" i="5"/>
  <c r="BC14" i="5"/>
  <c r="BE13" i="5"/>
  <c r="BC13" i="5"/>
  <c r="BE12" i="5"/>
  <c r="BC12" i="5"/>
  <c r="BE11" i="5"/>
  <c r="BC11" i="5"/>
  <c r="BE10" i="5"/>
  <c r="BC10" i="5"/>
  <c r="BL13" i="11" l="1"/>
  <c r="BJ13" i="11"/>
  <c r="AV13" i="11" l="1"/>
  <c r="AT13" i="11"/>
  <c r="AN13" i="11"/>
  <c r="AL13" i="11"/>
  <c r="AF13" i="11"/>
  <c r="AD13" i="11"/>
  <c r="BD13" i="11"/>
  <c r="BB13" i="11"/>
  <c r="G14" i="5" l="1"/>
  <c r="H14" i="5"/>
  <c r="I14" i="5"/>
  <c r="W14" i="5"/>
  <c r="X14" i="5"/>
  <c r="Y14" i="5"/>
  <c r="AO14" i="5"/>
  <c r="AU14" i="5"/>
  <c r="AE14" i="5" l="1"/>
  <c r="AM14" i="5"/>
  <c r="AU11" i="3" l="1"/>
  <c r="AW11" i="3" s="1"/>
  <c r="A14" i="5"/>
  <c r="AU10" i="3"/>
  <c r="AW10" i="3" s="1"/>
  <c r="AU9" i="3"/>
  <c r="AW9" i="3" s="1"/>
  <c r="W10" i="3"/>
  <c r="BG12" i="5"/>
  <c r="BL12" i="5" s="1"/>
  <c r="BM12" i="5" s="1"/>
  <c r="W11" i="3"/>
  <c r="AP9" i="3"/>
  <c r="AO9" i="3"/>
  <c r="BG13" i="5"/>
  <c r="BL13" i="5" s="1"/>
  <c r="AP11" i="3"/>
  <c r="AQ11" i="3" s="1"/>
  <c r="AY12" i="5"/>
  <c r="BG11" i="5"/>
  <c r="AY13" i="5"/>
  <c r="AY11" i="5"/>
  <c r="AP10" i="3"/>
  <c r="AQ10" i="3" s="1"/>
  <c r="AK9" i="3"/>
  <c r="W9" i="3"/>
  <c r="AK10" i="3"/>
  <c r="AK11" i="3"/>
  <c r="Y9" i="3" l="1"/>
  <c r="AC11" i="5" s="1"/>
  <c r="Y11" i="3"/>
  <c r="AC13" i="5" s="1"/>
  <c r="AE9" i="3"/>
  <c r="AK11" i="5" s="1"/>
  <c r="Y10" i="3"/>
  <c r="AC12" i="5" s="1"/>
  <c r="AQ9" i="3"/>
  <c r="BI11" i="5" s="1"/>
  <c r="BI13" i="5"/>
  <c r="AK13" i="5"/>
  <c r="BA11" i="5"/>
  <c r="BI12" i="5"/>
  <c r="AX11" i="3"/>
  <c r="AK12" i="5"/>
  <c r="AX9" i="3"/>
  <c r="AX10" i="3"/>
  <c r="BA13" i="5"/>
  <c r="BA12" i="5"/>
  <c r="BJ12" i="5"/>
  <c r="BJ13" i="5"/>
  <c r="BD11" i="5"/>
  <c r="BB11" i="5"/>
  <c r="BD12" i="5"/>
  <c r="BB12" i="5"/>
  <c r="BD13" i="5"/>
  <c r="BB13" i="5"/>
  <c r="BJ11" i="5"/>
  <c r="BL11" i="5"/>
  <c r="BM11" i="5" s="1"/>
  <c r="AS13" i="5" l="1"/>
  <c r="AL11" i="3"/>
  <c r="AS12" i="5"/>
  <c r="AS11" i="5"/>
  <c r="AR11" i="3"/>
  <c r="Z11" i="3"/>
  <c r="AF11" i="3"/>
  <c r="AF10" i="3"/>
  <c r="Z9" i="3"/>
  <c r="Z10" i="3"/>
  <c r="AL9" i="3"/>
  <c r="AR10" i="3"/>
  <c r="AR9" i="3"/>
  <c r="AL10" i="3"/>
  <c r="AF9" i="3"/>
  <c r="K14" i="5"/>
  <c r="N14" i="5" s="1"/>
  <c r="C14" i="5"/>
  <c r="F14" i="5" s="1"/>
  <c r="BG14" i="5"/>
  <c r="BL14" i="5" s="1"/>
  <c r="BL10" i="11"/>
  <c r="BJ10" i="11"/>
  <c r="AY14" i="5"/>
  <c r="BB14" i="5" s="1"/>
  <c r="BD11" i="11"/>
  <c r="BB11" i="11"/>
  <c r="AV12" i="11"/>
  <c r="AT12" i="11"/>
  <c r="O14" i="5"/>
  <c r="P14" i="5"/>
  <c r="S14" i="5"/>
  <c r="V14" i="5" s="1"/>
  <c r="AI14" i="5"/>
  <c r="AA14" i="5"/>
  <c r="AQ14" i="5"/>
  <c r="B43" i="5"/>
  <c r="G43" i="5" s="1"/>
  <c r="J43" i="5"/>
  <c r="O43" i="5" s="1"/>
  <c r="B44" i="5"/>
  <c r="G44" i="5" s="1"/>
  <c r="J44" i="5"/>
  <c r="O44" i="5" s="1"/>
  <c r="B45" i="5"/>
  <c r="G45" i="5" s="1"/>
  <c r="J45" i="5"/>
  <c r="O45" i="5" s="1"/>
  <c r="BD14" i="5" l="1"/>
  <c r="BJ14" i="5"/>
  <c r="BB12" i="11"/>
  <c r="BD12" i="11"/>
  <c r="AN12" i="11"/>
  <c r="AL12" i="11"/>
  <c r="AV11" i="11"/>
  <c r="AT11" i="11"/>
  <c r="AT10" i="11"/>
  <c r="AV10" i="11"/>
  <c r="AL11" i="11"/>
  <c r="AN11" i="11"/>
  <c r="BD10" i="11"/>
  <c r="BB10" i="11"/>
  <c r="BL12" i="11"/>
  <c r="BJ12" i="11"/>
  <c r="BJ11" i="11"/>
  <c r="BL11" i="11"/>
  <c r="AF11" i="11"/>
  <c r="AD11" i="11"/>
  <c r="AF10" i="11"/>
  <c r="AD10" i="11"/>
  <c r="AF12" i="11"/>
  <c r="AD12" i="11"/>
  <c r="AL10" i="11"/>
  <c r="AN10" i="11"/>
  <c r="Q14" i="5"/>
  <c r="AN14" i="5"/>
  <c r="AL14" i="5"/>
  <c r="AF14" i="5"/>
  <c r="AG14" i="5" s="1"/>
  <c r="AD14" i="5"/>
  <c r="AV14" i="5"/>
  <c r="AW14" i="5" s="1"/>
  <c r="AT14" i="5"/>
  <c r="K45" i="5"/>
  <c r="P45" i="5" s="1"/>
  <c r="Q45" i="5" s="1"/>
  <c r="C45" i="5"/>
  <c r="H45" i="5" s="1"/>
  <c r="I45" i="5" s="1"/>
  <c r="A45" i="5"/>
  <c r="F45" i="5" l="1"/>
  <c r="N45" i="5"/>
  <c r="A43" i="5" l="1"/>
  <c r="C43" i="5"/>
  <c r="H43" i="5" s="1"/>
  <c r="I43" i="5" s="1"/>
  <c r="K43" i="5"/>
  <c r="P43" i="5" s="1"/>
  <c r="Q43" i="5" s="1"/>
  <c r="A44" i="5"/>
  <c r="C44" i="5"/>
  <c r="H44" i="5" s="1"/>
  <c r="I44" i="5" s="1"/>
  <c r="K44" i="5"/>
  <c r="P44" i="5" s="1"/>
  <c r="Q44" i="5" s="1"/>
  <c r="N44" i="5" l="1"/>
  <c r="F43" i="5"/>
  <c r="F44" i="5"/>
  <c r="N43" i="5"/>
  <c r="BG10" i="5" l="1"/>
  <c r="Q9" i="3" l="1"/>
  <c r="AY10" i="5"/>
  <c r="BL10" i="5"/>
  <c r="BM10" i="5" s="1"/>
  <c r="BJ10" i="5"/>
  <c r="Q11" i="3"/>
  <c r="Q10" i="3"/>
  <c r="S10" i="3" s="1"/>
  <c r="S9" i="3" l="1"/>
  <c r="U11" i="5" s="1"/>
  <c r="S11" i="3"/>
  <c r="U13" i="5" s="1"/>
  <c r="U12" i="5"/>
  <c r="AE8" i="3"/>
  <c r="AK10" i="5" s="1"/>
  <c r="AK8" i="3"/>
  <c r="BD10" i="5"/>
  <c r="BB10" i="5"/>
  <c r="AF8" i="3" l="1"/>
  <c r="AL8" i="3"/>
  <c r="BA10" i="5"/>
  <c r="T11" i="3"/>
  <c r="M11" i="3" l="1"/>
  <c r="M13" i="5" l="1"/>
  <c r="N11" i="3"/>
  <c r="M10" i="3" l="1"/>
  <c r="M9" i="3"/>
  <c r="M11" i="5" l="1"/>
  <c r="M12" i="5"/>
  <c r="N10" i="3"/>
  <c r="N9" i="3"/>
  <c r="T10" i="3" l="1"/>
  <c r="T9" i="3" l="1"/>
  <c r="Q8" i="3" l="1"/>
  <c r="E9" i="3" l="1"/>
  <c r="E11" i="3"/>
  <c r="E10" i="3"/>
  <c r="T8" i="3"/>
  <c r="S8" i="3"/>
  <c r="U10" i="5" s="1"/>
  <c r="G11" i="3" l="1"/>
  <c r="E13" i="5" s="1"/>
  <c r="G10" i="3"/>
  <c r="E12" i="5" s="1"/>
  <c r="G9" i="3"/>
  <c r="E11" i="5" s="1"/>
  <c r="H11" i="3" l="1"/>
  <c r="H9" i="3"/>
  <c r="H10" i="3"/>
  <c r="C54" i="6"/>
  <c r="E54" i="6"/>
  <c r="H54" i="6"/>
  <c r="J54" i="6"/>
  <c r="C55" i="6"/>
  <c r="E55" i="6"/>
  <c r="H55" i="6"/>
  <c r="J55" i="6"/>
  <c r="C56" i="6"/>
  <c r="E56" i="6"/>
  <c r="H56" i="6"/>
  <c r="J56" i="6"/>
  <c r="C57" i="6"/>
  <c r="D57" i="6"/>
  <c r="E57" i="6"/>
  <c r="H57" i="6"/>
  <c r="I57" i="6"/>
  <c r="J57" i="6"/>
  <c r="C58" i="6"/>
  <c r="D58" i="6"/>
  <c r="E58" i="6"/>
  <c r="H58" i="6"/>
  <c r="I58" i="6"/>
  <c r="J58" i="6"/>
  <c r="C59" i="6"/>
  <c r="D59" i="6"/>
  <c r="E59" i="6"/>
  <c r="H59" i="6"/>
  <c r="I59" i="6"/>
  <c r="J59" i="6"/>
  <c r="B60" i="6"/>
  <c r="I56" i="6"/>
  <c r="I55" i="6"/>
  <c r="F58" i="6" l="1"/>
  <c r="G58" i="6" s="1"/>
  <c r="K59" i="6"/>
  <c r="L59" i="6" s="1"/>
  <c r="F59" i="6"/>
  <c r="G59" i="6" s="1"/>
  <c r="K57" i="6"/>
  <c r="L57" i="6" s="1"/>
  <c r="I54" i="6"/>
  <c r="K54" i="6" s="1"/>
  <c r="L54" i="6" s="1"/>
  <c r="K56" i="6"/>
  <c r="L56" i="6" s="1"/>
  <c r="K55" i="6"/>
  <c r="L55" i="6" s="1"/>
  <c r="K58" i="6"/>
  <c r="L58" i="6" s="1"/>
  <c r="F57" i="6"/>
  <c r="G57" i="6" s="1"/>
  <c r="AL32" i="6" l="1"/>
  <c r="AL33" i="6"/>
  <c r="AL34" i="6"/>
  <c r="AL31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9" i="6"/>
  <c r="AM23" i="6"/>
  <c r="AL23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9" i="6"/>
  <c r="AH23" i="6"/>
  <c r="B35" i="6"/>
  <c r="AI34" i="6"/>
  <c r="AG34" i="6"/>
  <c r="AD34" i="6"/>
  <c r="AB34" i="6"/>
  <c r="Y34" i="6"/>
  <c r="W34" i="6"/>
  <c r="T34" i="6"/>
  <c r="R34" i="6"/>
  <c r="O34" i="6"/>
  <c r="M34" i="6"/>
  <c r="J34" i="6"/>
  <c r="H34" i="6"/>
  <c r="AI33" i="6"/>
  <c r="AG33" i="6"/>
  <c r="AD33" i="6"/>
  <c r="AB33" i="6"/>
  <c r="Y33" i="6"/>
  <c r="W33" i="6"/>
  <c r="T33" i="6"/>
  <c r="R33" i="6"/>
  <c r="O33" i="6"/>
  <c r="M33" i="6"/>
  <c r="J33" i="6"/>
  <c r="H33" i="6"/>
  <c r="AI32" i="6"/>
  <c r="AG32" i="6"/>
  <c r="AD32" i="6"/>
  <c r="AB32" i="6"/>
  <c r="Y32" i="6"/>
  <c r="W32" i="6"/>
  <c r="T32" i="6"/>
  <c r="R32" i="6"/>
  <c r="O32" i="6"/>
  <c r="M32" i="6"/>
  <c r="J32" i="6"/>
  <c r="H32" i="6"/>
  <c r="B23" i="6"/>
  <c r="E44" i="6"/>
  <c r="H44" i="6"/>
  <c r="J44" i="6"/>
  <c r="E45" i="6"/>
  <c r="H45" i="6"/>
  <c r="J45" i="6"/>
  <c r="E46" i="6"/>
  <c r="H46" i="6"/>
  <c r="J46" i="6"/>
  <c r="E47" i="6"/>
  <c r="H47" i="6"/>
  <c r="J47" i="6"/>
  <c r="E48" i="6"/>
  <c r="H48" i="6"/>
  <c r="J48" i="6"/>
  <c r="E49" i="6"/>
  <c r="H49" i="6"/>
  <c r="J49" i="6"/>
  <c r="E50" i="6"/>
  <c r="H50" i="6"/>
  <c r="J50" i="6"/>
  <c r="E51" i="6"/>
  <c r="H51" i="6"/>
  <c r="J51" i="6"/>
  <c r="E52" i="6"/>
  <c r="H52" i="6"/>
  <c r="J52" i="6"/>
  <c r="E53" i="6"/>
  <c r="H53" i="6"/>
  <c r="J53" i="6"/>
  <c r="J43" i="6"/>
  <c r="E43" i="6"/>
  <c r="E32" i="6"/>
  <c r="E33" i="6"/>
  <c r="E34" i="6"/>
  <c r="AI31" i="6"/>
  <c r="AD31" i="6"/>
  <c r="Y31" i="6"/>
  <c r="T31" i="6"/>
  <c r="E31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9" i="6"/>
  <c r="E10" i="6"/>
  <c r="H10" i="6"/>
  <c r="M10" i="6"/>
  <c r="R10" i="6"/>
  <c r="T10" i="6"/>
  <c r="W10" i="6"/>
  <c r="Y10" i="6"/>
  <c r="AB10" i="6"/>
  <c r="AD10" i="6"/>
  <c r="E11" i="6"/>
  <c r="H11" i="6"/>
  <c r="M11" i="6"/>
  <c r="R11" i="6"/>
  <c r="T11" i="6"/>
  <c r="W11" i="6"/>
  <c r="Y11" i="6"/>
  <c r="AB11" i="6"/>
  <c r="AD11" i="6"/>
  <c r="E12" i="6"/>
  <c r="H12" i="6"/>
  <c r="M12" i="6"/>
  <c r="R12" i="6"/>
  <c r="T12" i="6"/>
  <c r="W12" i="6"/>
  <c r="Y12" i="6"/>
  <c r="AB12" i="6"/>
  <c r="AD12" i="6"/>
  <c r="E13" i="6"/>
  <c r="H13" i="6"/>
  <c r="M13" i="6"/>
  <c r="R13" i="6"/>
  <c r="T13" i="6"/>
  <c r="W13" i="6"/>
  <c r="Y13" i="6"/>
  <c r="AB13" i="6"/>
  <c r="AD13" i="6"/>
  <c r="E14" i="6"/>
  <c r="H14" i="6"/>
  <c r="M14" i="6"/>
  <c r="R14" i="6"/>
  <c r="T14" i="6"/>
  <c r="W14" i="6"/>
  <c r="Y14" i="6"/>
  <c r="AB14" i="6"/>
  <c r="AD14" i="6"/>
  <c r="E15" i="6"/>
  <c r="H15" i="6"/>
  <c r="M15" i="6"/>
  <c r="R15" i="6"/>
  <c r="T15" i="6"/>
  <c r="W15" i="6"/>
  <c r="Y15" i="6"/>
  <c r="AB15" i="6"/>
  <c r="AD15" i="6"/>
  <c r="E16" i="6"/>
  <c r="H16" i="6"/>
  <c r="J16" i="6"/>
  <c r="M16" i="6"/>
  <c r="R16" i="6"/>
  <c r="T16" i="6"/>
  <c r="W16" i="6"/>
  <c r="Y16" i="6"/>
  <c r="AB16" i="6"/>
  <c r="AD16" i="6"/>
  <c r="E17" i="6"/>
  <c r="H17" i="6"/>
  <c r="J17" i="6"/>
  <c r="M17" i="6"/>
  <c r="R17" i="6"/>
  <c r="T17" i="6"/>
  <c r="W17" i="6"/>
  <c r="Y17" i="6"/>
  <c r="AB17" i="6"/>
  <c r="AD17" i="6"/>
  <c r="E18" i="6"/>
  <c r="H18" i="6"/>
  <c r="J18" i="6"/>
  <c r="M18" i="6"/>
  <c r="R18" i="6"/>
  <c r="T18" i="6"/>
  <c r="W18" i="6"/>
  <c r="Y18" i="6"/>
  <c r="AB18" i="6"/>
  <c r="AD18" i="6"/>
  <c r="E19" i="6"/>
  <c r="H19" i="6"/>
  <c r="J19" i="6"/>
  <c r="M19" i="6"/>
  <c r="R19" i="6"/>
  <c r="T19" i="6"/>
  <c r="W19" i="6"/>
  <c r="Y19" i="6"/>
  <c r="AB19" i="6"/>
  <c r="AD19" i="6"/>
  <c r="E20" i="6"/>
  <c r="H20" i="6"/>
  <c r="J20" i="6"/>
  <c r="M20" i="6"/>
  <c r="R20" i="6"/>
  <c r="T20" i="6"/>
  <c r="W20" i="6"/>
  <c r="Y20" i="6"/>
  <c r="AB20" i="6"/>
  <c r="AD20" i="6"/>
  <c r="E21" i="6"/>
  <c r="H21" i="6"/>
  <c r="J21" i="6"/>
  <c r="M21" i="6"/>
  <c r="R21" i="6"/>
  <c r="T21" i="6"/>
  <c r="W21" i="6"/>
  <c r="Y21" i="6"/>
  <c r="AB21" i="6"/>
  <c r="AD21" i="6"/>
  <c r="E22" i="6"/>
  <c r="H22" i="6"/>
  <c r="J22" i="6"/>
  <c r="M22" i="6"/>
  <c r="R22" i="6"/>
  <c r="T22" i="6"/>
  <c r="W22" i="6"/>
  <c r="Y22" i="6"/>
  <c r="AB22" i="6"/>
  <c r="AD22" i="6"/>
  <c r="AD9" i="6"/>
  <c r="Y9" i="6"/>
  <c r="T9" i="6"/>
  <c r="E9" i="6"/>
  <c r="C53" i="6"/>
  <c r="C52" i="6"/>
  <c r="C51" i="6"/>
  <c r="C50" i="6"/>
  <c r="C49" i="6"/>
  <c r="C48" i="6"/>
  <c r="C47" i="6"/>
  <c r="C46" i="6"/>
  <c r="C45" i="6"/>
  <c r="C44" i="6"/>
  <c r="H43" i="6"/>
  <c r="C43" i="6"/>
  <c r="C34" i="6"/>
  <c r="C33" i="6"/>
  <c r="C32" i="6"/>
  <c r="AG31" i="6"/>
  <c r="AB31" i="6"/>
  <c r="W31" i="6"/>
  <c r="R31" i="6"/>
  <c r="M31" i="6"/>
  <c r="H31" i="6"/>
  <c r="C31" i="6"/>
  <c r="G25" i="6"/>
  <c r="AB23" i="6"/>
  <c r="W23" i="6"/>
  <c r="R23" i="6"/>
  <c r="M23" i="6"/>
  <c r="H23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AB9" i="6"/>
  <c r="W9" i="6"/>
  <c r="R9" i="6"/>
  <c r="M9" i="6"/>
  <c r="H9" i="6"/>
  <c r="C9" i="6"/>
  <c r="AO23" i="6" l="1"/>
  <c r="I53" i="6" l="1"/>
  <c r="K53" i="6" s="1"/>
  <c r="L53" i="6" s="1"/>
  <c r="I52" i="6" l="1"/>
  <c r="K52" i="6" s="1"/>
  <c r="L52" i="6" s="1"/>
  <c r="I51" i="6"/>
  <c r="K51" i="6" s="1"/>
  <c r="L51" i="6" s="1"/>
  <c r="I50" i="6"/>
  <c r="K50" i="6" s="1"/>
  <c r="L50" i="6" s="1"/>
  <c r="I49" i="6"/>
  <c r="K49" i="6" s="1"/>
  <c r="L49" i="6" s="1"/>
  <c r="I48" i="6"/>
  <c r="K48" i="6" s="1"/>
  <c r="L48" i="6" s="1"/>
  <c r="N22" i="6"/>
  <c r="P22" i="6" s="1"/>
  <c r="Q22" i="6" s="1"/>
  <c r="N21" i="6"/>
  <c r="P21" i="6" s="1"/>
  <c r="Q21" i="6" s="1"/>
  <c r="N20" i="6"/>
  <c r="P20" i="6" s="1"/>
  <c r="Q20" i="6" s="1"/>
  <c r="N19" i="6"/>
  <c r="P19" i="6" s="1"/>
  <c r="Q19" i="6" s="1"/>
  <c r="N18" i="6"/>
  <c r="P18" i="6" s="1"/>
  <c r="Q18" i="6" s="1"/>
  <c r="N17" i="6"/>
  <c r="P17" i="6" s="1"/>
  <c r="Q17" i="6" s="1"/>
  <c r="N16" i="6"/>
  <c r="P16" i="6" s="1"/>
  <c r="Q16" i="6" s="1"/>
  <c r="N15" i="6"/>
  <c r="P15" i="6" s="1"/>
  <c r="Q15" i="6" s="1"/>
  <c r="N14" i="6"/>
  <c r="P14" i="6" s="1"/>
  <c r="Q14" i="6" s="1"/>
  <c r="N13" i="6"/>
  <c r="P13" i="6" s="1"/>
  <c r="Q13" i="6" s="1"/>
  <c r="N12" i="6"/>
  <c r="P12" i="6" s="1"/>
  <c r="Q12" i="6" s="1"/>
  <c r="N11" i="6"/>
  <c r="P11" i="6" s="1"/>
  <c r="Q11" i="6" s="1"/>
  <c r="N10" i="6"/>
  <c r="P10" i="6" s="1"/>
  <c r="Q10" i="6" s="1"/>
  <c r="N23" i="6" l="1"/>
  <c r="P23" i="6" s="1"/>
  <c r="AC11" i="6"/>
  <c r="AE11" i="6" s="1"/>
  <c r="AF11" i="6" s="1"/>
  <c r="AC13" i="6"/>
  <c r="AE13" i="6" s="1"/>
  <c r="AF13" i="6" s="1"/>
  <c r="AC19" i="6"/>
  <c r="AE19" i="6" s="1"/>
  <c r="AF19" i="6" s="1"/>
  <c r="S34" i="6"/>
  <c r="U34" i="6" s="1"/>
  <c r="V34" i="6" s="1"/>
  <c r="I46" i="6"/>
  <c r="K46" i="6" s="1"/>
  <c r="L46" i="6" s="1"/>
  <c r="AC10" i="6"/>
  <c r="AE10" i="6" s="1"/>
  <c r="AF10" i="6" s="1"/>
  <c r="AC12" i="6"/>
  <c r="AE12" i="6" s="1"/>
  <c r="AF12" i="6" s="1"/>
  <c r="AC14" i="6"/>
  <c r="AE14" i="6" s="1"/>
  <c r="AF14" i="6" s="1"/>
  <c r="AC16" i="6"/>
  <c r="AE16" i="6" s="1"/>
  <c r="AF16" i="6" s="1"/>
  <c r="AC18" i="6"/>
  <c r="AE18" i="6" s="1"/>
  <c r="AF18" i="6" s="1"/>
  <c r="AC20" i="6"/>
  <c r="AE20" i="6" s="1"/>
  <c r="AF20" i="6" s="1"/>
  <c r="AC22" i="6"/>
  <c r="AE22" i="6" s="1"/>
  <c r="AF22" i="6" s="1"/>
  <c r="I43" i="6"/>
  <c r="K43" i="6" s="1"/>
  <c r="L43" i="6" s="1"/>
  <c r="I47" i="6"/>
  <c r="K47" i="6" s="1"/>
  <c r="L47" i="6" s="1"/>
  <c r="AC15" i="6"/>
  <c r="AE15" i="6" s="1"/>
  <c r="AF15" i="6" s="1"/>
  <c r="AC17" i="6"/>
  <c r="AE17" i="6" s="1"/>
  <c r="AF17" i="6" s="1"/>
  <c r="AC21" i="6"/>
  <c r="AE21" i="6" s="1"/>
  <c r="AF21" i="6" s="1"/>
  <c r="AG23" i="6"/>
  <c r="AJ23" i="6" s="1"/>
  <c r="AC23" i="6"/>
  <c r="AE23" i="6" s="1"/>
  <c r="S33" i="6"/>
  <c r="U33" i="6" s="1"/>
  <c r="V33" i="6" s="1"/>
  <c r="I45" i="6"/>
  <c r="K45" i="6" s="1"/>
  <c r="L45" i="6" s="1"/>
  <c r="S32" i="6"/>
  <c r="U32" i="6" s="1"/>
  <c r="V32" i="6" s="1"/>
  <c r="I44" i="6"/>
  <c r="K44" i="6" s="1"/>
  <c r="L44" i="6" s="1"/>
  <c r="L60" i="6" l="1"/>
  <c r="L61" i="6" s="1"/>
  <c r="AM34" i="6" l="1"/>
  <c r="AO34" i="6" s="1"/>
  <c r="AP34" i="6" s="1"/>
  <c r="N34" i="6"/>
  <c r="P34" i="6" s="1"/>
  <c r="Q34" i="6" s="1"/>
  <c r="AC33" i="6"/>
  <c r="AE33" i="6" s="1"/>
  <c r="AF33" i="6" s="1"/>
  <c r="AM33" i="6"/>
  <c r="AO33" i="6" s="1"/>
  <c r="AP33" i="6" s="1"/>
  <c r="AM32" i="6"/>
  <c r="AO32" i="6" s="1"/>
  <c r="AP32" i="6" s="1"/>
  <c r="X23" i="6"/>
  <c r="Z23" i="6" s="1"/>
  <c r="AH22" i="6"/>
  <c r="AJ22" i="6" s="1"/>
  <c r="AK22" i="6" s="1"/>
  <c r="X22" i="6"/>
  <c r="Z22" i="6" s="1"/>
  <c r="AA22" i="6" s="1"/>
  <c r="I22" i="6"/>
  <c r="K22" i="6" s="1"/>
  <c r="L22" i="6" s="1"/>
  <c r="AH21" i="6"/>
  <c r="AJ21" i="6" s="1"/>
  <c r="AK21" i="6" s="1"/>
  <c r="I21" i="6"/>
  <c r="K21" i="6" s="1"/>
  <c r="L21" i="6" s="1"/>
  <c r="AM20" i="6"/>
  <c r="AO20" i="6" s="1"/>
  <c r="AP20" i="6" s="1"/>
  <c r="AH20" i="6"/>
  <c r="AJ20" i="6" s="1"/>
  <c r="AK20" i="6" s="1"/>
  <c r="I20" i="6"/>
  <c r="K20" i="6" s="1"/>
  <c r="L20" i="6" s="1"/>
  <c r="AH19" i="6"/>
  <c r="AJ19" i="6" s="1"/>
  <c r="AK19" i="6" s="1"/>
  <c r="I19" i="6"/>
  <c r="K19" i="6" s="1"/>
  <c r="L19" i="6" s="1"/>
  <c r="AH18" i="6"/>
  <c r="AJ18" i="6" s="1"/>
  <c r="AK18" i="6" s="1"/>
  <c r="I18" i="6"/>
  <c r="K18" i="6" s="1"/>
  <c r="L18" i="6" s="1"/>
  <c r="AH17" i="6"/>
  <c r="AJ17" i="6" s="1"/>
  <c r="AK17" i="6" s="1"/>
  <c r="I17" i="6"/>
  <c r="K17" i="6" s="1"/>
  <c r="L17" i="6" s="1"/>
  <c r="AH16" i="6"/>
  <c r="AJ16" i="6" s="1"/>
  <c r="AK16" i="6" s="1"/>
  <c r="I16" i="6"/>
  <c r="K16" i="6" s="1"/>
  <c r="L16" i="6" s="1"/>
  <c r="AH15" i="6"/>
  <c r="AJ15" i="6" s="1"/>
  <c r="AK15" i="6" s="1"/>
  <c r="I15" i="6"/>
  <c r="AH14" i="6"/>
  <c r="AJ14" i="6" s="1"/>
  <c r="AK14" i="6" s="1"/>
  <c r="AH13" i="6"/>
  <c r="AJ13" i="6" s="1"/>
  <c r="AK13" i="6" s="1"/>
  <c r="AH12" i="6"/>
  <c r="AJ12" i="6" s="1"/>
  <c r="AK12" i="6" s="1"/>
  <c r="AH11" i="6"/>
  <c r="AJ11" i="6" s="1"/>
  <c r="AK11" i="6" s="1"/>
  <c r="AH10" i="6"/>
  <c r="AJ10" i="6" s="1"/>
  <c r="AK10" i="6" s="1"/>
  <c r="X10" i="6"/>
  <c r="Z10" i="6" s="1"/>
  <c r="AA10" i="6" s="1"/>
  <c r="I23" i="6" l="1"/>
  <c r="K23" i="6" s="1"/>
  <c r="X12" i="6"/>
  <c r="Z12" i="6" s="1"/>
  <c r="AA12" i="6" s="1"/>
  <c r="X14" i="6"/>
  <c r="Z14" i="6" s="1"/>
  <c r="AA14" i="6" s="1"/>
  <c r="X17" i="6"/>
  <c r="Z17" i="6" s="1"/>
  <c r="AA17" i="6" s="1"/>
  <c r="AC32" i="6"/>
  <c r="AE32" i="6" s="1"/>
  <c r="AF32" i="6" s="1"/>
  <c r="AC34" i="6"/>
  <c r="AE34" i="6" s="1"/>
  <c r="AF34" i="6" s="1"/>
  <c r="AM10" i="6"/>
  <c r="AO10" i="6" s="1"/>
  <c r="AP10" i="6" s="1"/>
  <c r="AM11" i="6"/>
  <c r="AO11" i="6" s="1"/>
  <c r="AP11" i="6" s="1"/>
  <c r="AM12" i="6"/>
  <c r="AO12" i="6" s="1"/>
  <c r="AP12" i="6" s="1"/>
  <c r="AM13" i="6"/>
  <c r="AO13" i="6" s="1"/>
  <c r="AP13" i="6" s="1"/>
  <c r="AM14" i="6"/>
  <c r="AO14" i="6" s="1"/>
  <c r="AP14" i="6" s="1"/>
  <c r="AM15" i="6"/>
  <c r="AO15" i="6" s="1"/>
  <c r="AP15" i="6" s="1"/>
  <c r="AM16" i="6"/>
  <c r="AO16" i="6" s="1"/>
  <c r="AP16" i="6" s="1"/>
  <c r="AM17" i="6"/>
  <c r="AO17" i="6" s="1"/>
  <c r="AP17" i="6" s="1"/>
  <c r="AM18" i="6"/>
  <c r="AO18" i="6" s="1"/>
  <c r="AP18" i="6" s="1"/>
  <c r="AM19" i="6"/>
  <c r="AO19" i="6" s="1"/>
  <c r="AP19" i="6" s="1"/>
  <c r="AM21" i="6"/>
  <c r="AO21" i="6" s="1"/>
  <c r="AP21" i="6" s="1"/>
  <c r="AM22" i="6"/>
  <c r="AO22" i="6" s="1"/>
  <c r="AP22" i="6" s="1"/>
  <c r="I32" i="6"/>
  <c r="K32" i="6" s="1"/>
  <c r="L32" i="6" s="1"/>
  <c r="I33" i="6"/>
  <c r="K33" i="6" s="1"/>
  <c r="L33" i="6" s="1"/>
  <c r="I34" i="6"/>
  <c r="K34" i="6" s="1"/>
  <c r="L34" i="6" s="1"/>
  <c r="X11" i="6"/>
  <c r="Z11" i="6" s="1"/>
  <c r="AA11" i="6" s="1"/>
  <c r="X13" i="6"/>
  <c r="Z13" i="6" s="1"/>
  <c r="AA13" i="6" s="1"/>
  <c r="X15" i="6"/>
  <c r="Z15" i="6" s="1"/>
  <c r="AA15" i="6" s="1"/>
  <c r="X16" i="6"/>
  <c r="Z16" i="6" s="1"/>
  <c r="AA16" i="6" s="1"/>
  <c r="X18" i="6"/>
  <c r="Z18" i="6" s="1"/>
  <c r="AA18" i="6" s="1"/>
  <c r="X19" i="6"/>
  <c r="Z19" i="6" s="1"/>
  <c r="AA19" i="6" s="1"/>
  <c r="X20" i="6"/>
  <c r="Z20" i="6" s="1"/>
  <c r="AA20" i="6" s="1"/>
  <c r="X21" i="6"/>
  <c r="Z21" i="6" s="1"/>
  <c r="AA21" i="6" s="1"/>
  <c r="I10" i="6"/>
  <c r="I11" i="6"/>
  <c r="I12" i="6"/>
  <c r="I13" i="6"/>
  <c r="I14" i="6"/>
  <c r="N32" i="6"/>
  <c r="P32" i="6" s="1"/>
  <c r="Q32" i="6" s="1"/>
  <c r="N33" i="6"/>
  <c r="P33" i="6" s="1"/>
  <c r="Q33" i="6" s="1"/>
  <c r="S20" i="6" l="1"/>
  <c r="U20" i="6" s="1"/>
  <c r="V20" i="6" s="1"/>
  <c r="D32" i="6"/>
  <c r="F32" i="6" s="1"/>
  <c r="G32" i="6" s="1"/>
  <c r="X32" i="6"/>
  <c r="Z32" i="6" s="1"/>
  <c r="AA32" i="6" s="1"/>
  <c r="S19" i="6"/>
  <c r="U19" i="6" s="1"/>
  <c r="V19" i="6" s="1"/>
  <c r="D18" i="6"/>
  <c r="F18" i="6" s="1"/>
  <c r="G18" i="6" s="1"/>
  <c r="X34" i="6"/>
  <c r="Z34" i="6" s="1"/>
  <c r="AA34" i="6" s="1"/>
  <c r="S23" i="6"/>
  <c r="U23" i="6" s="1"/>
  <c r="D34" i="6"/>
  <c r="F34" i="6" s="1"/>
  <c r="G34" i="6" s="1"/>
  <c r="D10" i="6"/>
  <c r="F10" i="6" s="1"/>
  <c r="G10" i="6" s="1"/>
  <c r="D12" i="6"/>
  <c r="F12" i="6" s="1"/>
  <c r="G12" i="6" s="1"/>
  <c r="D14" i="6"/>
  <c r="F14" i="6" s="1"/>
  <c r="G14" i="6" s="1"/>
  <c r="D16" i="6"/>
  <c r="F16" i="6" s="1"/>
  <c r="G16" i="6" s="1"/>
  <c r="D20" i="6"/>
  <c r="F20" i="6" s="1"/>
  <c r="G20" i="6" s="1"/>
  <c r="D22" i="6"/>
  <c r="F22" i="6" s="1"/>
  <c r="G22" i="6" s="1"/>
  <c r="X33" i="6"/>
  <c r="Z33" i="6" s="1"/>
  <c r="AA33" i="6" s="1"/>
  <c r="S12" i="6"/>
  <c r="U12" i="6" s="1"/>
  <c r="V12" i="6" s="1"/>
  <c r="S14" i="6"/>
  <c r="U14" i="6" s="1"/>
  <c r="V14" i="6" s="1"/>
  <c r="S16" i="6"/>
  <c r="U16" i="6" s="1"/>
  <c r="V16" i="6" s="1"/>
  <c r="S18" i="6"/>
  <c r="U18" i="6" s="1"/>
  <c r="V18" i="6" s="1"/>
  <c r="S22" i="6"/>
  <c r="U22" i="6" s="1"/>
  <c r="V22" i="6" s="1"/>
  <c r="AM31" i="6"/>
  <c r="AO31" i="6" s="1"/>
  <c r="AP31" i="6" s="1"/>
  <c r="AP35" i="6" s="1"/>
  <c r="AP36" i="6" s="1"/>
  <c r="AH32" i="6"/>
  <c r="AJ32" i="6" s="1"/>
  <c r="AK32" i="6" s="1"/>
  <c r="AH33" i="6"/>
  <c r="AJ33" i="6" s="1"/>
  <c r="AK33" i="6" s="1"/>
  <c r="AH34" i="6"/>
  <c r="AJ34" i="6" s="1"/>
  <c r="AK34" i="6" s="1"/>
  <c r="S11" i="6"/>
  <c r="U11" i="6" s="1"/>
  <c r="V11" i="6" s="1"/>
  <c r="S13" i="6"/>
  <c r="U13" i="6" s="1"/>
  <c r="V13" i="6" s="1"/>
  <c r="S15" i="6"/>
  <c r="U15" i="6" s="1"/>
  <c r="V15" i="6" s="1"/>
  <c r="S17" i="6"/>
  <c r="U17" i="6" s="1"/>
  <c r="V17" i="6" s="1"/>
  <c r="S21" i="6"/>
  <c r="U21" i="6" s="1"/>
  <c r="V21" i="6" s="1"/>
  <c r="D33" i="6"/>
  <c r="F33" i="6" s="1"/>
  <c r="G33" i="6" s="1"/>
  <c r="S10" i="6"/>
  <c r="U10" i="6" s="1"/>
  <c r="V10" i="6" s="1"/>
  <c r="D11" i="6"/>
  <c r="F11" i="6" s="1"/>
  <c r="G11" i="6" s="1"/>
  <c r="D13" i="6"/>
  <c r="F13" i="6" s="1"/>
  <c r="G13" i="6" s="1"/>
  <c r="D15" i="6"/>
  <c r="F15" i="6" s="1"/>
  <c r="G15" i="6" s="1"/>
  <c r="D17" i="6"/>
  <c r="F17" i="6" s="1"/>
  <c r="G17" i="6" s="1"/>
  <c r="D19" i="6"/>
  <c r="F19" i="6" s="1"/>
  <c r="G19" i="6" s="1"/>
  <c r="D21" i="6"/>
  <c r="F21" i="6" s="1"/>
  <c r="G21" i="6" s="1"/>
  <c r="D23" i="6"/>
  <c r="F23" i="6" s="1"/>
  <c r="A32" i="6"/>
  <c r="A33" i="6"/>
  <c r="A34" i="6"/>
  <c r="A31" i="6" l="1"/>
  <c r="D31" i="6" l="1"/>
  <c r="F31" i="6" s="1"/>
  <c r="G31" i="6" s="1"/>
  <c r="G35" i="6" s="1"/>
  <c r="G36" i="6" s="1"/>
  <c r="S31" i="6"/>
  <c r="U31" i="6" s="1"/>
  <c r="V31" i="6" s="1"/>
  <c r="V35" i="6" s="1"/>
  <c r="V36" i="6" s="1"/>
  <c r="D50" i="6"/>
  <c r="F50" i="6" s="1"/>
  <c r="G50" i="6" s="1"/>
  <c r="D54" i="6"/>
  <c r="F54" i="6" s="1"/>
  <c r="G54" i="6" s="1"/>
  <c r="D55" i="6"/>
  <c r="F55" i="6" s="1"/>
  <c r="G55" i="6" s="1"/>
  <c r="D56" i="6"/>
  <c r="F56" i="6" s="1"/>
  <c r="G56" i="6" s="1"/>
  <c r="AC31" i="6"/>
  <c r="AE31" i="6" s="1"/>
  <c r="AF31" i="6" s="1"/>
  <c r="AF35" i="6" s="1"/>
  <c r="AF36" i="6" s="1"/>
  <c r="D45" i="6"/>
  <c r="F45" i="6" s="1"/>
  <c r="G45" i="6" s="1"/>
  <c r="D49" i="6"/>
  <c r="F49" i="6" s="1"/>
  <c r="G49" i="6" s="1"/>
  <c r="D53" i="6"/>
  <c r="F53" i="6" s="1"/>
  <c r="G53" i="6" s="1"/>
  <c r="I31" i="6"/>
  <c r="N31" i="6"/>
  <c r="AH31" i="6"/>
  <c r="AJ31" i="6" s="1"/>
  <c r="AK31" i="6" s="1"/>
  <c r="AK35" i="6" s="1"/>
  <c r="AK36" i="6" s="1"/>
  <c r="D47" i="6"/>
  <c r="F47" i="6" s="1"/>
  <c r="G47" i="6" s="1"/>
  <c r="D51" i="6"/>
  <c r="F51" i="6" s="1"/>
  <c r="G51" i="6" s="1"/>
  <c r="D46" i="6"/>
  <c r="F46" i="6" s="1"/>
  <c r="G46" i="6" s="1"/>
  <c r="X31" i="6"/>
  <c r="Z31" i="6" s="1"/>
  <c r="AA31" i="6" s="1"/>
  <c r="AA35" i="6" s="1"/>
  <c r="AA36" i="6" s="1"/>
  <c r="D44" i="6"/>
  <c r="F44" i="6" s="1"/>
  <c r="G44" i="6" s="1"/>
  <c r="D48" i="6"/>
  <c r="F48" i="6" s="1"/>
  <c r="G48" i="6" s="1"/>
  <c r="D52" i="6"/>
  <c r="F52" i="6" s="1"/>
  <c r="G52" i="6" s="1"/>
  <c r="A14" i="6" l="1"/>
  <c r="A22" i="6"/>
  <c r="A11" i="6"/>
  <c r="A12" i="6"/>
  <c r="A20" i="6"/>
  <c r="A10" i="6"/>
  <c r="A18" i="6"/>
  <c r="A15" i="6"/>
  <c r="A19" i="6"/>
  <c r="A23" i="6"/>
  <c r="A16" i="6"/>
  <c r="A13" i="6"/>
  <c r="A17" i="6"/>
  <c r="A21" i="6"/>
  <c r="B40" i="5" l="1"/>
  <c r="J40" i="5"/>
  <c r="B41" i="5"/>
  <c r="G41" i="5"/>
  <c r="J41" i="5"/>
  <c r="O41" i="5"/>
  <c r="P41" i="5"/>
  <c r="Q41" i="5" s="1"/>
  <c r="B42" i="5"/>
  <c r="J42" i="5"/>
  <c r="B37" i="5"/>
  <c r="G37" i="5"/>
  <c r="J37" i="5"/>
  <c r="B38" i="5"/>
  <c r="G38" i="5"/>
  <c r="J38" i="5"/>
  <c r="B39" i="5"/>
  <c r="G39" i="5" s="1"/>
  <c r="J39" i="5"/>
  <c r="O42" i="5" l="1"/>
  <c r="O38" i="5"/>
  <c r="O37" i="5"/>
  <c r="O39" i="5"/>
  <c r="G42" i="5"/>
  <c r="G40" i="5"/>
  <c r="O40" i="5"/>
  <c r="A13" i="5" l="1"/>
  <c r="W10" i="5"/>
  <c r="AE10" i="5"/>
  <c r="AM10" i="5"/>
  <c r="AU10" i="5"/>
  <c r="G11" i="5"/>
  <c r="W11" i="5"/>
  <c r="AE11" i="5"/>
  <c r="AM11" i="5"/>
  <c r="AU11" i="5"/>
  <c r="AE12" i="5"/>
  <c r="AM12" i="5"/>
  <c r="AU12" i="5"/>
  <c r="G13" i="5"/>
  <c r="AE13" i="5"/>
  <c r="AM13" i="5"/>
  <c r="AU13" i="5"/>
  <c r="B33" i="5"/>
  <c r="J33" i="5"/>
  <c r="B34" i="5"/>
  <c r="J34" i="5"/>
  <c r="B35" i="5"/>
  <c r="J35" i="5"/>
  <c r="B36" i="5"/>
  <c r="J36" i="5"/>
  <c r="AC9" i="6" l="1"/>
  <c r="AE9" i="6" s="1"/>
  <c r="AF9" i="6" s="1"/>
  <c r="AF23" i="6" s="1"/>
  <c r="AF24" i="6" s="1"/>
  <c r="A6" i="5"/>
  <c r="A6" i="6" s="1"/>
  <c r="A6" i="11"/>
  <c r="C10" i="5"/>
  <c r="F10" i="5" s="1"/>
  <c r="O36" i="5"/>
  <c r="G35" i="5"/>
  <c r="O34" i="5"/>
  <c r="G12" i="5"/>
  <c r="G34" i="5"/>
  <c r="W12" i="5"/>
  <c r="G33" i="5"/>
  <c r="W13" i="5"/>
  <c r="O35" i="5"/>
  <c r="O33" i="5"/>
  <c r="G36" i="5"/>
  <c r="X9" i="6"/>
  <c r="Z9" i="6" s="1"/>
  <c r="AA9" i="6" s="1"/>
  <c r="AA23" i="6" s="1"/>
  <c r="AA24" i="6" s="1"/>
  <c r="A33" i="5"/>
  <c r="A43" i="6"/>
  <c r="A42" i="5"/>
  <c r="A52" i="6"/>
  <c r="A38" i="5"/>
  <c r="A48" i="6"/>
  <c r="I9" i="6"/>
  <c r="AH9" i="6"/>
  <c r="AJ9" i="6" s="1"/>
  <c r="AK9" i="6" s="1"/>
  <c r="AK23" i="6" s="1"/>
  <c r="AK24" i="6" s="1"/>
  <c r="D43" i="6"/>
  <c r="F43" i="6" s="1"/>
  <c r="G43" i="6" s="1"/>
  <c r="A53" i="6"/>
  <c r="A40" i="5"/>
  <c r="A50" i="6"/>
  <c r="N9" i="6"/>
  <c r="P9" i="6" s="1"/>
  <c r="Q9" i="6" s="1"/>
  <c r="Q23" i="6" s="1"/>
  <c r="Q24" i="6" s="1"/>
  <c r="AM9" i="6"/>
  <c r="AO9" i="6" s="1"/>
  <c r="AP9" i="6" s="1"/>
  <c r="AP23" i="6" s="1"/>
  <c r="AP24" i="6" s="1"/>
  <c r="A34" i="5"/>
  <c r="A44" i="6"/>
  <c r="A39" i="5"/>
  <c r="A49" i="6"/>
  <c r="D9" i="6"/>
  <c r="F9" i="6" s="1"/>
  <c r="G9" i="6" s="1"/>
  <c r="G23" i="6" s="1"/>
  <c r="G24" i="6" s="1"/>
  <c r="A36" i="5"/>
  <c r="A46" i="6"/>
  <c r="A37" i="5"/>
  <c r="A47" i="6"/>
  <c r="A9" i="6"/>
  <c r="S9" i="6"/>
  <c r="U9" i="6" s="1"/>
  <c r="V9" i="6" s="1"/>
  <c r="V23" i="6" s="1"/>
  <c r="V24" i="6" s="1"/>
  <c r="A35" i="5"/>
  <c r="A45" i="6"/>
  <c r="A41" i="5"/>
  <c r="A51" i="6"/>
  <c r="K40" i="5"/>
  <c r="C34" i="5"/>
  <c r="C39" i="5"/>
  <c r="H39" i="5" s="1"/>
  <c r="I39" i="5" s="1"/>
  <c r="C40" i="5"/>
  <c r="K38" i="5"/>
  <c r="K41" i="5"/>
  <c r="K39" i="5"/>
  <c r="C37" i="5"/>
  <c r="K42" i="5"/>
  <c r="C38" i="5"/>
  <c r="H38" i="5" s="1"/>
  <c r="I38" i="5" s="1"/>
  <c r="K37" i="5"/>
  <c r="C41" i="5"/>
  <c r="C42" i="5"/>
  <c r="K13" i="5"/>
  <c r="E8" i="3"/>
  <c r="W8" i="3"/>
  <c r="K12" i="5"/>
  <c r="K34" i="5"/>
  <c r="A10" i="5"/>
  <c r="AA13" i="5"/>
  <c r="AI11" i="5"/>
  <c r="C35" i="5"/>
  <c r="C13" i="5"/>
  <c r="H13" i="5" s="1"/>
  <c r="I13" i="5" s="1"/>
  <c r="AA10" i="5"/>
  <c r="K36" i="5"/>
  <c r="AI13" i="5"/>
  <c r="AI12" i="5"/>
  <c r="C33" i="5"/>
  <c r="K10" i="5"/>
  <c r="AA11" i="5"/>
  <c r="AU8" i="3"/>
  <c r="AW8" i="3" s="1"/>
  <c r="AS10" i="5" s="1"/>
  <c r="AQ10" i="5"/>
  <c r="C11" i="5"/>
  <c r="AI10" i="5"/>
  <c r="C12" i="5"/>
  <c r="H12" i="5" s="1"/>
  <c r="C36" i="5"/>
  <c r="A12" i="5"/>
  <c r="AA12" i="5"/>
  <c r="S10" i="5"/>
  <c r="A11" i="5"/>
  <c r="AQ12" i="5"/>
  <c r="J14" i="6"/>
  <c r="K14" i="6" s="1"/>
  <c r="L14" i="6" s="1"/>
  <c r="K35" i="5"/>
  <c r="S13" i="5"/>
  <c r="AQ13" i="5"/>
  <c r="S11" i="5"/>
  <c r="AQ11" i="5"/>
  <c r="S12" i="5"/>
  <c r="K33" i="5"/>
  <c r="K11" i="5"/>
  <c r="I12" i="5" l="1"/>
  <c r="Y8" i="3"/>
  <c r="M8" i="3"/>
  <c r="M10" i="5" s="1"/>
  <c r="H11" i="5"/>
  <c r="I11" i="5" s="1"/>
  <c r="F11" i="5"/>
  <c r="J15" i="6"/>
  <c r="K15" i="6" s="1"/>
  <c r="L15" i="6" s="1"/>
  <c r="AL11" i="5"/>
  <c r="AN12" i="5"/>
  <c r="AO12" i="5" s="1"/>
  <c r="AD13" i="5"/>
  <c r="AF11" i="5"/>
  <c r="AG11" i="5" s="1"/>
  <c r="AF10" i="5"/>
  <c r="AG10" i="5" s="1"/>
  <c r="X11" i="5"/>
  <c r="Y11" i="5" s="1"/>
  <c r="G8" i="3"/>
  <c r="H34" i="5"/>
  <c r="I34" i="5" s="1"/>
  <c r="F39" i="5"/>
  <c r="N41" i="5"/>
  <c r="N38" i="5"/>
  <c r="F38" i="5"/>
  <c r="N39" i="5"/>
  <c r="F34" i="5"/>
  <c r="V11" i="5"/>
  <c r="N40" i="5"/>
  <c r="P40" i="5"/>
  <c r="Q40" i="5" s="1"/>
  <c r="F40" i="5"/>
  <c r="H40" i="5"/>
  <c r="I40" i="5" s="1"/>
  <c r="N34" i="5"/>
  <c r="P34" i="5"/>
  <c r="Q34" i="5" s="1"/>
  <c r="F41" i="5"/>
  <c r="H41" i="5"/>
  <c r="I41" i="5" s="1"/>
  <c r="N33" i="5"/>
  <c r="P33" i="5"/>
  <c r="Q33" i="5" s="1"/>
  <c r="P38" i="5"/>
  <c r="Q38" i="5" s="1"/>
  <c r="V13" i="5"/>
  <c r="X13" i="5"/>
  <c r="Y13" i="5" s="1"/>
  <c r="N36" i="5"/>
  <c r="P36" i="5"/>
  <c r="Q36" i="5" s="1"/>
  <c r="P39" i="5"/>
  <c r="Q39" i="5" s="1"/>
  <c r="AR8" i="3"/>
  <c r="AX8" i="3"/>
  <c r="G60" i="6"/>
  <c r="G61" i="6" s="1"/>
  <c r="F42" i="5"/>
  <c r="H42" i="5"/>
  <c r="I42" i="5" s="1"/>
  <c r="F36" i="5"/>
  <c r="H36" i="5"/>
  <c r="I36" i="5" s="1"/>
  <c r="V12" i="5"/>
  <c r="X12" i="5"/>
  <c r="Y12" i="5" s="1"/>
  <c r="N8" i="3"/>
  <c r="N35" i="5"/>
  <c r="P35" i="5"/>
  <c r="Q35" i="5" s="1"/>
  <c r="F35" i="5"/>
  <c r="H35" i="5"/>
  <c r="I35" i="5" s="1"/>
  <c r="F33" i="5"/>
  <c r="H33" i="5"/>
  <c r="I33" i="5" s="1"/>
  <c r="F13" i="5"/>
  <c r="V10" i="5"/>
  <c r="X10" i="5"/>
  <c r="Y10" i="5" s="1"/>
  <c r="F12" i="5"/>
  <c r="N37" i="5"/>
  <c r="P37" i="5"/>
  <c r="Q37" i="5" s="1"/>
  <c r="P42" i="5"/>
  <c r="Q42" i="5" s="1"/>
  <c r="N42" i="5"/>
  <c r="H37" i="5"/>
  <c r="I37" i="5" s="1"/>
  <c r="F37" i="5"/>
  <c r="AF13" i="5"/>
  <c r="AG13" i="5" s="1"/>
  <c r="AD11" i="5"/>
  <c r="AN11" i="5"/>
  <c r="AO11" i="5" s="1"/>
  <c r="AD10" i="5"/>
  <c r="AL12" i="5"/>
  <c r="AL13" i="5"/>
  <c r="AN13" i="5"/>
  <c r="AO13" i="5" s="1"/>
  <c r="AV10" i="5"/>
  <c r="AW10" i="5" s="1"/>
  <c r="AT10" i="5"/>
  <c r="AL10" i="5"/>
  <c r="AN10" i="5"/>
  <c r="AO10" i="5" s="1"/>
  <c r="AD12" i="5"/>
  <c r="AF12" i="5"/>
  <c r="AG12" i="5" s="1"/>
  <c r="AV11" i="5"/>
  <c r="AW11" i="5" s="1"/>
  <c r="AT11" i="5"/>
  <c r="AT13" i="5"/>
  <c r="AV13" i="5"/>
  <c r="AW13" i="5" s="1"/>
  <c r="AT12" i="5"/>
  <c r="AV12" i="5"/>
  <c r="AW12" i="5" s="1"/>
  <c r="Z8" i="3" l="1"/>
  <c r="AC10" i="5"/>
  <c r="H8" i="3"/>
  <c r="E10" i="5"/>
  <c r="P13" i="5"/>
  <c r="O12" i="5"/>
  <c r="N12" i="5"/>
  <c r="J12" i="6"/>
  <c r="K12" i="6" s="1"/>
  <c r="L12" i="6" s="1"/>
  <c r="J13" i="6"/>
  <c r="K13" i="6" s="1"/>
  <c r="L13" i="6" s="1"/>
  <c r="N11" i="5"/>
  <c r="O31" i="6"/>
  <c r="P31" i="6" s="1"/>
  <c r="Q31" i="6" s="1"/>
  <c r="Q35" i="6" s="1"/>
  <c r="Q36" i="6" s="1"/>
  <c r="N10" i="5"/>
  <c r="P12" i="5"/>
  <c r="J9" i="6"/>
  <c r="K9" i="6" s="1"/>
  <c r="L9" i="6" s="1"/>
  <c r="O10" i="5"/>
  <c r="N13" i="5" l="1"/>
  <c r="O13" i="5"/>
  <c r="Q13" i="5" s="1"/>
  <c r="J31" i="6"/>
  <c r="K31" i="6" s="1"/>
  <c r="L31" i="6" s="1"/>
  <c r="L35" i="6" s="1"/>
  <c r="L36" i="6" s="1"/>
  <c r="O11" i="5"/>
  <c r="P11" i="5"/>
  <c r="J10" i="6"/>
  <c r="K10" i="6" s="1"/>
  <c r="L10" i="6" s="1"/>
  <c r="Q12" i="5"/>
  <c r="P10" i="5"/>
  <c r="Q10" i="5" s="1"/>
  <c r="J11" i="6"/>
  <c r="K11" i="6" s="1"/>
  <c r="L11" i="6" s="1"/>
  <c r="L23" i="6" l="1"/>
  <c r="L24" i="6" s="1"/>
  <c r="Q1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LAURA DENISE MEDINA CARRANZA</author>
  </authors>
  <commentList>
    <comment ref="D12" authorId="0" shapeId="0" xr:uid="{448B2BD4-3366-48D6-B491-7C3667406381}">
      <text>
        <r>
          <rPr>
            <b/>
            <sz val="9"/>
            <color indexed="81"/>
            <rFont val="Tahoma"/>
            <family val="2"/>
          </rPr>
          <t>1er resultado de tercería: 177.70
reensaye: 178.55
1er análisis en conjunto: 183
análisis 11 de agosto: 180.81</t>
        </r>
      </text>
    </comment>
    <comment ref="L12" authorId="0" shapeId="0" xr:uid="{06C5313C-0979-457D-A857-83754B477BAC}">
      <text>
        <r>
          <rPr>
            <b/>
            <sz val="9"/>
            <color indexed="81"/>
            <rFont val="Tahoma"/>
            <charset val="1"/>
          </rPr>
          <t>1er resultado de tercería: 14.843
reensaye: 14.842
1er análisis en conjunto:14.829
análisis 11 de agosto:14.838</t>
        </r>
      </text>
    </comment>
    <comment ref="D13" authorId="0" shapeId="0" xr:uid="{43B449CD-9FA2-4D0E-BAFC-C707DCB0152D}">
      <text>
        <r>
          <rPr>
            <b/>
            <sz val="9"/>
            <color indexed="81"/>
            <rFont val="Tahoma"/>
            <family val="2"/>
          </rPr>
          <t xml:space="preserve">1er resultado de tercería: 162.48
Reensaye:167.28
último resultado: 169.00
análisis 11 de agosto: 175.12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LAURA DENISE MEDINA CARRANZA</author>
  </authors>
  <commentList>
    <comment ref="AO8" authorId="0" shapeId="0" xr:uid="{E41371B8-C29D-4C76-868C-CF41B4496C25}">
      <text>
        <r>
          <rPr>
            <b/>
            <sz val="9"/>
            <color indexed="81"/>
            <rFont val="Tahoma"/>
            <family val="2"/>
          </rPr>
          <t>LAURA DENISE MEDINA CARRANZA:</t>
        </r>
        <r>
          <rPr>
            <sz val="9"/>
            <color indexed="81"/>
            <rFont val="Tahoma"/>
            <family val="2"/>
          </rPr>
          <t xml:space="preserve">
¡ojo! Al pasar el intercambio, no se coloco el valor del del MgO, el valor era .130</t>
        </r>
      </text>
    </comment>
  </commentList>
</comments>
</file>

<file path=xl/sharedStrings.xml><?xml version="1.0" encoding="utf-8"?>
<sst xmlns="http://schemas.openxmlformats.org/spreadsheetml/2006/main" count="509" uniqueCount="87">
  <si>
    <t>COMPARACION DE ENSAYES</t>
  </si>
  <si>
    <t>CONCENTRADO DE PLOMO</t>
  </si>
  <si>
    <t>Au</t>
  </si>
  <si>
    <t>Ag</t>
  </si>
  <si>
    <t>Pb</t>
  </si>
  <si>
    <t>Zn</t>
  </si>
  <si>
    <t>Gms/Ton</t>
  </si>
  <si>
    <t>%</t>
  </si>
  <si>
    <t>CONCENTRADO DE ZINC</t>
  </si>
  <si>
    <t>Fe</t>
  </si>
  <si>
    <t>Met-Mex</t>
  </si>
  <si>
    <t>ENSAYES DE ORO</t>
  </si>
  <si>
    <t>ENSAYES DE PLOMO</t>
  </si>
  <si>
    <t>ENSAYES DE ZINC</t>
  </si>
  <si>
    <t>L.P.</t>
  </si>
  <si>
    <t>INT.</t>
  </si>
  <si>
    <t>Final</t>
  </si>
  <si>
    <t>CUADRO PARA DETERMINAR LOS ANALISIS EN CONJUNTO</t>
  </si>
  <si>
    <t>P = Promedio</t>
  </si>
  <si>
    <t>Dif</t>
  </si>
  <si>
    <t>LOTE</t>
  </si>
  <si>
    <t>Conjunto Negociado</t>
  </si>
  <si>
    <t>Sb</t>
  </si>
  <si>
    <t>Cd</t>
  </si>
  <si>
    <t>As</t>
  </si>
  <si>
    <t>Insol</t>
  </si>
  <si>
    <t>Kgs/Ton</t>
  </si>
  <si>
    <t>ENSAYES DE ANTIMONIO</t>
  </si>
  <si>
    <t>ENSAYES DE CADMIO</t>
  </si>
  <si>
    <t>ENSAYES DE INSOLUBLES</t>
  </si>
  <si>
    <t>Hg.</t>
  </si>
  <si>
    <t>MINERA MEXICANA LA CIENEGA, S.A. DE C.V.</t>
  </si>
  <si>
    <t>ENSAYES DE PLATA KGS/TON</t>
  </si>
  <si>
    <t>MgO</t>
  </si>
  <si>
    <t>T = Tercería</t>
  </si>
  <si>
    <t>Ciénega</t>
  </si>
  <si>
    <t>Propuesta de Promedio</t>
  </si>
  <si>
    <t>L.P.s diferentes.</t>
  </si>
  <si>
    <t>CUADRO PARA DETERMINAR DIFERENCIAS EN ENSAYES COMPARADOS</t>
  </si>
  <si>
    <t>No.</t>
  </si>
  <si>
    <t>Ensayes de ORO gm/ton</t>
  </si>
  <si>
    <t>Dif. Vs Tercero</t>
  </si>
  <si>
    <t>Paga</t>
  </si>
  <si>
    <t>Ensayes de PLATA gm/ton</t>
  </si>
  <si>
    <t>Ensayes de PLOMO %</t>
  </si>
  <si>
    <t>Lote</t>
  </si>
  <si>
    <t>Tercero</t>
  </si>
  <si>
    <t>Pago</t>
  </si>
  <si>
    <t>Terceria</t>
  </si>
  <si>
    <t>Ensayes de ZINC %</t>
  </si>
  <si>
    <t>Ensayes de CADMIO %</t>
  </si>
  <si>
    <t>ALEX STEWART</t>
  </si>
  <si>
    <t>LIM</t>
  </si>
  <si>
    <t>NEGRITAS</t>
  </si>
  <si>
    <t>COURTADE</t>
  </si>
  <si>
    <t>KURSIVA</t>
  </si>
  <si>
    <t>Ensayes de MERCURIO %</t>
  </si>
  <si>
    <t>MMP</t>
  </si>
  <si>
    <t>MINERA MEXICANA LA CIÉNEGA, S.A. DE C.V.</t>
  </si>
  <si>
    <t>CIEN</t>
  </si>
  <si>
    <t>Ensayes de FIERRO %</t>
  </si>
  <si>
    <t>Ensayes de INSOLUBLES %</t>
  </si>
  <si>
    <t>ENSAYES DE MERCURIO PPM (LIBRE 50 PPM)</t>
  </si>
  <si>
    <t>ENSAYES DE OXIDO DE MAGNESIO ( LIBRE .1 %)</t>
  </si>
  <si>
    <t>ENSAYES DE ARSÉNICO (Libre 0.1 %)</t>
  </si>
  <si>
    <t>Ensayes de MgO</t>
  </si>
  <si>
    <t>PESO</t>
  </si>
  <si>
    <t>SECO</t>
  </si>
  <si>
    <t>Ponderado</t>
  </si>
  <si>
    <t>Ensayes de ARSÉNICO</t>
  </si>
  <si>
    <t>Ensayes de ANTIMONIO</t>
  </si>
  <si>
    <t>LOTE MMP</t>
  </si>
  <si>
    <t>LOTE MINA</t>
  </si>
  <si>
    <t>Ensayes de ARSENICO %</t>
  </si>
  <si>
    <t>Ensayes de ANTIMONIO %</t>
  </si>
  <si>
    <t>ENSAYES DE ARSENICO (.3)</t>
  </si>
  <si>
    <t>Gerencia Administrativa OFSA</t>
  </si>
  <si>
    <t>ENSAYES DE FIERRO (Libre 8.0%)</t>
  </si>
  <si>
    <t>PLOMO</t>
  </si>
  <si>
    <t>ZINC</t>
  </si>
  <si>
    <t>Ing. Laura D. Medina Carranza</t>
  </si>
  <si>
    <t>g/Ton</t>
  </si>
  <si>
    <t>Kg/Ton</t>
  </si>
  <si>
    <r>
      <t xml:space="preserve">Lotes cerrados en </t>
    </r>
    <r>
      <rPr>
        <b/>
        <sz val="14"/>
        <rFont val="Arial"/>
        <family val="2"/>
      </rPr>
      <t xml:space="preserve"> 2025.</t>
    </r>
  </si>
  <si>
    <r>
      <t>Lotes cerrados febrero</t>
    </r>
    <r>
      <rPr>
        <b/>
        <sz val="14"/>
        <rFont val="Arial"/>
        <family val="2"/>
      </rPr>
      <t xml:space="preserve"> 2026.</t>
    </r>
  </si>
  <si>
    <t>Ensayes de ORO g/ton</t>
  </si>
  <si>
    <t>Ensayes de PLATA Kg/ton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</si>
</sst>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\-#,##0.00\ "/>
    <numFmt numFmtId="165" formatCode="#,##0.0_ ;\-#,##0.0\ "/>
    <numFmt numFmtId="166" formatCode="#,##0.000_ ;\-#,##0.000\ "/>
    <numFmt numFmtId="167" formatCode="_-[$€-2]* #,##0.00_-;\-[$€-2]* #,##0.00_-;_-[$€-2]* &quot;-&quot;??_-"/>
    <numFmt numFmtId="168" formatCode="#,##0.0000_ ;\-#,##0.0000\ "/>
    <numFmt numFmtId="169" formatCode="#,##0.000;\-#,##0.000"/>
    <numFmt numFmtId="170" formatCode="0.000"/>
    <numFmt numFmtId="171" formatCode="0.00000"/>
  </numFmts>
  <fonts count="3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u/>
      <sz val="11"/>
      <name val="Arial"/>
      <family val="2"/>
    </font>
    <font>
      <sz val="11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1"/>
      <color indexed="18"/>
      <name val="Arial"/>
      <family val="2"/>
    </font>
    <font>
      <sz val="14"/>
      <name val="Arial"/>
      <family val="2"/>
    </font>
    <font>
      <sz val="8"/>
      <name val="Arial"/>
      <family val="2"/>
    </font>
    <font>
      <b/>
      <sz val="11"/>
      <name val="Arial Narrow"/>
      <family val="2"/>
    </font>
    <font>
      <sz val="11"/>
      <name val="Arial Narrow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10"/>
      <name val="Arial"/>
      <family val="2"/>
    </font>
    <font>
      <sz val="11"/>
      <color indexed="9"/>
      <name val="Arial"/>
      <family val="2"/>
    </font>
    <font>
      <sz val="10"/>
      <color indexed="10"/>
      <name val="Arial"/>
      <family val="2"/>
    </font>
    <font>
      <i/>
      <sz val="10"/>
      <name val="Arial"/>
      <family val="2"/>
    </font>
    <font>
      <sz val="10"/>
      <color theme="0"/>
      <name val="Arial"/>
      <family val="2"/>
    </font>
    <font>
      <sz val="10"/>
      <color rgb="FF0000FF"/>
      <name val="Arial"/>
      <family val="2"/>
    </font>
    <font>
      <b/>
      <sz val="12"/>
      <color rgb="FF0000FF"/>
      <name val="Arial"/>
      <family val="2"/>
    </font>
    <font>
      <b/>
      <sz val="16"/>
      <color rgb="FF0000FF"/>
      <name val="Arial"/>
      <family val="2"/>
    </font>
    <font>
      <b/>
      <sz val="14"/>
      <color rgb="FF0000FF"/>
      <name val="Arial"/>
      <family val="2"/>
    </font>
    <font>
      <b/>
      <sz val="11"/>
      <color rgb="FF0000FF"/>
      <name val="Arial"/>
      <family val="2"/>
    </font>
    <font>
      <b/>
      <sz val="12"/>
      <color rgb="FF00B050"/>
      <name val="Arial"/>
      <family val="2"/>
    </font>
    <font>
      <sz val="10"/>
      <color rgb="FF0000CC"/>
      <name val="Arial"/>
      <family val="2"/>
    </font>
    <font>
      <b/>
      <sz val="12"/>
      <name val="Baskerville Old Face"/>
      <family val="1"/>
    </font>
    <font>
      <b/>
      <sz val="11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Tahoma"/>
      <charset val="1"/>
    </font>
  </fonts>
  <fills count="17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</borders>
  <cellStyleXfs count="6">
    <xf numFmtId="0" fontId="0" fillId="0" borderId="0"/>
    <xf numFmtId="167" fontId="3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/>
    <xf numFmtId="0" fontId="1" fillId="0" borderId="0"/>
  </cellStyleXfs>
  <cellXfs count="256">
    <xf numFmtId="0" fontId="0" fillId="0" borderId="0" xfId="0"/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6" fillId="0" borderId="0" xfId="0" applyFont="1"/>
    <xf numFmtId="39" fontId="6" fillId="0" borderId="0" xfId="0" applyNumberFormat="1" applyFont="1"/>
    <xf numFmtId="37" fontId="6" fillId="0" borderId="0" xfId="0" applyNumberFormat="1" applyFont="1"/>
    <xf numFmtId="0" fontId="10" fillId="0" borderId="0" xfId="0" applyFont="1"/>
    <xf numFmtId="0" fontId="6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0" fillId="0" borderId="0" xfId="0" applyAlignment="1">
      <alignment vertical="center"/>
    </xf>
    <xf numFmtId="164" fontId="10" fillId="0" borderId="2" xfId="0" applyNumberFormat="1" applyFont="1" applyBorder="1" applyAlignment="1">
      <alignment horizontal="center"/>
    </xf>
    <xf numFmtId="164" fontId="10" fillId="0" borderId="2" xfId="0" applyNumberFormat="1" applyFont="1" applyBorder="1"/>
    <xf numFmtId="0" fontId="11" fillId="0" borderId="0" xfId="0" applyFont="1" applyAlignment="1">
      <alignment horizontal="centerContinuous" vertical="center"/>
    </xf>
    <xf numFmtId="0" fontId="4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 vertical="center"/>
    </xf>
    <xf numFmtId="0" fontId="10" fillId="0" borderId="3" xfId="0" applyFont="1" applyBorder="1" applyAlignment="1">
      <alignment horizontal="center"/>
    </xf>
    <xf numFmtId="166" fontId="10" fillId="0" borderId="2" xfId="0" applyNumberFormat="1" applyFont="1" applyBorder="1"/>
    <xf numFmtId="0" fontId="10" fillId="0" borderId="6" xfId="0" applyFont="1" applyBorder="1" applyAlignment="1">
      <alignment horizontal="center"/>
    </xf>
    <xf numFmtId="0" fontId="10" fillId="0" borderId="4" xfId="0" applyFont="1" applyBorder="1"/>
    <xf numFmtId="0" fontId="12" fillId="0" borderId="0" xfId="0" applyFont="1" applyAlignment="1">
      <alignment horizontal="left" vertical="center"/>
    </xf>
    <xf numFmtId="0" fontId="10" fillId="3" borderId="0" xfId="0" applyFont="1" applyFill="1"/>
    <xf numFmtId="0" fontId="10" fillId="4" borderId="0" xfId="0" applyFont="1" applyFill="1"/>
    <xf numFmtId="39" fontId="10" fillId="0" borderId="2" xfId="0" applyNumberFormat="1" applyFont="1" applyBorder="1" applyAlignment="1">
      <alignment horizontal="center"/>
    </xf>
    <xf numFmtId="168" fontId="10" fillId="0" borderId="2" xfId="0" applyNumberFormat="1" applyFont="1" applyBorder="1"/>
    <xf numFmtId="169" fontId="10" fillId="0" borderId="2" xfId="0" applyNumberFormat="1" applyFont="1" applyBorder="1" applyAlignment="1">
      <alignment horizontal="center"/>
    </xf>
    <xf numFmtId="169" fontId="10" fillId="0" borderId="2" xfId="0" applyNumberFormat="1" applyFont="1" applyBorder="1"/>
    <xf numFmtId="4" fontId="6" fillId="0" borderId="0" xfId="0" applyNumberFormat="1" applyFont="1"/>
    <xf numFmtId="0" fontId="9" fillId="0" borderId="0" xfId="0" applyFont="1" applyAlignment="1">
      <alignment horizontal="centerContinuous" vertical="center"/>
    </xf>
    <xf numFmtId="0" fontId="10" fillId="0" borderId="0" xfId="0" applyFont="1" applyAlignment="1">
      <alignment horizontal="centerContinuous" vertical="center"/>
    </xf>
    <xf numFmtId="0" fontId="6" fillId="0" borderId="8" xfId="0" applyFont="1" applyBorder="1" applyAlignment="1">
      <alignment horizontal="centerContinuous" vertical="center"/>
    </xf>
    <xf numFmtId="0" fontId="6" fillId="0" borderId="9" xfId="0" applyFont="1" applyBorder="1" applyAlignment="1">
      <alignment horizontal="centerContinuous" vertical="center"/>
    </xf>
    <xf numFmtId="0" fontId="6" fillId="0" borderId="10" xfId="0" applyFont="1" applyBorder="1" applyAlignment="1">
      <alignment horizontal="centerContinuous" vertical="center"/>
    </xf>
    <xf numFmtId="0" fontId="6" fillId="0" borderId="11" xfId="0" applyFont="1" applyBorder="1" applyAlignment="1">
      <alignment horizontal="centerContinuous" vertical="center"/>
    </xf>
    <xf numFmtId="166" fontId="16" fillId="0" borderId="9" xfId="0" applyNumberFormat="1" applyFont="1" applyBorder="1" applyAlignment="1">
      <alignment horizontal="centerContinuous" vertical="center"/>
    </xf>
    <xf numFmtId="166" fontId="16" fillId="0" borderId="11" xfId="0" applyNumberFormat="1" applyFont="1" applyBorder="1" applyAlignment="1">
      <alignment horizontal="centerContinuous" vertical="center"/>
    </xf>
    <xf numFmtId="0" fontId="17" fillId="0" borderId="12" xfId="0" applyFont="1" applyBorder="1" applyAlignment="1">
      <alignment horizontal="center"/>
    </xf>
    <xf numFmtId="165" fontId="6" fillId="0" borderId="10" xfId="0" applyNumberFormat="1" applyFont="1" applyBorder="1" applyAlignment="1">
      <alignment horizontal="centerContinuous" vertical="center"/>
    </xf>
    <xf numFmtId="165" fontId="6" fillId="0" borderId="11" xfId="0" applyNumberFormat="1" applyFont="1" applyBorder="1" applyAlignment="1">
      <alignment horizontal="centerContinuous" vertical="center"/>
    </xf>
    <xf numFmtId="166" fontId="6" fillId="0" borderId="10" xfId="0" applyNumberFormat="1" applyFont="1" applyBorder="1" applyAlignment="1">
      <alignment horizontal="centerContinuous" vertical="center"/>
    </xf>
    <xf numFmtId="164" fontId="18" fillId="0" borderId="7" xfId="0" applyNumberFormat="1" applyFont="1" applyBorder="1"/>
    <xf numFmtId="164" fontId="18" fillId="0" borderId="13" xfId="0" applyNumberFormat="1" applyFont="1" applyBorder="1"/>
    <xf numFmtId="166" fontId="6" fillId="0" borderId="11" xfId="0" applyNumberFormat="1" applyFont="1" applyBorder="1" applyAlignment="1">
      <alignment horizontal="centerContinuous" vertical="center"/>
    </xf>
    <xf numFmtId="0" fontId="18" fillId="0" borderId="0" xfId="0" applyFont="1"/>
    <xf numFmtId="0" fontId="6" fillId="0" borderId="15" xfId="0" applyFont="1" applyBorder="1" applyAlignment="1">
      <alignment horizontal="centerContinuous" vertical="center"/>
    </xf>
    <xf numFmtId="0" fontId="16" fillId="0" borderId="1" xfId="0" applyFont="1" applyBorder="1" applyAlignment="1">
      <alignment horizontal="center"/>
    </xf>
    <xf numFmtId="0" fontId="17" fillId="0" borderId="16" xfId="0" applyFont="1" applyBorder="1" applyAlignment="1">
      <alignment horizontal="center"/>
    </xf>
    <xf numFmtId="165" fontId="16" fillId="0" borderId="17" xfId="0" applyNumberFormat="1" applyFont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166" fontId="16" fillId="0" borderId="11" xfId="0" applyNumberFormat="1" applyFont="1" applyBorder="1" applyAlignment="1">
      <alignment horizontal="center"/>
    </xf>
    <xf numFmtId="166" fontId="16" fillId="0" borderId="1" xfId="0" applyNumberFormat="1" applyFont="1" applyBorder="1" applyAlignment="1">
      <alignment horizontal="center"/>
    </xf>
    <xf numFmtId="166" fontId="16" fillId="0" borderId="17" xfId="0" applyNumberFormat="1" applyFont="1" applyBorder="1" applyAlignment="1">
      <alignment horizontal="center"/>
    </xf>
    <xf numFmtId="0" fontId="17" fillId="0" borderId="0" xfId="0" applyFont="1"/>
    <xf numFmtId="0" fontId="19" fillId="0" borderId="6" xfId="0" applyFont="1" applyBorder="1" applyAlignment="1">
      <alignment horizontal="center"/>
    </xf>
    <xf numFmtId="166" fontId="18" fillId="0" borderId="2" xfId="0" applyNumberFormat="1" applyFont="1" applyBorder="1"/>
    <xf numFmtId="166" fontId="20" fillId="0" borderId="3" xfId="0" applyNumberFormat="1" applyFont="1" applyBorder="1"/>
    <xf numFmtId="0" fontId="17" fillId="0" borderId="19" xfId="0" applyFont="1" applyBorder="1" applyAlignment="1">
      <alignment horizontal="center"/>
    </xf>
    <xf numFmtId="165" fontId="18" fillId="0" borderId="2" xfId="0" applyNumberFormat="1" applyFont="1" applyBorder="1"/>
    <xf numFmtId="166" fontId="8" fillId="0" borderId="2" xfId="0" applyNumberFormat="1" applyFont="1" applyBorder="1"/>
    <xf numFmtId="166" fontId="18" fillId="0" borderId="7" xfId="0" applyNumberFormat="1" applyFont="1" applyBorder="1"/>
    <xf numFmtId="166" fontId="20" fillId="0" borderId="2" xfId="0" applyNumberFormat="1" applyFont="1" applyBorder="1"/>
    <xf numFmtId="166" fontId="18" fillId="0" borderId="13" xfId="0" applyNumberFormat="1" applyFont="1" applyBorder="1"/>
    <xf numFmtId="165" fontId="18" fillId="0" borderId="20" xfId="0" applyNumberFormat="1" applyFont="1" applyBorder="1"/>
    <xf numFmtId="165" fontId="20" fillId="0" borderId="2" xfId="0" applyNumberFormat="1" applyFont="1" applyBorder="1"/>
    <xf numFmtId="0" fontId="21" fillId="0" borderId="0" xfId="0" applyFont="1"/>
    <xf numFmtId="0" fontId="0" fillId="5" borderId="21" xfId="0" applyFill="1" applyBorder="1"/>
    <xf numFmtId="0" fontId="0" fillId="6" borderId="22" xfId="0" applyFill="1" applyBorder="1"/>
    <xf numFmtId="0" fontId="22" fillId="7" borderId="22" xfId="0" applyFont="1" applyFill="1" applyBorder="1"/>
    <xf numFmtId="0" fontId="11" fillId="0" borderId="0" xfId="0" applyFont="1"/>
    <xf numFmtId="0" fontId="22" fillId="8" borderId="23" xfId="0" applyFont="1" applyFill="1" applyBorder="1"/>
    <xf numFmtId="0" fontId="23" fillId="0" borderId="0" xfId="0" applyFont="1"/>
    <xf numFmtId="164" fontId="18" fillId="0" borderId="2" xfId="0" applyNumberFormat="1" applyFont="1" applyBorder="1"/>
    <xf numFmtId="166" fontId="18" fillId="0" borderId="20" xfId="0" applyNumberFormat="1" applyFont="1" applyBorder="1"/>
    <xf numFmtId="164" fontId="8" fillId="0" borderId="2" xfId="0" applyNumberFormat="1" applyFont="1" applyBorder="1"/>
    <xf numFmtId="168" fontId="18" fillId="0" borderId="13" xfId="0" applyNumberFormat="1" applyFont="1" applyBorder="1"/>
    <xf numFmtId="0" fontId="19" fillId="0" borderId="0" xfId="0" applyFont="1" applyAlignment="1">
      <alignment horizontal="center"/>
    </xf>
    <xf numFmtId="166" fontId="18" fillId="0" borderId="0" xfId="0" applyNumberFormat="1" applyFont="1"/>
    <xf numFmtId="166" fontId="20" fillId="0" borderId="0" xfId="0" applyNumberFormat="1" applyFont="1"/>
    <xf numFmtId="166" fontId="8" fillId="0" borderId="0" xfId="0" applyNumberFormat="1" applyFont="1"/>
    <xf numFmtId="0" fontId="17" fillId="0" borderId="0" xfId="0" applyFont="1" applyAlignment="1">
      <alignment horizontal="center"/>
    </xf>
    <xf numFmtId="165" fontId="18" fillId="0" borderId="0" xfId="0" applyNumberFormat="1" applyFont="1"/>
    <xf numFmtId="165" fontId="20" fillId="0" borderId="0" xfId="0" applyNumberFormat="1" applyFont="1"/>
    <xf numFmtId="164" fontId="18" fillId="0" borderId="0" xfId="0" applyNumberFormat="1" applyFont="1"/>
    <xf numFmtId="164" fontId="8" fillId="0" borderId="0" xfId="0" applyNumberFormat="1" applyFont="1"/>
    <xf numFmtId="168" fontId="18" fillId="0" borderId="0" xfId="0" applyNumberFormat="1" applyFont="1"/>
    <xf numFmtId="164" fontId="20" fillId="0" borderId="2" xfId="0" applyNumberFormat="1" applyFont="1" applyBorder="1"/>
    <xf numFmtId="164" fontId="20" fillId="0" borderId="3" xfId="0" applyNumberFormat="1" applyFont="1" applyBorder="1"/>
    <xf numFmtId="0" fontId="14" fillId="0" borderId="0" xfId="0" applyFont="1"/>
    <xf numFmtId="166" fontId="3" fillId="0" borderId="2" xfId="0" applyNumberFormat="1" applyFont="1" applyBorder="1"/>
    <xf numFmtId="0" fontId="3" fillId="9" borderId="0" xfId="0" applyFont="1" applyFill="1"/>
    <xf numFmtId="164" fontId="10" fillId="9" borderId="2" xfId="0" applyNumberFormat="1" applyFont="1" applyFill="1" applyBorder="1" applyAlignment="1">
      <alignment horizontal="center"/>
    </xf>
    <xf numFmtId="164" fontId="3" fillId="0" borderId="2" xfId="0" applyNumberFormat="1" applyFont="1" applyBorder="1"/>
    <xf numFmtId="164" fontId="3" fillId="0" borderId="2" xfId="0" applyNumberFormat="1" applyFont="1" applyBorder="1" applyAlignment="1">
      <alignment horizontal="center"/>
    </xf>
    <xf numFmtId="0" fontId="24" fillId="0" borderId="0" xfId="0" applyFont="1"/>
    <xf numFmtId="166" fontId="8" fillId="0" borderId="13" xfId="0" applyNumberFormat="1" applyFont="1" applyBorder="1"/>
    <xf numFmtId="164" fontId="8" fillId="0" borderId="30" xfId="0" applyNumberFormat="1" applyFont="1" applyBorder="1"/>
    <xf numFmtId="164" fontId="8" fillId="0" borderId="9" xfId="0" applyNumberFormat="1" applyFont="1" applyBorder="1"/>
    <xf numFmtId="0" fontId="27" fillId="0" borderId="0" xfId="0" applyFont="1" applyAlignment="1">
      <alignment horizontal="centerContinuous" vertical="center"/>
    </xf>
    <xf numFmtId="0" fontId="28" fillId="0" borderId="0" xfId="0" applyFont="1" applyAlignment="1">
      <alignment horizontal="centerContinuous" vertical="center"/>
    </xf>
    <xf numFmtId="0" fontId="26" fillId="0" borderId="0" xfId="0" applyFont="1" applyAlignment="1">
      <alignment horizontal="centerContinuous" vertical="center"/>
    </xf>
    <xf numFmtId="0" fontId="29" fillId="0" borderId="0" xfId="0" applyFont="1" applyAlignment="1">
      <alignment horizontal="centerContinuous" vertical="center"/>
    </xf>
    <xf numFmtId="0" fontId="29" fillId="0" borderId="6" xfId="0" applyFont="1" applyBorder="1" applyAlignment="1">
      <alignment horizontal="center"/>
    </xf>
    <xf numFmtId="0" fontId="29" fillId="0" borderId="29" xfId="0" applyFont="1" applyBorder="1" applyAlignment="1">
      <alignment horizontal="center"/>
    </xf>
    <xf numFmtId="0" fontId="29" fillId="0" borderId="31" xfId="0" applyFont="1" applyBorder="1" applyAlignment="1">
      <alignment horizontal="center"/>
    </xf>
    <xf numFmtId="0" fontId="29" fillId="0" borderId="0" xfId="0" applyFont="1" applyAlignment="1">
      <alignment horizontal="center"/>
    </xf>
    <xf numFmtId="0" fontId="25" fillId="0" borderId="0" xfId="0" applyFont="1"/>
    <xf numFmtId="166" fontId="30" fillId="0" borderId="22" xfId="0" applyNumberFormat="1" applyFont="1" applyBorder="1"/>
    <xf numFmtId="4" fontId="6" fillId="0" borderId="22" xfId="0" applyNumberFormat="1" applyFont="1" applyBorder="1" applyAlignment="1">
      <alignment horizontal="center"/>
    </xf>
    <xf numFmtId="39" fontId="31" fillId="0" borderId="2" xfId="0" applyNumberFormat="1" applyFont="1" applyBorder="1" applyAlignment="1" applyProtection="1">
      <alignment horizontal="center"/>
      <protection locked="0"/>
    </xf>
    <xf numFmtId="166" fontId="10" fillId="0" borderId="37" xfId="0" applyNumberFormat="1" applyFont="1" applyBorder="1"/>
    <xf numFmtId="39" fontId="31" fillId="0" borderId="38" xfId="0" applyNumberFormat="1" applyFont="1" applyBorder="1" applyAlignment="1" applyProtection="1">
      <alignment horizontal="center"/>
      <protection locked="0"/>
    </xf>
    <xf numFmtId="169" fontId="31" fillId="0" borderId="38" xfId="0" applyNumberFormat="1" applyFont="1" applyBorder="1" applyAlignment="1" applyProtection="1">
      <alignment horizontal="center"/>
      <protection locked="0"/>
    </xf>
    <xf numFmtId="0" fontId="10" fillId="0" borderId="44" xfId="0" applyFont="1" applyBorder="1"/>
    <xf numFmtId="166" fontId="31" fillId="0" borderId="38" xfId="0" applyNumberFormat="1" applyFont="1" applyBorder="1"/>
    <xf numFmtId="164" fontId="31" fillId="0" borderId="38" xfId="0" applyNumberFormat="1" applyFont="1" applyBorder="1"/>
    <xf numFmtId="168" fontId="31" fillId="0" borderId="38" xfId="0" applyNumberFormat="1" applyFont="1" applyBorder="1"/>
    <xf numFmtId="168" fontId="10" fillId="0" borderId="37" xfId="0" applyNumberFormat="1" applyFont="1" applyBorder="1"/>
    <xf numFmtId="166" fontId="3" fillId="0" borderId="37" xfId="0" applyNumberFormat="1" applyFont="1" applyBorder="1"/>
    <xf numFmtId="0" fontId="7" fillId="0" borderId="0" xfId="0" applyFont="1" applyAlignment="1">
      <alignment horizontal="center"/>
    </xf>
    <xf numFmtId="0" fontId="10" fillId="0" borderId="25" xfId="0" applyFont="1" applyBorder="1" applyAlignment="1">
      <alignment horizontal="center"/>
    </xf>
    <xf numFmtId="169" fontId="10" fillId="0" borderId="30" xfId="0" applyNumberFormat="1" applyFont="1" applyBorder="1"/>
    <xf numFmtId="0" fontId="10" fillId="0" borderId="0" xfId="0" applyFont="1" applyAlignment="1">
      <alignment horizontal="center"/>
    </xf>
    <xf numFmtId="0" fontId="12" fillId="2" borderId="0" xfId="0" applyFont="1" applyFill="1" applyAlignment="1">
      <alignment horizontal="left" vertical="center"/>
    </xf>
    <xf numFmtId="170" fontId="10" fillId="0" borderId="2" xfId="0" applyNumberFormat="1" applyFont="1" applyBorder="1"/>
    <xf numFmtId="2" fontId="6" fillId="0" borderId="0" xfId="0" applyNumberFormat="1" applyFont="1" applyAlignment="1">
      <alignment horizontal="center"/>
    </xf>
    <xf numFmtId="2" fontId="6" fillId="9" borderId="0" xfId="0" applyNumberFormat="1" applyFont="1" applyFill="1" applyAlignment="1">
      <alignment horizontal="center"/>
    </xf>
    <xf numFmtId="2" fontId="31" fillId="0" borderId="2" xfId="0" applyNumberFormat="1" applyFont="1" applyBorder="1" applyAlignment="1" applyProtection="1">
      <alignment horizontal="center"/>
      <protection locked="0"/>
    </xf>
    <xf numFmtId="170" fontId="6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171" fontId="6" fillId="9" borderId="0" xfId="0" applyNumberFormat="1" applyFont="1" applyFill="1" applyAlignment="1">
      <alignment horizontal="center"/>
    </xf>
    <xf numFmtId="0" fontId="13" fillId="0" borderId="0" xfId="0" applyFont="1"/>
    <xf numFmtId="166" fontId="18" fillId="0" borderId="45" xfId="0" applyNumberFormat="1" applyFont="1" applyBorder="1"/>
    <xf numFmtId="0" fontId="17" fillId="0" borderId="3" xfId="0" applyFont="1" applyBorder="1" applyAlignment="1">
      <alignment horizontal="center"/>
    </xf>
    <xf numFmtId="0" fontId="6" fillId="11" borderId="8" xfId="0" applyFont="1" applyFill="1" applyBorder="1" applyAlignment="1">
      <alignment horizontal="centerContinuous" vertical="center"/>
    </xf>
    <xf numFmtId="0" fontId="6" fillId="11" borderId="9" xfId="0" applyFont="1" applyFill="1" applyBorder="1" applyAlignment="1">
      <alignment horizontal="centerContinuous" vertical="center"/>
    </xf>
    <xf numFmtId="0" fontId="6" fillId="11" borderId="10" xfId="0" applyFont="1" applyFill="1" applyBorder="1" applyAlignment="1">
      <alignment horizontal="centerContinuous" vertical="center"/>
    </xf>
    <xf numFmtId="0" fontId="6" fillId="11" borderId="11" xfId="0" applyFont="1" applyFill="1" applyBorder="1" applyAlignment="1">
      <alignment horizontal="centerContinuous" vertical="center"/>
    </xf>
    <xf numFmtId="166" fontId="16" fillId="11" borderId="9" xfId="0" applyNumberFormat="1" applyFont="1" applyFill="1" applyBorder="1" applyAlignment="1">
      <alignment horizontal="centerContinuous" vertical="center"/>
    </xf>
    <xf numFmtId="166" fontId="16" fillId="11" borderId="11" xfId="0" applyNumberFormat="1" applyFont="1" applyFill="1" applyBorder="1" applyAlignment="1">
      <alignment horizontal="centerContinuous" vertical="center"/>
    </xf>
    <xf numFmtId="0" fontId="17" fillId="11" borderId="12" xfId="0" applyFont="1" applyFill="1" applyBorder="1" applyAlignment="1">
      <alignment horizontal="center"/>
    </xf>
    <xf numFmtId="165" fontId="6" fillId="11" borderId="10" xfId="0" applyNumberFormat="1" applyFont="1" applyFill="1" applyBorder="1" applyAlignment="1">
      <alignment horizontal="centerContinuous" vertical="center"/>
    </xf>
    <xf numFmtId="165" fontId="6" fillId="11" borderId="11" xfId="0" applyNumberFormat="1" applyFont="1" applyFill="1" applyBorder="1" applyAlignment="1">
      <alignment horizontal="centerContinuous" vertical="center"/>
    </xf>
    <xf numFmtId="166" fontId="6" fillId="11" borderId="10" xfId="0" applyNumberFormat="1" applyFont="1" applyFill="1" applyBorder="1" applyAlignment="1">
      <alignment horizontal="centerContinuous" vertical="center"/>
    </xf>
    <xf numFmtId="166" fontId="6" fillId="11" borderId="11" xfId="0" applyNumberFormat="1" applyFont="1" applyFill="1" applyBorder="1" applyAlignment="1">
      <alignment horizontal="centerContinuous" vertical="center"/>
    </xf>
    <xf numFmtId="0" fontId="17" fillId="11" borderId="14" xfId="0" applyFont="1" applyFill="1" applyBorder="1" applyAlignment="1">
      <alignment horizontal="center"/>
    </xf>
    <xf numFmtId="0" fontId="6" fillId="11" borderId="15" xfId="0" applyFont="1" applyFill="1" applyBorder="1" applyAlignment="1">
      <alignment horizontal="centerContinuous" vertical="center"/>
    </xf>
    <xf numFmtId="0" fontId="16" fillId="11" borderId="1" xfId="0" applyFont="1" applyFill="1" applyBorder="1" applyAlignment="1">
      <alignment horizontal="center"/>
    </xf>
    <xf numFmtId="0" fontId="17" fillId="11" borderId="16" xfId="0" applyFont="1" applyFill="1" applyBorder="1" applyAlignment="1">
      <alignment horizontal="center"/>
    </xf>
    <xf numFmtId="165" fontId="16" fillId="11" borderId="17" xfId="0" applyNumberFormat="1" applyFont="1" applyFill="1" applyBorder="1" applyAlignment="1">
      <alignment horizontal="center"/>
    </xf>
    <xf numFmtId="165" fontId="16" fillId="11" borderId="1" xfId="0" applyNumberFormat="1" applyFont="1" applyFill="1" applyBorder="1" applyAlignment="1">
      <alignment horizontal="center"/>
    </xf>
    <xf numFmtId="166" fontId="16" fillId="11" borderId="11" xfId="0" applyNumberFormat="1" applyFont="1" applyFill="1" applyBorder="1" applyAlignment="1">
      <alignment horizontal="center"/>
    </xf>
    <xf numFmtId="166" fontId="16" fillId="11" borderId="1" xfId="0" applyNumberFormat="1" applyFont="1" applyFill="1" applyBorder="1" applyAlignment="1">
      <alignment horizontal="center"/>
    </xf>
    <xf numFmtId="166" fontId="16" fillId="11" borderId="17" xfId="0" applyNumberFormat="1" applyFont="1" applyFill="1" applyBorder="1" applyAlignment="1">
      <alignment horizontal="center"/>
    </xf>
    <xf numFmtId="0" fontId="17" fillId="11" borderId="18" xfId="0" applyFont="1" applyFill="1" applyBorder="1" applyAlignment="1">
      <alignment horizontal="center"/>
    </xf>
    <xf numFmtId="0" fontId="11" fillId="11" borderId="35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11" fillId="11" borderId="36" xfId="0" applyFont="1" applyFill="1" applyBorder="1" applyAlignment="1">
      <alignment horizontal="center" vertical="center"/>
    </xf>
    <xf numFmtId="0" fontId="6" fillId="12" borderId="8" xfId="0" applyFont="1" applyFill="1" applyBorder="1" applyAlignment="1">
      <alignment horizontal="centerContinuous" vertical="center"/>
    </xf>
    <xf numFmtId="0" fontId="6" fillId="12" borderId="9" xfId="0" applyFont="1" applyFill="1" applyBorder="1" applyAlignment="1">
      <alignment horizontal="centerContinuous" vertical="center"/>
    </xf>
    <xf numFmtId="0" fontId="6" fillId="12" borderId="10" xfId="0" applyFont="1" applyFill="1" applyBorder="1" applyAlignment="1">
      <alignment horizontal="centerContinuous" vertical="center"/>
    </xf>
    <xf numFmtId="0" fontId="6" fillId="12" borderId="11" xfId="0" applyFont="1" applyFill="1" applyBorder="1" applyAlignment="1">
      <alignment horizontal="centerContinuous" vertical="center"/>
    </xf>
    <xf numFmtId="166" fontId="16" fillId="12" borderId="9" xfId="0" applyNumberFormat="1" applyFont="1" applyFill="1" applyBorder="1" applyAlignment="1">
      <alignment horizontal="centerContinuous" vertical="center"/>
    </xf>
    <xf numFmtId="166" fontId="16" fillId="12" borderId="11" xfId="0" applyNumberFormat="1" applyFont="1" applyFill="1" applyBorder="1" applyAlignment="1">
      <alignment horizontal="centerContinuous" vertical="center"/>
    </xf>
    <xf numFmtId="0" fontId="17" fillId="12" borderId="12" xfId="0" applyFont="1" applyFill="1" applyBorder="1" applyAlignment="1">
      <alignment horizontal="center"/>
    </xf>
    <xf numFmtId="165" fontId="6" fillId="12" borderId="10" xfId="0" applyNumberFormat="1" applyFont="1" applyFill="1" applyBorder="1" applyAlignment="1">
      <alignment horizontal="centerContinuous" vertical="center"/>
    </xf>
    <xf numFmtId="165" fontId="6" fillId="12" borderId="11" xfId="0" applyNumberFormat="1" applyFont="1" applyFill="1" applyBorder="1" applyAlignment="1">
      <alignment horizontal="centerContinuous" vertical="center"/>
    </xf>
    <xf numFmtId="166" fontId="6" fillId="12" borderId="10" xfId="0" applyNumberFormat="1" applyFont="1" applyFill="1" applyBorder="1" applyAlignment="1">
      <alignment horizontal="centerContinuous" vertical="center"/>
    </xf>
    <xf numFmtId="166" fontId="6" fillId="12" borderId="11" xfId="0" applyNumberFormat="1" applyFont="1" applyFill="1" applyBorder="1" applyAlignment="1">
      <alignment horizontal="centerContinuous" vertical="center"/>
    </xf>
    <xf numFmtId="0" fontId="17" fillId="12" borderId="14" xfId="0" applyFont="1" applyFill="1" applyBorder="1" applyAlignment="1">
      <alignment horizontal="center"/>
    </xf>
    <xf numFmtId="0" fontId="6" fillId="12" borderId="15" xfId="0" applyFont="1" applyFill="1" applyBorder="1" applyAlignment="1">
      <alignment horizontal="centerContinuous" vertical="center"/>
    </xf>
    <xf numFmtId="0" fontId="16" fillId="12" borderId="1" xfId="0" applyFont="1" applyFill="1" applyBorder="1" applyAlignment="1">
      <alignment horizontal="center"/>
    </xf>
    <xf numFmtId="165" fontId="16" fillId="12" borderId="1" xfId="0" applyNumberFormat="1" applyFont="1" applyFill="1" applyBorder="1" applyAlignment="1">
      <alignment horizontal="center"/>
    </xf>
    <xf numFmtId="0" fontId="17" fillId="12" borderId="16" xfId="0" applyFont="1" applyFill="1" applyBorder="1" applyAlignment="1">
      <alignment horizontal="center"/>
    </xf>
    <xf numFmtId="165" fontId="16" fillId="12" borderId="17" xfId="0" applyNumberFormat="1" applyFont="1" applyFill="1" applyBorder="1" applyAlignment="1">
      <alignment horizontal="center"/>
    </xf>
    <xf numFmtId="166" fontId="16" fillId="12" borderId="11" xfId="0" applyNumberFormat="1" applyFont="1" applyFill="1" applyBorder="1" applyAlignment="1">
      <alignment horizontal="center"/>
    </xf>
    <xf numFmtId="166" fontId="16" fillId="12" borderId="1" xfId="0" applyNumberFormat="1" applyFont="1" applyFill="1" applyBorder="1" applyAlignment="1">
      <alignment horizontal="center"/>
    </xf>
    <xf numFmtId="166" fontId="16" fillId="12" borderId="17" xfId="0" applyNumberFormat="1" applyFont="1" applyFill="1" applyBorder="1" applyAlignment="1">
      <alignment horizontal="center"/>
    </xf>
    <xf numFmtId="0" fontId="17" fillId="12" borderId="18" xfId="0" applyFont="1" applyFill="1" applyBorder="1" applyAlignment="1">
      <alignment horizontal="center"/>
    </xf>
    <xf numFmtId="0" fontId="11" fillId="12" borderId="1" xfId="0" applyFont="1" applyFill="1" applyBorder="1" applyAlignment="1">
      <alignment horizontal="center" vertical="center"/>
    </xf>
    <xf numFmtId="0" fontId="11" fillId="12" borderId="36" xfId="0" applyFont="1" applyFill="1" applyBorder="1" applyAlignment="1">
      <alignment horizontal="center" vertical="center"/>
    </xf>
    <xf numFmtId="0" fontId="11" fillId="12" borderId="35" xfId="0" applyFont="1" applyFill="1" applyBorder="1" applyAlignment="1">
      <alignment horizontal="center" vertical="center"/>
    </xf>
    <xf numFmtId="164" fontId="3" fillId="10" borderId="2" xfId="0" applyNumberFormat="1" applyFont="1" applyFill="1" applyBorder="1"/>
    <xf numFmtId="164" fontId="18" fillId="0" borderId="2" xfId="0" applyNumberFormat="1" applyFont="1" applyBorder="1" applyAlignment="1">
      <alignment horizontal="center"/>
    </xf>
    <xf numFmtId="2" fontId="31" fillId="0" borderId="38" xfId="0" applyNumberFormat="1" applyFont="1" applyBorder="1" applyAlignment="1">
      <alignment horizontal="center"/>
    </xf>
    <xf numFmtId="0" fontId="31" fillId="0" borderId="38" xfId="0" applyFont="1" applyBorder="1" applyAlignment="1">
      <alignment horizontal="center"/>
    </xf>
    <xf numFmtId="170" fontId="31" fillId="0" borderId="38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64" fontId="20" fillId="0" borderId="3" xfId="0" applyNumberFormat="1" applyFont="1" applyBorder="1" applyAlignment="1">
      <alignment horizontal="center"/>
    </xf>
    <xf numFmtId="0" fontId="18" fillId="0" borderId="0" xfId="0" applyFont="1" applyAlignment="1">
      <alignment horizontal="center"/>
    </xf>
    <xf numFmtId="166" fontId="20" fillId="0" borderId="3" xfId="0" applyNumberFormat="1" applyFont="1" applyBorder="1" applyAlignment="1">
      <alignment horizontal="center"/>
    </xf>
    <xf numFmtId="166" fontId="20" fillId="0" borderId="2" xfId="0" applyNumberFormat="1" applyFont="1" applyBorder="1" applyAlignment="1">
      <alignment horizontal="center"/>
    </xf>
    <xf numFmtId="166" fontId="18" fillId="0" borderId="2" xfId="0" applyNumberFormat="1" applyFont="1" applyBorder="1" applyAlignment="1">
      <alignment horizontal="center"/>
    </xf>
    <xf numFmtId="166" fontId="18" fillId="0" borderId="24" xfId="0" applyNumberFormat="1" applyFont="1" applyBorder="1" applyAlignment="1">
      <alignment horizontal="center"/>
    </xf>
    <xf numFmtId="164" fontId="18" fillId="0" borderId="7" xfId="0" applyNumberFormat="1" applyFont="1" applyBorder="1" applyAlignment="1">
      <alignment horizontal="center"/>
    </xf>
    <xf numFmtId="164" fontId="20" fillId="0" borderId="2" xfId="0" applyNumberFormat="1" applyFont="1" applyBorder="1" applyAlignment="1">
      <alignment horizontal="center"/>
    </xf>
    <xf numFmtId="164" fontId="18" fillId="0" borderId="13" xfId="0" applyNumberFormat="1" applyFont="1" applyBorder="1" applyAlignment="1">
      <alignment horizontal="center"/>
    </xf>
    <xf numFmtId="168" fontId="18" fillId="0" borderId="13" xfId="0" applyNumberFormat="1" applyFont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0" fillId="6" borderId="22" xfId="0" applyFill="1" applyBorder="1" applyAlignment="1">
      <alignment horizontal="center"/>
    </xf>
    <xf numFmtId="166" fontId="18" fillId="0" borderId="20" xfId="0" applyNumberFormat="1" applyFont="1" applyBorder="1" applyAlignment="1">
      <alignment horizontal="center"/>
    </xf>
    <xf numFmtId="166" fontId="18" fillId="0" borderId="7" xfId="0" applyNumberFormat="1" applyFont="1" applyBorder="1" applyAlignment="1">
      <alignment horizontal="center"/>
    </xf>
    <xf numFmtId="168" fontId="20" fillId="0" borderId="2" xfId="0" applyNumberFormat="1" applyFont="1" applyBorder="1" applyAlignment="1">
      <alignment horizontal="center"/>
    </xf>
    <xf numFmtId="0" fontId="22" fillId="7" borderId="22" xfId="0" applyFont="1" applyFill="1" applyBorder="1" applyAlignment="1">
      <alignment horizontal="center"/>
    </xf>
    <xf numFmtId="0" fontId="22" fillId="8" borderId="23" xfId="0" applyFont="1" applyFill="1" applyBorder="1" applyAlignment="1">
      <alignment horizontal="center"/>
    </xf>
    <xf numFmtId="0" fontId="23" fillId="0" borderId="0" xfId="0" applyFont="1" applyAlignment="1">
      <alignment horizontal="center"/>
    </xf>
    <xf numFmtId="166" fontId="8" fillId="0" borderId="2" xfId="0" applyNumberFormat="1" applyFont="1" applyBorder="1" applyAlignment="1">
      <alignment horizontal="center"/>
    </xf>
    <xf numFmtId="164" fontId="6" fillId="0" borderId="2" xfId="0" applyNumberFormat="1" applyFont="1" applyBorder="1" applyAlignment="1">
      <alignment horizontal="center"/>
    </xf>
    <xf numFmtId="166" fontId="6" fillId="0" borderId="2" xfId="0" applyNumberFormat="1" applyFont="1" applyBorder="1" applyAlignment="1">
      <alignment horizontal="center"/>
    </xf>
    <xf numFmtId="164" fontId="5" fillId="0" borderId="2" xfId="0" applyNumberFormat="1" applyFont="1" applyBorder="1"/>
    <xf numFmtId="166" fontId="5" fillId="0" borderId="2" xfId="0" applyNumberFormat="1" applyFont="1" applyBorder="1"/>
    <xf numFmtId="165" fontId="18" fillId="0" borderId="2" xfId="0" applyNumberFormat="1" applyFont="1" applyBorder="1" applyAlignment="1">
      <alignment horizontal="center"/>
    </xf>
    <xf numFmtId="166" fontId="8" fillId="0" borderId="13" xfId="0" applyNumberFormat="1" applyFont="1" applyBorder="1" applyAlignment="1">
      <alignment horizontal="center"/>
    </xf>
    <xf numFmtId="166" fontId="18" fillId="0" borderId="13" xfId="0" applyNumberFormat="1" applyFont="1" applyBorder="1" applyAlignment="1">
      <alignment horizontal="center"/>
    </xf>
    <xf numFmtId="164" fontId="3" fillId="13" borderId="2" xfId="0" applyNumberFormat="1" applyFont="1" applyFill="1" applyBorder="1" applyAlignment="1">
      <alignment horizontal="center"/>
    </xf>
    <xf numFmtId="0" fontId="7" fillId="0" borderId="8" xfId="0" applyFont="1" applyBorder="1"/>
    <xf numFmtId="0" fontId="6" fillId="0" borderId="15" xfId="0" applyFont="1" applyBorder="1"/>
    <xf numFmtId="0" fontId="7" fillId="0" borderId="15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168" fontId="6" fillId="0" borderId="2" xfId="0" applyNumberFormat="1" applyFont="1" applyBorder="1" applyAlignment="1">
      <alignment horizontal="center"/>
    </xf>
    <xf numFmtId="0" fontId="7" fillId="0" borderId="26" xfId="0" applyFont="1" applyBorder="1"/>
    <xf numFmtId="0" fontId="32" fillId="0" borderId="0" xfId="0" applyFont="1" applyAlignment="1">
      <alignment horizontal="center"/>
    </xf>
    <xf numFmtId="37" fontId="11" fillId="0" borderId="0" xfId="0" applyNumberFormat="1" applyFont="1" applyAlignment="1">
      <alignment horizontal="center"/>
    </xf>
    <xf numFmtId="37" fontId="6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71" fontId="6" fillId="0" borderId="0" xfId="0" applyNumberFormat="1" applyFont="1" applyAlignment="1">
      <alignment horizontal="center"/>
    </xf>
    <xf numFmtId="170" fontId="33" fillId="0" borderId="0" xfId="0" applyNumberFormat="1" applyFont="1" applyAlignment="1">
      <alignment horizontal="center"/>
    </xf>
    <xf numFmtId="0" fontId="10" fillId="14" borderId="6" xfId="0" applyFont="1" applyFill="1" applyBorder="1" applyAlignment="1">
      <alignment horizontal="center"/>
    </xf>
    <xf numFmtId="0" fontId="10" fillId="15" borderId="6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0" fontId="17" fillId="16" borderId="19" xfId="0" applyFont="1" applyFill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11" borderId="32" xfId="0" applyFont="1" applyFill="1" applyBorder="1" applyAlignment="1">
      <alignment horizontal="center" vertical="center"/>
    </xf>
    <xf numFmtId="0" fontId="11" fillId="11" borderId="33" xfId="0" applyFont="1" applyFill="1" applyBorder="1" applyAlignment="1">
      <alignment horizontal="center" vertical="center"/>
    </xf>
    <xf numFmtId="0" fontId="11" fillId="11" borderId="34" xfId="0" applyFont="1" applyFill="1" applyBorder="1" applyAlignment="1">
      <alignment horizontal="center" vertical="center"/>
    </xf>
    <xf numFmtId="0" fontId="11" fillId="11" borderId="8" xfId="0" applyFont="1" applyFill="1" applyBorder="1" applyAlignment="1">
      <alignment horizontal="center" vertical="center"/>
    </xf>
    <xf numFmtId="0" fontId="11" fillId="11" borderId="26" xfId="0" applyFont="1" applyFill="1" applyBorder="1" applyAlignment="1">
      <alignment horizontal="center" vertical="center"/>
    </xf>
    <xf numFmtId="0" fontId="0" fillId="11" borderId="27" xfId="0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11" fillId="11" borderId="42" xfId="0" applyFont="1" applyFill="1" applyBorder="1" applyAlignment="1">
      <alignment horizontal="center" vertical="center"/>
    </xf>
    <xf numFmtId="0" fontId="11" fillId="12" borderId="32" xfId="0" applyFont="1" applyFill="1" applyBorder="1" applyAlignment="1">
      <alignment horizontal="center" vertical="center"/>
    </xf>
    <xf numFmtId="0" fontId="11" fillId="12" borderId="33" xfId="0" applyFont="1" applyFill="1" applyBorder="1" applyAlignment="1">
      <alignment horizontal="center" vertical="center"/>
    </xf>
    <xf numFmtId="0" fontId="11" fillId="12" borderId="34" xfId="0" applyFont="1" applyFill="1" applyBorder="1" applyAlignment="1">
      <alignment horizontal="center" vertical="center"/>
    </xf>
    <xf numFmtId="0" fontId="11" fillId="12" borderId="39" xfId="0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0" fontId="11" fillId="12" borderId="41" xfId="0" applyFont="1" applyFill="1" applyBorder="1" applyAlignment="1">
      <alignment horizontal="center" vertical="center"/>
    </xf>
    <xf numFmtId="0" fontId="0" fillId="12" borderId="43" xfId="0" applyFill="1" applyBorder="1" applyAlignment="1">
      <alignment horizontal="center" vertical="center"/>
    </xf>
    <xf numFmtId="0" fontId="0" fillId="12" borderId="5" xfId="0" applyFill="1" applyBorder="1" applyAlignment="1">
      <alignment horizontal="center" vertical="center"/>
    </xf>
    <xf numFmtId="0" fontId="0" fillId="12" borderId="28" xfId="0" applyFill="1" applyBorder="1" applyAlignment="1">
      <alignment horizontal="center" vertical="center"/>
    </xf>
    <xf numFmtId="0" fontId="11" fillId="12" borderId="42" xfId="0" applyFont="1" applyFill="1" applyBorder="1" applyAlignment="1">
      <alignment horizontal="center" vertical="center"/>
    </xf>
  </cellXfs>
  <cellStyles count="6">
    <cellStyle name="Euro" xfId="1" xr:uid="{00000000-0005-0000-0000-000000000000}"/>
    <cellStyle name="Normal" xfId="0" builtinId="0"/>
    <cellStyle name="Normal 2" xfId="2" xr:uid="{00000000-0005-0000-0000-000030000000}"/>
    <cellStyle name="Normal 2 2" xfId="4" xr:uid="{B6031AEA-3694-45E1-85B2-6A23E2D1BFDD}"/>
    <cellStyle name="Normal 2 3 2" xfId="3" xr:uid="{0B6C3571-7164-46CE-812E-58596C776910}"/>
    <cellStyle name="Normal 3" xfId="5" xr:uid="{4B5F0A61-4DE5-42A1-BE07-0B14F61AC8A3}"/>
  </cellStyles>
  <dxfs count="26">
    <dxf>
      <font>
        <b/>
        <i val="0"/>
        <color theme="5"/>
      </font>
    </dxf>
    <dxf>
      <font>
        <b/>
        <i val="0"/>
        <color theme="3"/>
      </font>
    </dxf>
    <dxf>
      <font>
        <b/>
        <i val="0"/>
        <color theme="5"/>
      </font>
    </dxf>
    <dxf>
      <font>
        <b/>
        <i val="0"/>
        <color theme="3"/>
      </font>
    </dxf>
    <dxf>
      <font>
        <b/>
        <i val="0"/>
        <color theme="5"/>
      </font>
    </dxf>
    <dxf>
      <font>
        <b/>
        <i val="0"/>
        <color theme="3"/>
      </font>
    </dxf>
    <dxf>
      <font>
        <b/>
        <i val="0"/>
        <color theme="5"/>
      </font>
    </dxf>
    <dxf>
      <font>
        <b/>
        <i val="0"/>
        <color theme="3"/>
      </font>
    </dxf>
    <dxf>
      <font>
        <b/>
        <i val="0"/>
        <color theme="5"/>
      </font>
    </dxf>
    <dxf>
      <font>
        <b/>
        <i val="0"/>
        <color theme="3"/>
      </font>
    </dxf>
    <dxf>
      <font>
        <b/>
        <i val="0"/>
        <color theme="5"/>
      </font>
    </dxf>
    <dxf>
      <font>
        <b/>
        <i val="0"/>
        <color theme="3"/>
      </font>
    </dxf>
    <dxf>
      <font>
        <b/>
        <i val="0"/>
        <color theme="5"/>
      </font>
    </dxf>
    <dxf>
      <font>
        <b/>
        <i val="0"/>
        <color theme="3"/>
      </font>
    </dxf>
    <dxf>
      <font>
        <b/>
        <i val="0"/>
        <color theme="5"/>
      </font>
    </dxf>
    <dxf>
      <font>
        <b/>
        <i val="0"/>
        <color theme="3"/>
      </font>
    </dxf>
    <dxf>
      <font>
        <b/>
        <i val="0"/>
        <color theme="5"/>
      </font>
    </dxf>
    <dxf>
      <font>
        <b/>
        <i val="0"/>
        <color theme="3"/>
      </font>
    </dxf>
    <dxf>
      <font>
        <b/>
        <i val="0"/>
        <color theme="5"/>
      </font>
    </dxf>
    <dxf>
      <font>
        <b/>
        <i val="0"/>
        <color theme="3"/>
      </font>
    </dxf>
    <dxf>
      <font>
        <b/>
        <i/>
        <color rgb="FFFF0000"/>
      </font>
    </dxf>
    <dxf>
      <font>
        <b/>
        <i val="0"/>
        <color theme="5"/>
      </font>
    </dxf>
    <dxf>
      <font>
        <b/>
        <i val="0"/>
        <color theme="3"/>
      </font>
    </dxf>
    <dxf>
      <font>
        <b/>
        <i val="0"/>
        <color theme="5"/>
      </font>
    </dxf>
    <dxf>
      <font>
        <b/>
        <i val="0"/>
        <color theme="3"/>
      </font>
    </dxf>
    <dxf>
      <font>
        <b/>
        <i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FF66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CCCCFF"/>
      <color rgb="FFCC99FF"/>
      <color rgb="FFFF66FF"/>
      <color rgb="FFFF66CC"/>
      <color rgb="FF0000CC"/>
      <color rgb="FF0033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668867</xdr:colOff>
      <xdr:row>1</xdr:row>
      <xdr:rowOff>76200</xdr:rowOff>
    </xdr:from>
    <xdr:ext cx="2238490" cy="669444"/>
    <xdr:pic>
      <xdr:nvPicPr>
        <xdr:cNvPr id="2" name="Picture 1" descr="Logo fresnillo">
          <a:extLst>
            <a:ext uri="{FF2B5EF4-FFF2-40B4-BE49-F238E27FC236}">
              <a16:creationId xmlns:a16="http://schemas.microsoft.com/office/drawing/2014/main" id="{29640026-B176-44B7-9C3F-7710CC4F9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07567" y="304800"/>
          <a:ext cx="2238490" cy="6694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17991</xdr:rowOff>
    </xdr:from>
    <xdr:ext cx="1880659" cy="562431"/>
    <xdr:pic>
      <xdr:nvPicPr>
        <xdr:cNvPr id="2" name="Picture 1" descr="Logo fresnillo">
          <a:extLst>
            <a:ext uri="{FF2B5EF4-FFF2-40B4-BE49-F238E27FC236}">
              <a16:creationId xmlns:a16="http://schemas.microsoft.com/office/drawing/2014/main" id="{8870CDF1-D681-4BC5-B9C5-358EB63692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167" y="17991"/>
          <a:ext cx="1880659" cy="5624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12058</xdr:colOff>
      <xdr:row>0</xdr:row>
      <xdr:rowOff>24114</xdr:rowOff>
    </xdr:from>
    <xdr:ext cx="1880659" cy="562431"/>
    <xdr:pic>
      <xdr:nvPicPr>
        <xdr:cNvPr id="2" name="Picture 1" descr="Logo fresnillo">
          <a:extLst>
            <a:ext uri="{FF2B5EF4-FFF2-40B4-BE49-F238E27FC236}">
              <a16:creationId xmlns:a16="http://schemas.microsoft.com/office/drawing/2014/main" id="{B8024F17-2F94-4E86-BF37-8EC519146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7754" y="24114"/>
          <a:ext cx="1880659" cy="5624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668867</xdr:colOff>
      <xdr:row>1</xdr:row>
      <xdr:rowOff>76200</xdr:rowOff>
    </xdr:from>
    <xdr:ext cx="2238490" cy="669444"/>
    <xdr:pic>
      <xdr:nvPicPr>
        <xdr:cNvPr id="2" name="Picture 1" descr="Logo fresnillo">
          <a:extLst>
            <a:ext uri="{FF2B5EF4-FFF2-40B4-BE49-F238E27FC236}">
              <a16:creationId xmlns:a16="http://schemas.microsoft.com/office/drawing/2014/main" id="{179CEB50-944C-4423-B8CB-14347B6C2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0867" y="234950"/>
          <a:ext cx="2238490" cy="6694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60324</xdr:colOff>
      <xdr:row>0</xdr:row>
      <xdr:rowOff>17991</xdr:rowOff>
    </xdr:from>
    <xdr:ext cx="1880659" cy="562431"/>
    <xdr:pic>
      <xdr:nvPicPr>
        <xdr:cNvPr id="2" name="Picture 1" descr="Logo fresnillo">
          <a:extLst>
            <a:ext uri="{FF2B5EF4-FFF2-40B4-BE49-F238E27FC236}">
              <a16:creationId xmlns:a16="http://schemas.microsoft.com/office/drawing/2014/main" id="{0DDDBA3A-8F47-4938-8E20-57B52FF72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3991" y="17991"/>
          <a:ext cx="1880659" cy="5624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12057</xdr:rowOff>
    </xdr:from>
    <xdr:ext cx="1880659" cy="562431"/>
    <xdr:pic>
      <xdr:nvPicPr>
        <xdr:cNvPr id="2" name="Picture 1" descr="Logo fresnillo">
          <a:extLst>
            <a:ext uri="{FF2B5EF4-FFF2-40B4-BE49-F238E27FC236}">
              <a16:creationId xmlns:a16="http://schemas.microsoft.com/office/drawing/2014/main" id="{BE2E93B5-862F-43EE-BCD1-0D2AEB03C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5696" y="12057"/>
          <a:ext cx="1880659" cy="5624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M011155\Desktop\Laura%20SAV\2.-%20Minera%20-%20Ci&#233;nega\6.-%20Intercambios%20de%20concentrados\2026\2-Febrero\Certificado%20Ci&#233;nega%2002-2026.xlsx" TargetMode="External"/><Relationship Id="rId1" Type="http://schemas.openxmlformats.org/officeDocument/2006/relationships/externalLinkPath" Target="Certificado%20Ci&#233;nega%20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omo"/>
      <sheetName val="Zinc"/>
      <sheetName val="LotesCerrados (2)"/>
      <sheetName val="PLOMO "/>
      <sheetName val="Lote 6"/>
      <sheetName val="Lote 7"/>
      <sheetName val="Lote 9"/>
    </sheetNames>
    <sheetDataSet>
      <sheetData sheetId="0">
        <row r="9">
          <cell r="A9" t="str">
            <v>P20260350</v>
          </cell>
          <cell r="B9" t="str">
            <v>06</v>
          </cell>
          <cell r="C9">
            <v>113.55</v>
          </cell>
          <cell r="F9">
            <v>15.247999999999999</v>
          </cell>
          <cell r="I9">
            <v>20.75</v>
          </cell>
          <cell r="L9">
            <v>22.2</v>
          </cell>
          <cell r="O9">
            <v>0.23899999999999999</v>
          </cell>
          <cell r="R9">
            <v>0.05</v>
          </cell>
          <cell r="U9">
            <v>7.0000000000000007E-2</v>
          </cell>
          <cell r="X9">
            <v>6.8999999999999999E-3</v>
          </cell>
        </row>
        <row r="10">
          <cell r="A10" t="str">
            <v>P20260351</v>
          </cell>
          <cell r="B10" t="str">
            <v>07</v>
          </cell>
          <cell r="C10">
            <v>113.9</v>
          </cell>
          <cell r="F10">
            <v>14.532</v>
          </cell>
          <cell r="I10">
            <v>21.66</v>
          </cell>
          <cell r="L10">
            <v>22.45</v>
          </cell>
          <cell r="O10">
            <v>0.24</v>
          </cell>
          <cell r="R10">
            <v>0.06</v>
          </cell>
          <cell r="U10">
            <v>7.0000000000000007E-2</v>
          </cell>
          <cell r="X10">
            <v>7.0000000000000001E-3</v>
          </cell>
        </row>
        <row r="11">
          <cell r="A11" t="str">
            <v>P20260405</v>
          </cell>
          <cell r="B11" t="str">
            <v>08</v>
          </cell>
          <cell r="C11">
            <v>185.26</v>
          </cell>
          <cell r="F11">
            <v>15.101000000000001</v>
          </cell>
          <cell r="I11">
            <v>24.47</v>
          </cell>
          <cell r="L11">
            <v>20.99</v>
          </cell>
          <cell r="O11">
            <v>0.24399999999999999</v>
          </cell>
          <cell r="R11">
            <v>4.9000000000000002E-2</v>
          </cell>
          <cell r="U11">
            <v>0.05</v>
          </cell>
          <cell r="X11">
            <v>6.8999999999999999E-3</v>
          </cell>
        </row>
        <row r="12">
          <cell r="A12" t="str">
            <v>P20260406</v>
          </cell>
          <cell r="B12" t="str">
            <v>09</v>
          </cell>
          <cell r="C12">
            <v>176.07</v>
          </cell>
          <cell r="F12">
            <v>14.903</v>
          </cell>
          <cell r="I12">
            <v>23.94</v>
          </cell>
          <cell r="L12">
            <v>21.8</v>
          </cell>
          <cell r="O12">
            <v>0.255</v>
          </cell>
          <cell r="R12">
            <v>4.4999999999999998E-2</v>
          </cell>
          <cell r="U12">
            <v>0.06</v>
          </cell>
          <cell r="X12">
            <v>7.0000000000000001E-3</v>
          </cell>
        </row>
      </sheetData>
      <sheetData sheetId="1">
        <row r="9">
          <cell r="A9"/>
          <cell r="B9"/>
          <cell r="C9"/>
          <cell r="F9"/>
          <cell r="I9"/>
          <cell r="L9"/>
          <cell r="O9"/>
          <cell r="R9"/>
          <cell r="U9"/>
          <cell r="X9"/>
        </row>
        <row r="10">
          <cell r="A10"/>
          <cell r="B10"/>
          <cell r="C10"/>
          <cell r="F10"/>
          <cell r="I10"/>
          <cell r="L10"/>
          <cell r="O10"/>
          <cell r="R10"/>
          <cell r="U10"/>
          <cell r="X10"/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84272-1698-4C40-8E16-B4EC843AC377}">
  <sheetPr transitionEvaluation="1" transitionEntry="1">
    <pageSetUpPr fitToPage="1"/>
  </sheetPr>
  <dimension ref="A1:K24"/>
  <sheetViews>
    <sheetView showGridLines="0" zoomScale="99" workbookViewId="0">
      <selection activeCell="A15" sqref="A15"/>
    </sheetView>
  </sheetViews>
  <sheetFormatPr baseColWidth="10" defaultRowHeight="12.5" x14ac:dyDescent="0.25"/>
  <cols>
    <col min="1" max="1" width="14.6328125" customWidth="1"/>
    <col min="2" max="2" width="12.6328125" bestFit="1" customWidth="1"/>
    <col min="3" max="3" width="13.08984375" customWidth="1"/>
    <col min="4" max="6" width="9.6328125" customWidth="1"/>
    <col min="7" max="7" width="10.453125" customWidth="1"/>
    <col min="8" max="10" width="9.6328125" customWidth="1"/>
  </cols>
  <sheetData>
    <row r="1" spans="1:11" ht="18" x14ac:dyDescent="0.4">
      <c r="A1" s="235" t="s">
        <v>31</v>
      </c>
      <c r="B1" s="235"/>
      <c r="C1" s="235"/>
      <c r="D1" s="235"/>
      <c r="E1" s="235"/>
      <c r="F1" s="235"/>
      <c r="G1" s="235"/>
      <c r="H1" s="128"/>
      <c r="I1" s="128"/>
      <c r="J1" s="128"/>
    </row>
    <row r="2" spans="1:11" ht="6" customHeight="1" x14ac:dyDescent="0.25"/>
    <row r="3" spans="1:11" ht="15.5" x14ac:dyDescent="0.35">
      <c r="A3" s="236"/>
      <c r="B3" s="236"/>
      <c r="C3" s="236"/>
      <c r="D3" s="236"/>
      <c r="E3" s="236"/>
      <c r="F3" s="236"/>
      <c r="G3" s="236"/>
      <c r="H3" s="129"/>
      <c r="I3" s="129"/>
      <c r="J3" s="129"/>
    </row>
    <row r="4" spans="1:11" ht="6" customHeight="1" x14ac:dyDescent="0.25"/>
    <row r="5" spans="1:11" ht="13" x14ac:dyDescent="0.3">
      <c r="A5" s="237" t="s">
        <v>0</v>
      </c>
      <c r="B5" s="237"/>
      <c r="C5" s="237"/>
      <c r="D5" s="237"/>
      <c r="E5" s="237"/>
      <c r="F5" s="237"/>
      <c r="G5" s="237"/>
      <c r="H5" s="130"/>
      <c r="I5" s="130"/>
      <c r="J5" s="130"/>
    </row>
    <row r="6" spans="1:11" ht="6" customHeight="1" x14ac:dyDescent="0.25"/>
    <row r="7" spans="1:11" ht="18" x14ac:dyDescent="0.4">
      <c r="A7" s="237" t="s">
        <v>84</v>
      </c>
      <c r="B7" s="237"/>
      <c r="C7" s="237"/>
      <c r="D7" s="237"/>
      <c r="E7" s="237"/>
      <c r="F7" s="237"/>
      <c r="G7" s="237"/>
      <c r="H7" s="130"/>
      <c r="I7" s="130"/>
      <c r="J7" s="130"/>
    </row>
    <row r="8" spans="1:11" ht="14" x14ac:dyDescent="0.3">
      <c r="A8" s="1"/>
      <c r="B8" s="1"/>
      <c r="C8" s="1"/>
      <c r="D8" s="1"/>
      <c r="E8" s="1"/>
      <c r="F8" s="1"/>
      <c r="G8" s="1"/>
      <c r="H8" s="1"/>
      <c r="I8" s="1"/>
      <c r="J8" s="1"/>
    </row>
    <row r="9" spans="1:11" ht="14" x14ac:dyDescent="0.3">
      <c r="A9" s="2" t="s">
        <v>1</v>
      </c>
      <c r="B9" s="2"/>
      <c r="C9" s="3"/>
      <c r="D9" s="3"/>
      <c r="E9" s="3"/>
      <c r="F9" s="3"/>
      <c r="G9" s="3"/>
      <c r="H9" s="3"/>
      <c r="I9" s="3"/>
      <c r="J9" s="3"/>
    </row>
    <row r="10" spans="1:11" ht="15.5" x14ac:dyDescent="0.35">
      <c r="A10" s="3"/>
      <c r="B10" s="3"/>
      <c r="C10" s="222" t="s">
        <v>2</v>
      </c>
      <c r="D10" s="222" t="s">
        <v>3</v>
      </c>
      <c r="E10" s="222" t="s">
        <v>4</v>
      </c>
      <c r="F10" s="222" t="s">
        <v>5</v>
      </c>
      <c r="G10" s="222" t="s">
        <v>23</v>
      </c>
      <c r="H10" s="222" t="s">
        <v>24</v>
      </c>
      <c r="I10" s="222" t="s">
        <v>22</v>
      </c>
      <c r="J10" s="222" t="s">
        <v>30</v>
      </c>
    </row>
    <row r="11" spans="1:11" ht="14" x14ac:dyDescent="0.3">
      <c r="A11" s="3"/>
      <c r="B11" s="3"/>
      <c r="C11" s="130" t="s">
        <v>81</v>
      </c>
      <c r="D11" s="130" t="s">
        <v>82</v>
      </c>
      <c r="E11" s="130" t="s">
        <v>7</v>
      </c>
      <c r="F11" s="130" t="s">
        <v>7</v>
      </c>
      <c r="G11" s="130" t="s">
        <v>7</v>
      </c>
      <c r="H11" s="130" t="s">
        <v>7</v>
      </c>
      <c r="I11" s="130" t="s">
        <v>7</v>
      </c>
      <c r="J11" s="130" t="s">
        <v>7</v>
      </c>
    </row>
    <row r="12" spans="1:11" ht="14" x14ac:dyDescent="0.3">
      <c r="A12" s="118" t="s">
        <v>71</v>
      </c>
      <c r="B12" s="118" t="s">
        <v>72</v>
      </c>
      <c r="C12" s="225"/>
      <c r="D12" s="3"/>
      <c r="E12" s="3"/>
      <c r="F12" s="3"/>
      <c r="G12" s="3"/>
      <c r="H12" s="3"/>
      <c r="I12" s="3"/>
      <c r="J12" s="3"/>
    </row>
    <row r="13" spans="1:11" ht="14" x14ac:dyDescent="0.3">
      <c r="A13" s="1" t="str">
        <f>[1]Plomo!$A9</f>
        <v>P20260350</v>
      </c>
      <c r="B13" s="1" t="str">
        <f>[1]Plomo!$B9</f>
        <v>06</v>
      </c>
      <c r="C13" s="127">
        <f>[1]Plomo!C9</f>
        <v>113.55</v>
      </c>
      <c r="D13" s="127">
        <f>[1]Plomo!F9</f>
        <v>15.247999999999999</v>
      </c>
      <c r="E13" s="127">
        <f>[1]Plomo!I9</f>
        <v>20.75</v>
      </c>
      <c r="F13" s="127">
        <f>[1]Plomo!L9</f>
        <v>22.2</v>
      </c>
      <c r="G13" s="127">
        <f>[1]Plomo!O9</f>
        <v>0.23899999999999999</v>
      </c>
      <c r="H13" s="127">
        <f>[1]Plomo!R9</f>
        <v>0.05</v>
      </c>
      <c r="I13" s="127">
        <f>[1]Plomo!U9</f>
        <v>7.0000000000000007E-2</v>
      </c>
      <c r="J13" s="226">
        <f>[1]Plomo!X9</f>
        <v>6.8999999999999999E-3</v>
      </c>
    </row>
    <row r="14" spans="1:11" ht="14" x14ac:dyDescent="0.3">
      <c r="A14" s="1" t="str">
        <f>[1]Plomo!$A10</f>
        <v>P20260351</v>
      </c>
      <c r="B14" s="1" t="str">
        <f>[1]Plomo!$B10</f>
        <v>07</v>
      </c>
      <c r="C14" s="127">
        <f>[1]Plomo!C10</f>
        <v>113.9</v>
      </c>
      <c r="D14" s="127">
        <f>[1]Plomo!F10</f>
        <v>14.532</v>
      </c>
      <c r="E14" s="127">
        <f>[1]Plomo!I10</f>
        <v>21.66</v>
      </c>
      <c r="F14" s="127">
        <f>[1]Plomo!L10</f>
        <v>22.45</v>
      </c>
      <c r="G14" s="127">
        <f>[1]Plomo!O10</f>
        <v>0.24</v>
      </c>
      <c r="H14" s="127">
        <f>[1]Plomo!R10</f>
        <v>0.06</v>
      </c>
      <c r="I14" s="127">
        <f>[1]Plomo!U10</f>
        <v>7.0000000000000007E-2</v>
      </c>
      <c r="J14" s="226">
        <f>[1]Plomo!X10</f>
        <v>7.0000000000000001E-3</v>
      </c>
    </row>
    <row r="15" spans="1:11" ht="14" x14ac:dyDescent="0.3">
      <c r="A15" s="1" t="str">
        <f>[1]Plomo!$A11</f>
        <v>P20260405</v>
      </c>
      <c r="B15" s="1" t="str">
        <f>[1]Plomo!$B11</f>
        <v>08</v>
      </c>
      <c r="C15" s="127">
        <f>[1]Plomo!C11</f>
        <v>185.26</v>
      </c>
      <c r="D15" s="127">
        <f>[1]Plomo!F11</f>
        <v>15.101000000000001</v>
      </c>
      <c r="E15" s="127">
        <f>[1]Plomo!I11</f>
        <v>24.47</v>
      </c>
      <c r="F15" s="127">
        <f>[1]Plomo!L11</f>
        <v>20.99</v>
      </c>
      <c r="G15" s="127">
        <f>[1]Plomo!O11</f>
        <v>0.24399999999999999</v>
      </c>
      <c r="H15" s="127">
        <f>[1]Plomo!R11</f>
        <v>4.9000000000000002E-2</v>
      </c>
      <c r="I15" s="127">
        <f>[1]Plomo!U11</f>
        <v>0.05</v>
      </c>
      <c r="J15" s="226">
        <f>[1]Plomo!X11</f>
        <v>6.8999999999999999E-3</v>
      </c>
    </row>
    <row r="16" spans="1:11" ht="14" x14ac:dyDescent="0.3">
      <c r="A16" s="1" t="str">
        <f>[1]Plomo!$A12</f>
        <v>P20260406</v>
      </c>
      <c r="B16" s="1" t="str">
        <f>[1]Plomo!$B12</f>
        <v>09</v>
      </c>
      <c r="C16" s="127">
        <f>[1]Plomo!C12</f>
        <v>176.07</v>
      </c>
      <c r="D16" s="127">
        <f>[1]Plomo!F12</f>
        <v>14.903</v>
      </c>
      <c r="E16" s="127">
        <f>[1]Plomo!I12</f>
        <v>23.94</v>
      </c>
      <c r="F16" s="127">
        <f>[1]Plomo!L12</f>
        <v>21.8</v>
      </c>
      <c r="G16" s="127">
        <f>[1]Plomo!O12</f>
        <v>0.255</v>
      </c>
      <c r="H16" s="127">
        <f>[1]Plomo!R12</f>
        <v>4.4999999999999998E-2</v>
      </c>
      <c r="I16" s="127">
        <f>[1]Plomo!U12</f>
        <v>0.06</v>
      </c>
      <c r="J16" s="226">
        <f>[1]Plomo!X12</f>
        <v>7.0000000000000001E-3</v>
      </c>
      <c r="K16" s="132"/>
    </row>
    <row r="17" spans="1:11" ht="14" x14ac:dyDescent="0.3">
      <c r="A17" s="1"/>
      <c r="B17" s="1"/>
      <c r="C17" s="124"/>
      <c r="D17" s="125"/>
      <c r="E17" s="125"/>
      <c r="F17" s="125"/>
      <c r="G17" s="125"/>
      <c r="H17" s="125"/>
      <c r="I17" s="125"/>
      <c r="J17" s="131"/>
      <c r="K17" s="132"/>
    </row>
    <row r="18" spans="1:11" ht="14.25" customHeight="1" x14ac:dyDescent="0.3">
      <c r="A18" s="4"/>
      <c r="B18" s="4"/>
      <c r="C18" s="27"/>
      <c r="D18" s="4"/>
      <c r="E18" s="4"/>
      <c r="F18" s="4"/>
      <c r="G18" s="4"/>
      <c r="H18" s="4"/>
      <c r="I18" s="4"/>
    </row>
    <row r="19" spans="1:11" ht="14.25" customHeight="1" x14ac:dyDescent="0.3">
      <c r="A19" s="4"/>
      <c r="B19" s="4"/>
      <c r="C19" s="27"/>
      <c r="D19" s="4"/>
      <c r="E19" s="4"/>
      <c r="F19" s="4"/>
      <c r="G19" s="4"/>
      <c r="H19" s="4"/>
      <c r="I19" s="4"/>
    </row>
    <row r="20" spans="1:11" ht="14.25" customHeight="1" x14ac:dyDescent="0.25">
      <c r="B20" s="8"/>
      <c r="C20" s="9"/>
      <c r="D20" s="233" t="s">
        <v>80</v>
      </c>
      <c r="E20" s="233"/>
      <c r="F20" s="233"/>
      <c r="G20" s="233"/>
      <c r="H20" s="9"/>
      <c r="I20" s="9"/>
      <c r="J20" s="9"/>
      <c r="K20" s="10"/>
    </row>
    <row r="21" spans="1:11" ht="14.25" customHeight="1" x14ac:dyDescent="0.25">
      <c r="D21" s="234" t="s">
        <v>76</v>
      </c>
      <c r="E21" s="234"/>
      <c r="F21" s="234"/>
      <c r="G21" s="234"/>
      <c r="K21" s="10"/>
    </row>
    <row r="22" spans="1:11" ht="14.25" customHeight="1" x14ac:dyDescent="0.3">
      <c r="A22" s="4"/>
    </row>
    <row r="23" spans="1:11" ht="14.25" customHeight="1" x14ac:dyDescent="0.3">
      <c r="A23" s="4"/>
    </row>
    <row r="24" spans="1:11" ht="14.25" customHeight="1" x14ac:dyDescent="0.25"/>
  </sheetData>
  <mergeCells count="6">
    <mergeCell ref="D21:G21"/>
    <mergeCell ref="A1:G1"/>
    <mergeCell ref="A3:G3"/>
    <mergeCell ref="A5:G5"/>
    <mergeCell ref="A7:G7"/>
    <mergeCell ref="D20:G20"/>
  </mergeCells>
  <conditionalFormatting sqref="D13:H16">
    <cfRule type="cellIs" dxfId="25" priority="17" stopIfTrue="1" operator="lessThanOrEqual">
      <formula>#REF!</formula>
    </cfRule>
  </conditionalFormatting>
  <printOptions horizontalCentered="1" verticalCentered="1"/>
  <pageMargins left="0.39370078740157483" right="0.39370078740157483" top="0.39370078740157483" bottom="0.39370078740157483" header="0" footer="0"/>
  <pageSetup paperSize="11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transitionEvaluation="1" transitionEntry="1" codeName="Hoja2"/>
  <dimension ref="A1:BA25"/>
  <sheetViews>
    <sheetView showGridLines="0" zoomScale="90" zoomScaleNormal="90" zoomScaleSheetLayoutView="100" workbookViewId="0">
      <pane xSplit="2" ySplit="3" topLeftCell="AR4" activePane="bottomRight" state="frozen"/>
      <selection activeCell="D14" sqref="D14"/>
      <selection pane="topRight" activeCell="D14" sqref="D14"/>
      <selection pane="bottomLeft" activeCell="D14" sqref="D14"/>
      <selection pane="bottomRight" activeCell="AY16" sqref="AY16"/>
    </sheetView>
  </sheetViews>
  <sheetFormatPr baseColWidth="10" defaultColWidth="11.453125" defaultRowHeight="12.5" x14ac:dyDescent="0.25"/>
  <cols>
    <col min="1" max="1" width="0.90625" style="7" customWidth="1"/>
    <col min="2" max="2" width="13.08984375" style="7" customWidth="1"/>
    <col min="3" max="3" width="9.90625" style="7" bestFit="1" customWidth="1"/>
    <col min="4" max="4" width="10.36328125" style="7" bestFit="1" customWidth="1"/>
    <col min="5" max="5" width="10.54296875" style="7" customWidth="1"/>
    <col min="6" max="6" width="7.6328125" style="7" customWidth="1"/>
    <col min="7" max="7" width="5.6328125" style="7" customWidth="1"/>
    <col min="8" max="8" width="11" style="7" customWidth="1"/>
    <col min="9" max="9" width="16.08984375" style="7" bestFit="1" customWidth="1"/>
    <col min="10" max="10" width="10.6328125" style="7" customWidth="1"/>
    <col min="11" max="12" width="9" style="7" customWidth="1"/>
    <col min="13" max="13" width="5.6328125" style="7" customWidth="1"/>
    <col min="14" max="14" width="8.6328125" style="7" bestFit="1" customWidth="1"/>
    <col min="15" max="15" width="8.6328125" style="7" customWidth="1"/>
    <col min="16" max="16" width="7.6328125" style="7" customWidth="1"/>
    <col min="17" max="17" width="6.6328125" style="7" customWidth="1"/>
    <col min="18" max="18" width="7.6328125" style="7" customWidth="1"/>
    <col min="19" max="19" width="9" style="7" customWidth="1"/>
    <col min="20" max="20" width="7.6328125" style="7" customWidth="1"/>
    <col min="21" max="21" width="8.6328125" style="7" customWidth="1"/>
    <col min="22" max="22" width="7.6328125" style="7" customWidth="1"/>
    <col min="23" max="23" width="6.6328125" style="7" customWidth="1"/>
    <col min="24" max="24" width="7.6328125" style="7" customWidth="1"/>
    <col min="25" max="25" width="8.453125" style="7" customWidth="1"/>
    <col min="26" max="26" width="7.6328125" style="7" customWidth="1"/>
    <col min="27" max="27" width="11.453125" style="7"/>
    <col min="28" max="28" width="8.6328125" style="7" customWidth="1"/>
    <col min="29" max="29" width="8.6328125" style="7" bestFit="1" customWidth="1"/>
    <col min="30" max="30" width="8.90625" style="7" bestFit="1" customWidth="1"/>
    <col min="31" max="31" width="7.6328125" style="7" customWidth="1"/>
    <col min="32" max="32" width="10.08984375" style="7" customWidth="1"/>
    <col min="33" max="16384" width="11.453125" style="7"/>
  </cols>
  <sheetData>
    <row r="1" spans="1:53" ht="15.9" customHeight="1" x14ac:dyDescent="0.25">
      <c r="A1" s="14" t="str">
        <f>'Ens. Zinc'!A1:G1</f>
        <v>MINERA MEXICANA LA CIENEGA, S.A. DE C.V.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53" ht="15.5" x14ac:dyDescent="0.25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</row>
    <row r="3" spans="1:53" ht="14" x14ac:dyDescent="0.25">
      <c r="A3" s="13" t="str">
        <f>'Ens. Plomo'!$A$7:$G$7</f>
        <v>Lotes cerrados febrero 2026.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spans="1:53" ht="15.9" customHeight="1" x14ac:dyDescent="0.25">
      <c r="A4" s="14" t="s">
        <v>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</row>
    <row r="5" spans="1:53" ht="6" customHeight="1" thickBot="1" x14ac:dyDescent="0.3"/>
    <row r="6" spans="1:53" ht="13" x14ac:dyDescent="0.25">
      <c r="A6" s="241" t="s">
        <v>20</v>
      </c>
      <c r="B6" s="242"/>
      <c r="C6" s="238" t="s">
        <v>11</v>
      </c>
      <c r="D6" s="239"/>
      <c r="E6" s="239"/>
      <c r="F6" s="239"/>
      <c r="G6" s="239"/>
      <c r="H6" s="240"/>
      <c r="I6" s="238" t="s">
        <v>32</v>
      </c>
      <c r="J6" s="239"/>
      <c r="K6" s="239"/>
      <c r="L6" s="239"/>
      <c r="M6" s="239"/>
      <c r="N6" s="240"/>
      <c r="O6" s="238" t="s">
        <v>12</v>
      </c>
      <c r="P6" s="239"/>
      <c r="Q6" s="239"/>
      <c r="R6" s="239"/>
      <c r="S6" s="239"/>
      <c r="T6" s="240"/>
      <c r="U6" s="245" t="s">
        <v>13</v>
      </c>
      <c r="V6" s="239"/>
      <c r="W6" s="239"/>
      <c r="X6" s="239"/>
      <c r="Y6" s="239"/>
      <c r="Z6" s="240"/>
      <c r="AA6" s="238" t="s">
        <v>28</v>
      </c>
      <c r="AB6" s="239"/>
      <c r="AC6" s="239"/>
      <c r="AD6" s="239"/>
      <c r="AE6" s="239"/>
      <c r="AF6" s="240"/>
      <c r="AG6" s="238" t="s">
        <v>75</v>
      </c>
      <c r="AH6" s="239"/>
      <c r="AI6" s="239"/>
      <c r="AJ6" s="239"/>
      <c r="AK6" s="239"/>
      <c r="AL6" s="240"/>
      <c r="AM6" s="238" t="s">
        <v>27</v>
      </c>
      <c r="AN6" s="239"/>
      <c r="AO6" s="239"/>
      <c r="AP6" s="239"/>
      <c r="AQ6" s="239"/>
      <c r="AR6" s="240"/>
      <c r="AS6" s="238" t="s">
        <v>62</v>
      </c>
      <c r="AT6" s="239"/>
      <c r="AU6" s="239"/>
      <c r="AV6" s="239"/>
      <c r="AW6" s="239"/>
      <c r="AX6" s="240"/>
      <c r="AY6" s="20" t="s">
        <v>18</v>
      </c>
      <c r="AZ6" s="93"/>
      <c r="BA6" s="21" t="s">
        <v>36</v>
      </c>
    </row>
    <row r="7" spans="1:53" ht="13" x14ac:dyDescent="0.25">
      <c r="A7" s="243"/>
      <c r="B7" s="244"/>
      <c r="C7" s="156" t="s">
        <v>10</v>
      </c>
      <c r="D7" s="157" t="s">
        <v>35</v>
      </c>
      <c r="E7" s="157" t="s">
        <v>19</v>
      </c>
      <c r="F7" s="157" t="s">
        <v>14</v>
      </c>
      <c r="G7" s="157" t="s">
        <v>15</v>
      </c>
      <c r="H7" s="158" t="s">
        <v>16</v>
      </c>
      <c r="I7" s="156" t="s">
        <v>10</v>
      </c>
      <c r="J7" s="157" t="s">
        <v>35</v>
      </c>
      <c r="K7" s="157" t="s">
        <v>19</v>
      </c>
      <c r="L7" s="157" t="s">
        <v>14</v>
      </c>
      <c r="M7" s="157" t="s">
        <v>15</v>
      </c>
      <c r="N7" s="158" t="s">
        <v>16</v>
      </c>
      <c r="O7" s="156" t="s">
        <v>10</v>
      </c>
      <c r="P7" s="157" t="s">
        <v>35</v>
      </c>
      <c r="Q7" s="157" t="s">
        <v>19</v>
      </c>
      <c r="R7" s="157" t="s">
        <v>14</v>
      </c>
      <c r="S7" s="157" t="s">
        <v>15</v>
      </c>
      <c r="T7" s="158" t="s">
        <v>16</v>
      </c>
      <c r="U7" s="157" t="s">
        <v>10</v>
      </c>
      <c r="V7" s="157" t="s">
        <v>35</v>
      </c>
      <c r="W7" s="157" t="s">
        <v>19</v>
      </c>
      <c r="X7" s="157" t="s">
        <v>14</v>
      </c>
      <c r="Y7" s="157" t="s">
        <v>15</v>
      </c>
      <c r="Z7" s="158" t="s">
        <v>16</v>
      </c>
      <c r="AA7" s="156" t="s">
        <v>10</v>
      </c>
      <c r="AB7" s="157" t="s">
        <v>35</v>
      </c>
      <c r="AC7" s="157" t="s">
        <v>19</v>
      </c>
      <c r="AD7" s="157" t="s">
        <v>14</v>
      </c>
      <c r="AE7" s="157" t="s">
        <v>15</v>
      </c>
      <c r="AF7" s="158" t="s">
        <v>16</v>
      </c>
      <c r="AG7" s="156" t="s">
        <v>10</v>
      </c>
      <c r="AH7" s="157" t="s">
        <v>35</v>
      </c>
      <c r="AI7" s="157" t="s">
        <v>19</v>
      </c>
      <c r="AJ7" s="157" t="s">
        <v>14</v>
      </c>
      <c r="AK7" s="157" t="s">
        <v>15</v>
      </c>
      <c r="AL7" s="158" t="s">
        <v>16</v>
      </c>
      <c r="AM7" s="156" t="s">
        <v>10</v>
      </c>
      <c r="AN7" s="157" t="s">
        <v>35</v>
      </c>
      <c r="AO7" s="157" t="s">
        <v>19</v>
      </c>
      <c r="AP7" s="157" t="s">
        <v>14</v>
      </c>
      <c r="AQ7" s="157" t="s">
        <v>15</v>
      </c>
      <c r="AR7" s="158" t="s">
        <v>16</v>
      </c>
      <c r="AS7" s="156" t="s">
        <v>10</v>
      </c>
      <c r="AT7" s="157" t="s">
        <v>35</v>
      </c>
      <c r="AU7" s="157" t="s">
        <v>19</v>
      </c>
      <c r="AV7" s="157" t="s">
        <v>14</v>
      </c>
      <c r="AW7" s="157" t="s">
        <v>15</v>
      </c>
      <c r="AX7" s="158" t="s">
        <v>16</v>
      </c>
      <c r="AY7" s="20" t="s">
        <v>34</v>
      </c>
      <c r="AZ7" s="93"/>
      <c r="BA7" s="22" t="s">
        <v>37</v>
      </c>
    </row>
    <row r="8" spans="1:53" x14ac:dyDescent="0.25">
      <c r="A8" s="16"/>
      <c r="B8" s="229" t="str">
        <f>'Ens. Plomo'!B13</f>
        <v>06</v>
      </c>
      <c r="C8" s="110">
        <v>112.64</v>
      </c>
      <c r="D8" s="23">
        <f>'Ens. Plomo'!C13</f>
        <v>113.55</v>
      </c>
      <c r="E8" s="12">
        <f>ROUND(ABS(C8-D8),2)</f>
        <v>0.91</v>
      </c>
      <c r="F8" s="12">
        <f>(IF(D8&lt;1,0,IF(AND(D8&gt;=1,D8&lt;=10),0.3,IF(AND(D8&gt;10,D8&lt;=25),0.5,IF(AND(D8&gt;25,D8&lt;=60),1,IF(AND(D8&gt;60,D8&lt;=75),1.25,IF(D8&gt;75,2)))))))</f>
        <v>2</v>
      </c>
      <c r="G8" s="90" t="str">
        <f>IF(E8&lt;=F8,"P","T")</f>
        <v>P</v>
      </c>
      <c r="H8" s="109">
        <f>IF(ISBLANK(C8)," ",IF(G8="P",AVERAGE(C8,D8),0))</f>
        <v>113.095</v>
      </c>
      <c r="I8" s="111">
        <v>14.827999999999999</v>
      </c>
      <c r="J8" s="25">
        <f>'Ens. Plomo'!D13</f>
        <v>15.247999999999999</v>
      </c>
      <c r="K8" s="26">
        <f t="shared" ref="K8:K11" si="0">ROUND(ABS(I8-J8),3)</f>
        <v>0.42</v>
      </c>
      <c r="L8" s="123">
        <f>(IF(J8&lt;1,0, IF(AND(J8&gt;=1,J8&lt;=5),0.03, IF(AND(J8&gt;5,J8&lt;=15),0.04,IF(AND(J8&gt;15,J8&lt;=20),0.1,IF(J8&gt;20,0.15))))))</f>
        <v>0.1</v>
      </c>
      <c r="M8" s="11" t="str">
        <f t="shared" ref="M8:M12" si="1">IF(K8&lt;=L8,"P","T")</f>
        <v>T</v>
      </c>
      <c r="N8" s="109">
        <f>IF(ISBLANK(I8)," ",IF(K8&lt;=L8,AVERAGE(I8:J8),0))</f>
        <v>0</v>
      </c>
      <c r="O8" s="110">
        <v>20.55</v>
      </c>
      <c r="P8" s="23">
        <f>'Ens. Plomo'!E13</f>
        <v>20.75</v>
      </c>
      <c r="Q8" s="12">
        <f>ROUND(ABS(O8-P8),2)</f>
        <v>0.2</v>
      </c>
      <c r="R8" s="12">
        <f>(IF(P8&lt;10,0,IF(AND(P8&gt;10,P8&lt;=20),0.3,IF(AND(P8&gt;20,P8&lt;=40),0.5))))</f>
        <v>0.5</v>
      </c>
      <c r="S8" s="11" t="str">
        <f>IF(Q8&lt;=R8,"P","T")</f>
        <v>P</v>
      </c>
      <c r="T8" s="109">
        <f>IF(ISBLANK(O8)," ",IF(Q8&lt;=R8,AVERAGE(O8:P8),0))</f>
        <v>20.65</v>
      </c>
      <c r="U8" s="108">
        <v>24.2</v>
      </c>
      <c r="V8" s="12">
        <f>'Ens. Plomo'!F13</f>
        <v>22.2</v>
      </c>
      <c r="W8" s="12">
        <f>ROUND(ABS(U8-V8),2)</f>
        <v>2</v>
      </c>
      <c r="X8" s="91">
        <f>(IF(V8&lt;5,0,IF(AND(V8&gt;=5,V8&lt;=10),0.3,IF(AND(V8&gt;10),0.4))))</f>
        <v>0.4</v>
      </c>
      <c r="Y8" s="11" t="str">
        <f t="shared" ref="Y8:Y11" si="2">IF(W8&lt;=X8,"P","T")</f>
        <v>T</v>
      </c>
      <c r="Z8" s="109">
        <f t="shared" ref="Z8:Z11" si="3">IF(ISBLANK(U8)," ",IF(Y8="P",AVERAGE(U8,V8),0))</f>
        <v>0</v>
      </c>
      <c r="AA8" s="113">
        <v>0.28999999999999998</v>
      </c>
      <c r="AB8" s="17">
        <f>'Ens. Plomo'!G13</f>
        <v>0.23899999999999999</v>
      </c>
      <c r="AC8" s="17">
        <f t="shared" ref="AC8:AC11" si="4">ROUND(ABS(AA8-AB8),3)</f>
        <v>5.0999999999999997E-2</v>
      </c>
      <c r="AD8" s="12">
        <f>IF(AB8&lt;=1,0.1,0)</f>
        <v>0.1</v>
      </c>
      <c r="AE8" s="11" t="str">
        <f t="shared" ref="AE8:AE11" si="5">IF(AC8&lt;=AD8,"P","T")</f>
        <v>P</v>
      </c>
      <c r="AF8" s="109">
        <f t="shared" ref="AF8:AF11" si="6">IF(ISBLANK(AA8)," ",IF(AE8="P",AVERAGE(AA8,AB8),0))</f>
        <v>0.26449999999999996</v>
      </c>
      <c r="AG8" s="114">
        <v>0.03</v>
      </c>
      <c r="AH8" s="17">
        <f>'Ens. Plomo'!H13</f>
        <v>0.05</v>
      </c>
      <c r="AI8" s="17">
        <f>ROUND(ABS(AG8-AH8),3)</f>
        <v>0.02</v>
      </c>
      <c r="AJ8" s="12">
        <f>IF(AH8&lt;=1,0.2,0)</f>
        <v>0.2</v>
      </c>
      <c r="AK8" s="11" t="str">
        <f t="shared" ref="AK8:AK11" si="7">IF(AI8&lt;=AJ8,"P","T")</f>
        <v>P</v>
      </c>
      <c r="AL8" s="109">
        <f t="shared" ref="AL8:AL11" si="8">IF(ISBLANK(AG8)," ",IF(AK8="P",AVERAGE(AG8,AH8),0))</f>
        <v>0.04</v>
      </c>
      <c r="AM8" s="114">
        <v>0.06</v>
      </c>
      <c r="AN8" s="17">
        <f>'Ens. Plomo'!I13</f>
        <v>7.0000000000000007E-2</v>
      </c>
      <c r="AO8" s="17">
        <f t="shared" ref="AO8:AO9" si="9">ROUND(ABS(AM8-AN8),2)</f>
        <v>0.01</v>
      </c>
      <c r="AP8" s="12">
        <f>IF(AN8&lt;=1,0.2,0)</f>
        <v>0.2</v>
      </c>
      <c r="AQ8" s="11" t="str">
        <f t="shared" ref="AQ8:AQ11" si="10">IF(AO8&lt;=AP8,"P","T")</f>
        <v>P</v>
      </c>
      <c r="AR8" s="109">
        <f>IF(ISBLANK(AM8)," ",IF(AQ8="P",AVERAGE(AM8,AN8),0))</f>
        <v>6.5000000000000002E-2</v>
      </c>
      <c r="AS8" s="115">
        <v>3.32E-2</v>
      </c>
      <c r="AT8" s="24">
        <f>'Ens. Plomo'!J13</f>
        <v>6.8999999999999999E-3</v>
      </c>
      <c r="AU8" s="24">
        <f>AS8-AT8</f>
        <v>2.63E-2</v>
      </c>
      <c r="AV8" s="24">
        <f>IF(AT8&lt;=0.01,0.0015,IF(AT8&gt;0.01,0.002))</f>
        <v>1.5E-3</v>
      </c>
      <c r="AW8" s="90" t="str">
        <f t="shared" ref="AW8:AW12" si="11">IF(AU8&lt;=AV8,"P","T")</f>
        <v>T</v>
      </c>
      <c r="AX8" s="116">
        <f>IF(ISBLANK(AS8)," ",IF(AW8="P",AVERAGE(AS8,AT8),0))</f>
        <v>0</v>
      </c>
      <c r="AY8" s="122" t="s">
        <v>21</v>
      </c>
      <c r="AZ8" s="93"/>
      <c r="BA8" s="22" t="s">
        <v>37</v>
      </c>
    </row>
    <row r="9" spans="1:53" x14ac:dyDescent="0.25">
      <c r="A9" s="16"/>
      <c r="B9" s="229" t="str">
        <f>'Ens. Plomo'!B14</f>
        <v>07</v>
      </c>
      <c r="C9" s="110">
        <v>109.68</v>
      </c>
      <c r="D9" s="23">
        <f>'Ens. Plomo'!C14</f>
        <v>113.9</v>
      </c>
      <c r="E9" s="12">
        <f t="shared" ref="E9:E11" si="12">ROUND(ABS(C9-D9),2)</f>
        <v>4.22</v>
      </c>
      <c r="F9" s="12">
        <f t="shared" ref="F9:F11" si="13">(IF(D9&lt;1,0,IF(AND(D9&gt;=1,D9&lt;=10),0.3,IF(AND(D9&gt;10,D9&lt;=25),0.5,IF(AND(D9&gt;25,D9&lt;=60),1,IF(AND(D9&gt;60,D9&lt;=75),1.25,IF(D9&gt;75,2)))))))</f>
        <v>2</v>
      </c>
      <c r="G9" s="90" t="str">
        <f t="shared" ref="G9:G11" si="14">IF(E9&lt;=F9,"P","T")</f>
        <v>T</v>
      </c>
      <c r="H9" s="109">
        <f>IF(ISBLANK(C9)," ",IF(G9="P",AVERAGE(C9,D9),0))</f>
        <v>0</v>
      </c>
      <c r="I9" s="111">
        <v>14.161</v>
      </c>
      <c r="J9" s="25">
        <f>'Ens. Plomo'!D14</f>
        <v>14.532</v>
      </c>
      <c r="K9" s="26">
        <f t="shared" si="0"/>
        <v>0.371</v>
      </c>
      <c r="L9" s="123">
        <f>(IF(J9&lt;1,0, IF(AND(J9&gt;=1,J9&lt;=5),0.03, IF(AND(J9&gt;5,J9&lt;=15),0.04,IF(AND(J9&gt;15,J9&lt;=20),0.1,IF(J83&gt;20,0.15))))))</f>
        <v>0.04</v>
      </c>
      <c r="M9" s="11" t="str">
        <f t="shared" si="1"/>
        <v>T</v>
      </c>
      <c r="N9" s="109">
        <f t="shared" ref="N9:N11" si="15">IF(ISBLANK(I9)," ",IF(K9&lt;=L9,AVERAGE(I9:J9),0))</f>
        <v>0</v>
      </c>
      <c r="O9" s="110">
        <v>20.7</v>
      </c>
      <c r="P9" s="23">
        <f>'Ens. Plomo'!E14</f>
        <v>21.66</v>
      </c>
      <c r="Q9" s="12">
        <f>ROUND(ABS(O9-P9),2)</f>
        <v>0.96</v>
      </c>
      <c r="R9" s="12">
        <f t="shared" ref="R9:R11" si="16">(IF(P9&lt;10,0,IF(AND(P9&gt;10,P9&lt;=20),0.3,IF(AND(P9&gt;20,P9&lt;=40),0.5))))</f>
        <v>0.5</v>
      </c>
      <c r="S9" s="11" t="str">
        <f t="shared" ref="S9:S11" si="17">IF(Q9&lt;=R9,"P","T")</f>
        <v>T</v>
      </c>
      <c r="T9" s="109">
        <f>IF(ISBLANK(O9)," ",IF(Q9&lt;=R9,AVERAGE(O9:P9),0))</f>
        <v>0</v>
      </c>
      <c r="U9" s="108">
        <v>24.38</v>
      </c>
      <c r="V9" s="12">
        <f>'Ens. Plomo'!F14</f>
        <v>22.45</v>
      </c>
      <c r="W9" s="12">
        <f>ROUND(ABS(U9-V9),2)</f>
        <v>1.93</v>
      </c>
      <c r="X9" s="91">
        <f t="shared" ref="X9:X11" si="18">(IF(V9&lt;5,0,IF(AND(V9&gt;=5,V9&lt;=10),0.3,IF(AND(V9&gt;10),0.4))))</f>
        <v>0.4</v>
      </c>
      <c r="Y9" s="11" t="str">
        <f t="shared" si="2"/>
        <v>T</v>
      </c>
      <c r="Z9" s="109">
        <f t="shared" si="3"/>
        <v>0</v>
      </c>
      <c r="AA9" s="113">
        <v>0.28000000000000003</v>
      </c>
      <c r="AB9" s="17">
        <f>'Ens. Plomo'!G14</f>
        <v>0.24</v>
      </c>
      <c r="AC9" s="17">
        <f>ROUND(ABS(AA9-AB9),3)</f>
        <v>0.04</v>
      </c>
      <c r="AD9" s="12">
        <f t="shared" ref="AD9:AD11" si="19">IF(AB9&lt;=1,0.1,0)</f>
        <v>0.1</v>
      </c>
      <c r="AE9" s="11" t="str">
        <f t="shared" si="5"/>
        <v>P</v>
      </c>
      <c r="AF9" s="109">
        <f t="shared" si="6"/>
        <v>0.26</v>
      </c>
      <c r="AG9" s="114">
        <v>0.03</v>
      </c>
      <c r="AH9" s="17">
        <f>'Ens. Plomo'!H14</f>
        <v>0.06</v>
      </c>
      <c r="AI9" s="17">
        <f>ROUND(ABS(AG9-AH9),3)</f>
        <v>0.03</v>
      </c>
      <c r="AJ9" s="12">
        <f t="shared" ref="AJ9:AJ11" si="20">IF(AH9&lt;=1,0.2,0)</f>
        <v>0.2</v>
      </c>
      <c r="AK9" s="11" t="str">
        <f t="shared" si="7"/>
        <v>P</v>
      </c>
      <c r="AL9" s="109">
        <f t="shared" si="8"/>
        <v>4.4999999999999998E-2</v>
      </c>
      <c r="AM9" s="114">
        <v>7.0000000000000007E-2</v>
      </c>
      <c r="AN9" s="17">
        <f>'Ens. Plomo'!I14</f>
        <v>7.0000000000000007E-2</v>
      </c>
      <c r="AO9" s="17">
        <f t="shared" si="9"/>
        <v>0</v>
      </c>
      <c r="AP9" s="12">
        <f>IF(AN9&lt;=1,0.2,0)</f>
        <v>0.2</v>
      </c>
      <c r="AQ9" s="11" t="str">
        <f t="shared" si="10"/>
        <v>P</v>
      </c>
      <c r="AR9" s="109">
        <f t="shared" ref="AR9:AR11" si="21">IF(ISBLANK(AM9)," ",IF(AQ9="P",AVERAGE(AM9,AN9),0))</f>
        <v>7.0000000000000007E-2</v>
      </c>
      <c r="AS9" s="115">
        <v>3.09E-2</v>
      </c>
      <c r="AT9" s="24">
        <f>'Ens. Plomo'!J14</f>
        <v>7.0000000000000001E-3</v>
      </c>
      <c r="AU9" s="24">
        <f t="shared" ref="AU9:AU11" si="22">AS9-AT9</f>
        <v>2.3900000000000001E-2</v>
      </c>
      <c r="AV9" s="24">
        <f t="shared" ref="AV9:AV11" si="23">IF(AT9&lt;=0.01,0.0015,IF(AT9&gt;0.01,0.002))</f>
        <v>1.5E-3</v>
      </c>
      <c r="AW9" s="90" t="str">
        <f t="shared" si="11"/>
        <v>T</v>
      </c>
      <c r="AX9" s="116">
        <f t="shared" ref="AX9:AX11" si="24">IF(ISBLANK(AS9)," ",IF(AW9="P",AVERAGE(AS9,AT9),0))</f>
        <v>0</v>
      </c>
      <c r="BA9" s="22" t="s">
        <v>37</v>
      </c>
    </row>
    <row r="10" spans="1:53" x14ac:dyDescent="0.25">
      <c r="A10" s="119"/>
      <c r="B10" s="228" t="str">
        <f>'Ens. Plomo'!B15</f>
        <v>08</v>
      </c>
      <c r="C10" s="110">
        <v>180.88</v>
      </c>
      <c r="D10" s="23">
        <f>'Ens. Plomo'!C15</f>
        <v>185.26</v>
      </c>
      <c r="E10" s="12">
        <f t="shared" si="12"/>
        <v>4.38</v>
      </c>
      <c r="F10" s="12">
        <f t="shared" si="13"/>
        <v>2</v>
      </c>
      <c r="G10" s="90" t="str">
        <f t="shared" si="14"/>
        <v>T</v>
      </c>
      <c r="H10" s="109">
        <f>IF(ISBLANK(C10)," ",IF(G10="P",AVERAGE(C10,D10),0))</f>
        <v>0</v>
      </c>
      <c r="I10" s="111">
        <v>14.683</v>
      </c>
      <c r="J10" s="25">
        <f>'Ens. Plomo'!D15</f>
        <v>15.101000000000001</v>
      </c>
      <c r="K10" s="26">
        <f t="shared" si="0"/>
        <v>0.41799999999999998</v>
      </c>
      <c r="L10" s="123">
        <f>(IF(J10&lt;1,0, IF(AND(J10&gt;=1,J10&lt;=5),0.03, IF(AND(J10&gt;5,J10&lt;=15),0.04,IF(AND(J10&gt;15,J10&lt;=20),0.1,IF(J84&gt;20,0.15))))))</f>
        <v>0.1</v>
      </c>
      <c r="M10" s="11" t="str">
        <f t="shared" si="1"/>
        <v>T</v>
      </c>
      <c r="N10" s="109">
        <f t="shared" si="15"/>
        <v>0</v>
      </c>
      <c r="O10" s="110">
        <v>23.56</v>
      </c>
      <c r="P10" s="23">
        <f>'Ens. Plomo'!E15</f>
        <v>24.47</v>
      </c>
      <c r="Q10" s="12">
        <f t="shared" ref="Q10:Q11" si="25">ROUND(ABS(O10-P10),2)</f>
        <v>0.91</v>
      </c>
      <c r="R10" s="12">
        <f t="shared" si="16"/>
        <v>0.5</v>
      </c>
      <c r="S10" s="11" t="str">
        <f t="shared" si="17"/>
        <v>T</v>
      </c>
      <c r="T10" s="109">
        <f>IF(ISBLANK(O10)," ",IF(Q10&lt;=R10,AVERAGE(O10:P10),0))</f>
        <v>0</v>
      </c>
      <c r="U10" s="108">
        <v>22.71</v>
      </c>
      <c r="V10" s="12">
        <f>'Ens. Plomo'!F15</f>
        <v>20.99</v>
      </c>
      <c r="W10" s="12">
        <f>ROUND(ABS(U10-V10),2)</f>
        <v>1.72</v>
      </c>
      <c r="X10" s="91">
        <f t="shared" si="18"/>
        <v>0.4</v>
      </c>
      <c r="Y10" s="11" t="str">
        <f t="shared" si="2"/>
        <v>T</v>
      </c>
      <c r="Z10" s="109">
        <f t="shared" si="3"/>
        <v>0</v>
      </c>
      <c r="AA10" s="113">
        <v>0.28000000000000003</v>
      </c>
      <c r="AB10" s="17">
        <f>'Ens. Plomo'!G15</f>
        <v>0.24399999999999999</v>
      </c>
      <c r="AC10" s="17">
        <f t="shared" si="4"/>
        <v>3.5999999999999997E-2</v>
      </c>
      <c r="AD10" s="12">
        <f t="shared" si="19"/>
        <v>0.1</v>
      </c>
      <c r="AE10" s="11" t="str">
        <f t="shared" si="5"/>
        <v>P</v>
      </c>
      <c r="AF10" s="109">
        <f t="shared" si="6"/>
        <v>0.26200000000000001</v>
      </c>
      <c r="AG10" s="114">
        <v>0.03</v>
      </c>
      <c r="AH10" s="17">
        <f>'Ens. Plomo'!H15</f>
        <v>4.9000000000000002E-2</v>
      </c>
      <c r="AI10" s="17">
        <f>ROUND(ABS(AG10-AH10),3)</f>
        <v>1.9E-2</v>
      </c>
      <c r="AJ10" s="12">
        <f t="shared" si="20"/>
        <v>0.2</v>
      </c>
      <c r="AK10" s="11" t="str">
        <f t="shared" si="7"/>
        <v>P</v>
      </c>
      <c r="AL10" s="109">
        <f t="shared" si="8"/>
        <v>3.95E-2</v>
      </c>
      <c r="AM10" s="114">
        <v>0.06</v>
      </c>
      <c r="AN10" s="17">
        <f>'Ens. Plomo'!I15</f>
        <v>0.05</v>
      </c>
      <c r="AO10" s="17">
        <f>ROUND(ABS(AM10-AN10),3)</f>
        <v>0.01</v>
      </c>
      <c r="AP10" s="12">
        <f t="shared" ref="AP10:AP11" si="26">IF(AN10&lt;=1,0.2,0)</f>
        <v>0.2</v>
      </c>
      <c r="AQ10" s="11" t="str">
        <f t="shared" si="10"/>
        <v>P</v>
      </c>
      <c r="AR10" s="109">
        <f t="shared" si="21"/>
        <v>5.5E-2</v>
      </c>
      <c r="AS10" s="115">
        <v>3.0300000000000001E-2</v>
      </c>
      <c r="AT10" s="24">
        <f>'Ens. Plomo'!J15</f>
        <v>6.8999999999999999E-3</v>
      </c>
      <c r="AU10" s="24">
        <f t="shared" si="22"/>
        <v>2.3400000000000001E-2</v>
      </c>
      <c r="AV10" s="24">
        <f t="shared" si="23"/>
        <v>1.5E-3</v>
      </c>
      <c r="AW10" s="90" t="str">
        <f t="shared" si="11"/>
        <v>T</v>
      </c>
      <c r="AX10" s="116">
        <f t="shared" si="24"/>
        <v>0</v>
      </c>
      <c r="BA10" s="22" t="s">
        <v>37</v>
      </c>
    </row>
    <row r="11" spans="1:53" x14ac:dyDescent="0.25">
      <c r="A11" s="121"/>
      <c r="B11" s="228" t="str">
        <f>'Ens. Plomo'!B16</f>
        <v>09</v>
      </c>
      <c r="C11" s="110">
        <v>171.83</v>
      </c>
      <c r="D11" s="23">
        <f>'Ens. Plomo'!C16</f>
        <v>176.07</v>
      </c>
      <c r="E11" s="12">
        <f t="shared" si="12"/>
        <v>4.24</v>
      </c>
      <c r="F11" s="12">
        <f t="shared" si="13"/>
        <v>2</v>
      </c>
      <c r="G11" s="90" t="str">
        <f t="shared" si="14"/>
        <v>T</v>
      </c>
      <c r="H11" s="109">
        <f t="shared" ref="H11" si="27">IF(ISBLANK(C11)," ",IF(G11="P",AVERAGE(C11,D11),0))</f>
        <v>0</v>
      </c>
      <c r="I11" s="111">
        <v>14.602</v>
      </c>
      <c r="J11" s="25">
        <f>'Ens. Plomo'!D16</f>
        <v>14.903</v>
      </c>
      <c r="K11" s="26">
        <f t="shared" si="0"/>
        <v>0.30099999999999999</v>
      </c>
      <c r="L11" s="123">
        <f>(IF(J11&lt;1,0, IF(AND(J11&gt;=1,J11&lt;=5),0.03, IF(AND(J11&gt;5,J11&lt;=15),0.04,IF(AND(J11&gt;15,J11&lt;=20),0.1,IF(J85&gt;20,0.15))))))</f>
        <v>0.04</v>
      </c>
      <c r="M11" s="11" t="str">
        <f t="shared" si="1"/>
        <v>T</v>
      </c>
      <c r="N11" s="109">
        <f t="shared" si="15"/>
        <v>0</v>
      </c>
      <c r="O11" s="110">
        <v>23.57</v>
      </c>
      <c r="P11" s="23">
        <f>'Ens. Plomo'!E16</f>
        <v>23.94</v>
      </c>
      <c r="Q11" s="12">
        <f t="shared" si="25"/>
        <v>0.37</v>
      </c>
      <c r="R11" s="12">
        <f t="shared" si="16"/>
        <v>0.5</v>
      </c>
      <c r="S11" s="11" t="str">
        <f t="shared" si="17"/>
        <v>P</v>
      </c>
      <c r="T11" s="109">
        <f t="shared" ref="T11" si="28">IF(ISBLANK(O11)," ",IF(Q11&lt;=R11,AVERAGE(O11:P11),0))</f>
        <v>23.755000000000003</v>
      </c>
      <c r="U11" s="108">
        <v>23.12</v>
      </c>
      <c r="V11" s="12">
        <f>'Ens. Plomo'!F16</f>
        <v>21.8</v>
      </c>
      <c r="W11" s="12">
        <f>ROUND(ABS(U11-V11),2)</f>
        <v>1.32</v>
      </c>
      <c r="X11" s="91">
        <f t="shared" si="18"/>
        <v>0.4</v>
      </c>
      <c r="Y11" s="11" t="str">
        <f t="shared" si="2"/>
        <v>T</v>
      </c>
      <c r="Z11" s="109">
        <f t="shared" si="3"/>
        <v>0</v>
      </c>
      <c r="AA11" s="113">
        <v>0.28999999999999998</v>
      </c>
      <c r="AB11" s="17">
        <f>'Ens. Plomo'!G16</f>
        <v>0.255</v>
      </c>
      <c r="AC11" s="17">
        <f t="shared" si="4"/>
        <v>3.5000000000000003E-2</v>
      </c>
      <c r="AD11" s="12">
        <f t="shared" si="19"/>
        <v>0.1</v>
      </c>
      <c r="AE11" s="11" t="str">
        <f t="shared" si="5"/>
        <v>P</v>
      </c>
      <c r="AF11" s="109">
        <f t="shared" si="6"/>
        <v>0.27249999999999996</v>
      </c>
      <c r="AG11" s="114">
        <v>0.03</v>
      </c>
      <c r="AH11" s="17">
        <f>'Ens. Plomo'!H16</f>
        <v>4.4999999999999998E-2</v>
      </c>
      <c r="AI11" s="17">
        <f>ROUND(ABS(AG11-AH11),3)</f>
        <v>1.4999999999999999E-2</v>
      </c>
      <c r="AJ11" s="12">
        <f t="shared" si="20"/>
        <v>0.2</v>
      </c>
      <c r="AK11" s="11" t="str">
        <f t="shared" si="7"/>
        <v>P</v>
      </c>
      <c r="AL11" s="109">
        <f t="shared" si="8"/>
        <v>3.7499999999999999E-2</v>
      </c>
      <c r="AM11" s="114">
        <v>0.06</v>
      </c>
      <c r="AN11" s="17">
        <f>'Ens. Plomo'!I16</f>
        <v>0.06</v>
      </c>
      <c r="AO11" s="17">
        <f>ROUND(ABS(AM11-AN11),3)</f>
        <v>0</v>
      </c>
      <c r="AP11" s="12">
        <f t="shared" si="26"/>
        <v>0.2</v>
      </c>
      <c r="AQ11" s="11" t="str">
        <f t="shared" si="10"/>
        <v>P</v>
      </c>
      <c r="AR11" s="109">
        <f t="shared" si="21"/>
        <v>0.06</v>
      </c>
      <c r="AS11" s="115">
        <v>2.8500000000000001E-2</v>
      </c>
      <c r="AT11" s="24">
        <f>'Ens. Plomo'!J16</f>
        <v>7.0000000000000001E-3</v>
      </c>
      <c r="AU11" s="24">
        <f t="shared" si="22"/>
        <v>2.1500000000000002E-2</v>
      </c>
      <c r="AV11" s="24">
        <f t="shared" si="23"/>
        <v>1.5E-3</v>
      </c>
      <c r="AW11" s="90" t="str">
        <f t="shared" si="11"/>
        <v>T</v>
      </c>
      <c r="AX11" s="116">
        <f t="shared" si="24"/>
        <v>0</v>
      </c>
      <c r="BA11" s="22" t="s">
        <v>37</v>
      </c>
    </row>
    <row r="12" spans="1:53" x14ac:dyDescent="0.25">
      <c r="A12" s="16"/>
      <c r="B12" s="18"/>
      <c r="C12" s="110"/>
      <c r="D12" s="23"/>
      <c r="E12" s="12"/>
      <c r="F12" s="12"/>
      <c r="G12" s="90"/>
      <c r="H12" s="109"/>
      <c r="I12" s="111"/>
      <c r="J12" s="25"/>
      <c r="K12" s="120"/>
      <c r="L12" s="123"/>
      <c r="M12" s="11" t="str">
        <f t="shared" si="1"/>
        <v>P</v>
      </c>
      <c r="N12" s="109"/>
      <c r="O12" s="110"/>
      <c r="P12" s="23"/>
      <c r="Q12" s="12"/>
      <c r="R12" s="12"/>
      <c r="S12" s="11"/>
      <c r="T12" s="109"/>
      <c r="U12" s="108"/>
      <c r="V12" s="12"/>
      <c r="W12" s="12"/>
      <c r="X12" s="12"/>
      <c r="Y12" s="11"/>
      <c r="Z12" s="109"/>
      <c r="AA12" s="113"/>
      <c r="AB12" s="17"/>
      <c r="AC12" s="12"/>
      <c r="AD12" s="12"/>
      <c r="AE12" s="11"/>
      <c r="AF12" s="109"/>
      <c r="AG12" s="114"/>
      <c r="AH12" s="12"/>
      <c r="AI12" s="12"/>
      <c r="AJ12" s="12"/>
      <c r="AK12" s="11"/>
      <c r="AL12" s="109"/>
      <c r="AM12" s="114"/>
      <c r="AN12" s="12"/>
      <c r="AO12" s="12"/>
      <c r="AP12" s="12"/>
      <c r="AQ12" s="11"/>
      <c r="AR12" s="109"/>
      <c r="AS12" s="115"/>
      <c r="AT12" s="24"/>
      <c r="AU12" s="24"/>
      <c r="AV12" s="24"/>
      <c r="AW12" s="90" t="str">
        <f t="shared" si="11"/>
        <v>P</v>
      </c>
      <c r="AX12" s="116"/>
      <c r="BA12" s="22"/>
    </row>
    <row r="13" spans="1:53" x14ac:dyDescent="0.25">
      <c r="A13" s="16"/>
      <c r="B13" s="18"/>
      <c r="C13" s="110"/>
      <c r="D13" s="23"/>
      <c r="E13" s="12"/>
      <c r="F13" s="12"/>
      <c r="G13" s="90"/>
      <c r="H13" s="109"/>
      <c r="I13" s="111"/>
      <c r="J13" s="25"/>
      <c r="K13" s="120"/>
      <c r="L13" s="123"/>
      <c r="M13" s="11"/>
      <c r="N13" s="109"/>
      <c r="O13" s="110"/>
      <c r="P13" s="23"/>
      <c r="Q13" s="12"/>
      <c r="R13" s="12"/>
      <c r="S13" s="11"/>
      <c r="T13" s="109"/>
      <c r="U13" s="108"/>
      <c r="V13" s="12"/>
      <c r="W13" s="12"/>
      <c r="X13" s="12"/>
      <c r="Y13" s="11"/>
      <c r="Z13" s="109"/>
      <c r="AA13" s="113"/>
      <c r="AB13" s="17"/>
      <c r="AC13" s="12"/>
      <c r="AD13" s="12"/>
      <c r="AE13" s="11"/>
      <c r="AF13" s="109"/>
      <c r="AG13" s="114"/>
      <c r="AH13" s="12"/>
      <c r="AI13" s="12"/>
      <c r="AJ13" s="12"/>
      <c r="AK13" s="11"/>
      <c r="AL13" s="109"/>
      <c r="AM13" s="114"/>
      <c r="AN13" s="12"/>
      <c r="AO13" s="12"/>
      <c r="AP13" s="12"/>
      <c r="AQ13" s="11"/>
      <c r="AR13" s="109"/>
      <c r="AS13" s="115"/>
      <c r="AT13" s="24"/>
      <c r="AU13" s="24"/>
      <c r="AV13" s="24"/>
      <c r="AW13" s="90"/>
      <c r="AX13" s="116"/>
      <c r="BA13" s="22"/>
    </row>
    <row r="14" spans="1:53" x14ac:dyDescent="0.25">
      <c r="A14" s="16"/>
      <c r="B14" s="18"/>
      <c r="C14" s="110"/>
      <c r="D14" s="23"/>
      <c r="E14" s="12"/>
      <c r="F14" s="12"/>
      <c r="G14" s="90"/>
      <c r="H14" s="109"/>
      <c r="I14" s="111"/>
      <c r="J14" s="25"/>
      <c r="K14" s="120"/>
      <c r="L14" s="123"/>
      <c r="M14" s="11"/>
      <c r="N14" s="109"/>
      <c r="O14" s="110"/>
      <c r="P14" s="23"/>
      <c r="Q14" s="12"/>
      <c r="R14" s="12"/>
      <c r="S14" s="11"/>
      <c r="T14" s="109"/>
      <c r="U14" s="108"/>
      <c r="V14" s="12"/>
      <c r="W14" s="12"/>
      <c r="X14" s="12"/>
      <c r="Y14" s="11"/>
      <c r="Z14" s="109"/>
      <c r="AA14" s="113"/>
      <c r="AB14" s="17"/>
      <c r="AC14" s="12"/>
      <c r="AD14" s="12"/>
      <c r="AE14" s="11"/>
      <c r="AF14" s="109"/>
      <c r="AG14" s="114"/>
      <c r="AH14" s="12"/>
      <c r="AI14" s="12"/>
      <c r="AJ14" s="12"/>
      <c r="AK14" s="11"/>
      <c r="AL14" s="109"/>
      <c r="AM14" s="114"/>
      <c r="AN14" s="12"/>
      <c r="AO14" s="12"/>
      <c r="AP14" s="12"/>
      <c r="AQ14" s="11"/>
      <c r="AR14" s="109"/>
      <c r="AS14" s="115"/>
      <c r="AT14" s="24"/>
      <c r="AU14" s="24"/>
      <c r="AV14" s="24"/>
      <c r="AW14" s="90"/>
      <c r="AX14" s="116"/>
      <c r="BA14" s="22"/>
    </row>
    <row r="15" spans="1:53" x14ac:dyDescent="0.25">
      <c r="A15" s="16"/>
      <c r="B15" s="18"/>
      <c r="C15" s="110"/>
      <c r="D15" s="23"/>
      <c r="E15" s="12"/>
      <c r="F15" s="12"/>
      <c r="G15" s="90"/>
      <c r="H15" s="109"/>
      <c r="I15" s="111"/>
      <c r="J15" s="25"/>
      <c r="K15" s="120"/>
      <c r="L15" s="123"/>
      <c r="M15" s="11"/>
      <c r="N15" s="109"/>
      <c r="O15" s="110"/>
      <c r="P15" s="23"/>
      <c r="Q15" s="12"/>
      <c r="R15" s="12"/>
      <c r="S15" s="11"/>
      <c r="T15" s="109"/>
      <c r="U15" s="108"/>
      <c r="V15" s="12"/>
      <c r="W15" s="12"/>
      <c r="X15" s="12"/>
      <c r="Y15" s="11"/>
      <c r="Z15" s="109"/>
      <c r="AA15" s="113"/>
      <c r="AB15" s="17"/>
      <c r="AC15" s="12"/>
      <c r="AD15" s="12"/>
      <c r="AE15" s="11"/>
      <c r="AF15" s="109"/>
      <c r="AG15" s="114"/>
      <c r="AH15" s="12"/>
      <c r="AI15" s="12"/>
      <c r="AJ15" s="12"/>
      <c r="AK15" s="11"/>
      <c r="AL15" s="109"/>
      <c r="AM15" s="114"/>
      <c r="AN15" s="12"/>
      <c r="AO15" s="12"/>
      <c r="AP15" s="12"/>
      <c r="AQ15" s="11"/>
      <c r="AR15" s="109"/>
      <c r="AS15" s="115"/>
      <c r="AT15" s="24"/>
      <c r="AU15" s="24"/>
      <c r="AV15" s="24"/>
      <c r="AW15" s="90"/>
      <c r="AX15" s="116"/>
    </row>
    <row r="16" spans="1:53" x14ac:dyDescent="0.25">
      <c r="A16" s="16"/>
      <c r="B16" s="18"/>
      <c r="C16" s="110"/>
      <c r="D16" s="23"/>
      <c r="E16" s="12"/>
      <c r="F16" s="12"/>
      <c r="G16" s="90"/>
      <c r="H16" s="109"/>
      <c r="I16" s="111"/>
      <c r="J16" s="25"/>
      <c r="K16" s="120"/>
      <c r="L16" s="123"/>
      <c r="M16" s="11"/>
      <c r="N16" s="109"/>
      <c r="O16" s="110"/>
      <c r="P16" s="23"/>
      <c r="Q16" s="12"/>
      <c r="R16" s="12"/>
      <c r="S16" s="11"/>
      <c r="T16" s="109"/>
      <c r="U16" s="108"/>
      <c r="V16" s="12"/>
      <c r="W16" s="12"/>
      <c r="X16" s="12"/>
      <c r="Y16" s="11"/>
      <c r="Z16" s="109"/>
      <c r="AA16" s="113"/>
      <c r="AB16" s="17"/>
      <c r="AC16" s="12"/>
      <c r="AD16" s="12"/>
      <c r="AE16" s="11"/>
      <c r="AF16" s="109"/>
      <c r="AG16" s="114"/>
      <c r="AH16" s="12"/>
      <c r="AI16" s="12"/>
      <c r="AJ16" s="12"/>
      <c r="AK16" s="11"/>
      <c r="AL16" s="109"/>
      <c r="AM16" s="114"/>
      <c r="AN16" s="12"/>
      <c r="AO16" s="12"/>
      <c r="AP16" s="12"/>
      <c r="AQ16" s="11"/>
      <c r="AR16" s="109"/>
      <c r="AS16" s="115"/>
      <c r="AT16" s="24"/>
      <c r="AU16" s="24"/>
      <c r="AV16" s="24"/>
      <c r="AW16" s="90"/>
      <c r="AX16" s="116"/>
    </row>
    <row r="17" spans="1:50" x14ac:dyDescent="0.25">
      <c r="A17" s="16"/>
      <c r="B17" s="18"/>
      <c r="C17" s="110"/>
      <c r="D17" s="23"/>
      <c r="E17" s="12"/>
      <c r="F17" s="12"/>
      <c r="G17" s="90"/>
      <c r="H17" s="109"/>
      <c r="I17" s="111"/>
      <c r="J17" s="25"/>
      <c r="K17" s="120"/>
      <c r="L17" s="123"/>
      <c r="M17" s="11"/>
      <c r="N17" s="109"/>
      <c r="O17" s="110"/>
      <c r="P17" s="23"/>
      <c r="Q17" s="12"/>
      <c r="R17" s="12"/>
      <c r="S17" s="11"/>
      <c r="T17" s="109"/>
      <c r="U17" s="108"/>
      <c r="V17" s="12"/>
      <c r="W17" s="12"/>
      <c r="X17" s="12"/>
      <c r="Y17" s="11"/>
      <c r="Z17" s="109"/>
      <c r="AA17" s="113"/>
      <c r="AB17" s="17"/>
      <c r="AC17" s="12"/>
      <c r="AD17" s="12"/>
      <c r="AE17" s="11"/>
      <c r="AF17" s="109"/>
      <c r="AG17" s="114"/>
      <c r="AH17" s="12"/>
      <c r="AI17" s="12"/>
      <c r="AJ17" s="12"/>
      <c r="AK17" s="11"/>
      <c r="AL17" s="109"/>
      <c r="AM17" s="114"/>
      <c r="AN17" s="12"/>
      <c r="AO17" s="12"/>
      <c r="AP17" s="12"/>
      <c r="AQ17" s="11"/>
      <c r="AR17" s="109"/>
      <c r="AS17" s="115"/>
      <c r="AT17" s="24"/>
      <c r="AU17" s="24"/>
      <c r="AV17" s="24"/>
      <c r="AW17" s="90"/>
      <c r="AX17" s="116"/>
    </row>
    <row r="18" spans="1:50" x14ac:dyDescent="0.25">
      <c r="A18" s="16"/>
      <c r="B18" s="18"/>
      <c r="C18" s="110"/>
      <c r="D18" s="23"/>
      <c r="E18" s="12"/>
      <c r="F18" s="12"/>
      <c r="G18" s="90"/>
      <c r="H18" s="109"/>
      <c r="I18" s="111"/>
      <c r="J18" s="25"/>
      <c r="K18" s="120"/>
      <c r="L18" s="123"/>
      <c r="M18" s="11"/>
      <c r="N18" s="109"/>
      <c r="O18" s="110"/>
      <c r="P18" s="23"/>
      <c r="Q18" s="12"/>
      <c r="R18" s="12"/>
      <c r="S18" s="11"/>
      <c r="T18" s="109"/>
      <c r="U18" s="108"/>
      <c r="V18" s="12"/>
      <c r="W18" s="12"/>
      <c r="X18" s="12"/>
      <c r="Y18" s="11"/>
      <c r="Z18" s="109"/>
      <c r="AA18" s="113"/>
      <c r="AB18" s="17"/>
      <c r="AC18" s="12"/>
      <c r="AD18" s="12"/>
      <c r="AE18" s="11"/>
      <c r="AF18" s="109"/>
      <c r="AG18" s="114"/>
      <c r="AH18" s="12"/>
      <c r="AI18" s="12"/>
      <c r="AJ18" s="12"/>
      <c r="AK18" s="11"/>
      <c r="AL18" s="109"/>
      <c r="AM18" s="114"/>
      <c r="AN18" s="12"/>
      <c r="AO18" s="12"/>
      <c r="AP18" s="12"/>
      <c r="AQ18" s="11"/>
      <c r="AR18" s="109"/>
      <c r="AS18" s="115"/>
      <c r="AT18" s="24"/>
      <c r="AU18" s="24"/>
      <c r="AV18" s="24"/>
      <c r="AW18" s="90"/>
      <c r="AX18" s="116"/>
    </row>
    <row r="19" spans="1:50" x14ac:dyDescent="0.25">
      <c r="A19" s="16"/>
      <c r="B19" s="18"/>
      <c r="C19" s="110"/>
      <c r="D19" s="23"/>
      <c r="E19" s="12"/>
      <c r="F19" s="12"/>
      <c r="G19" s="90"/>
      <c r="H19" s="109"/>
      <c r="I19" s="111"/>
      <c r="J19" s="25"/>
      <c r="K19" s="120"/>
      <c r="L19" s="123"/>
      <c r="M19" s="11"/>
      <c r="N19" s="109"/>
      <c r="O19" s="110"/>
      <c r="P19" s="23"/>
      <c r="Q19" s="12"/>
      <c r="R19" s="12"/>
      <c r="S19" s="11"/>
      <c r="T19" s="109"/>
      <c r="U19" s="108"/>
      <c r="V19" s="12"/>
      <c r="W19" s="12"/>
      <c r="X19" s="12"/>
      <c r="Y19" s="11"/>
      <c r="Z19" s="109"/>
      <c r="AA19" s="113"/>
      <c r="AB19" s="17"/>
      <c r="AC19" s="12"/>
      <c r="AD19" s="12"/>
      <c r="AE19" s="11"/>
      <c r="AF19" s="109"/>
      <c r="AG19" s="114"/>
      <c r="AH19" s="12"/>
      <c r="AI19" s="12"/>
      <c r="AJ19" s="12"/>
      <c r="AK19" s="11"/>
      <c r="AL19" s="109"/>
      <c r="AM19" s="114"/>
      <c r="AN19" s="12"/>
      <c r="AO19" s="12"/>
      <c r="AP19" s="12"/>
      <c r="AQ19" s="11"/>
      <c r="AR19" s="109"/>
      <c r="AS19" s="115"/>
      <c r="AT19" s="24"/>
      <c r="AU19" s="24"/>
      <c r="AV19" s="24"/>
      <c r="AW19" s="90"/>
      <c r="AX19" s="116"/>
    </row>
    <row r="20" spans="1:50" ht="12.75" customHeight="1" x14ac:dyDescent="0.25">
      <c r="B20" s="18"/>
      <c r="C20" s="110"/>
      <c r="D20" s="23"/>
      <c r="E20" s="12"/>
      <c r="F20" s="12"/>
      <c r="G20" s="90"/>
      <c r="H20" s="109"/>
      <c r="I20" s="111"/>
      <c r="J20" s="25"/>
      <c r="K20" s="120"/>
      <c r="L20" s="123"/>
      <c r="M20" s="11"/>
      <c r="N20" s="109"/>
      <c r="O20" s="110"/>
      <c r="P20" s="23"/>
      <c r="Q20" s="12"/>
      <c r="R20" s="12"/>
      <c r="S20" s="11"/>
      <c r="T20" s="109"/>
      <c r="U20" s="108"/>
      <c r="V20" s="12"/>
      <c r="W20" s="12"/>
      <c r="X20" s="12"/>
      <c r="Y20" s="11"/>
      <c r="Z20" s="109"/>
      <c r="AA20" s="113"/>
      <c r="AB20" s="17"/>
      <c r="AC20" s="12"/>
      <c r="AD20" s="12"/>
      <c r="AE20" s="11"/>
      <c r="AF20" s="109"/>
      <c r="AG20" s="114"/>
      <c r="AH20" s="12"/>
      <c r="AI20" s="12"/>
      <c r="AJ20" s="12"/>
      <c r="AK20" s="11"/>
      <c r="AL20" s="109"/>
      <c r="AM20" s="114"/>
      <c r="AN20" s="12"/>
      <c r="AO20" s="12"/>
      <c r="AP20" s="12"/>
      <c r="AQ20" s="11"/>
      <c r="AR20" s="109"/>
      <c r="AS20" s="115"/>
      <c r="AT20" s="24"/>
      <c r="AU20" s="24"/>
      <c r="AV20" s="24"/>
      <c r="AW20" s="90"/>
      <c r="AX20" s="116"/>
    </row>
    <row r="21" spans="1:50" x14ac:dyDescent="0.25">
      <c r="B21" s="18"/>
      <c r="C21" s="110"/>
      <c r="D21" s="23"/>
      <c r="E21" s="12"/>
      <c r="F21" s="12"/>
      <c r="G21" s="90"/>
      <c r="H21" s="109"/>
      <c r="I21" s="111"/>
      <c r="J21" s="25"/>
      <c r="K21" s="120"/>
      <c r="L21" s="123"/>
      <c r="M21" s="11"/>
      <c r="N21" s="109"/>
      <c r="O21" s="110"/>
      <c r="P21" s="23"/>
      <c r="Q21" s="12"/>
      <c r="R21" s="12"/>
      <c r="S21" s="11"/>
      <c r="T21" s="109"/>
      <c r="U21" s="108"/>
      <c r="V21" s="12"/>
      <c r="W21" s="12"/>
      <c r="X21" s="12"/>
      <c r="Y21" s="11"/>
      <c r="Z21" s="109"/>
      <c r="AA21" s="113"/>
      <c r="AB21" s="17"/>
      <c r="AC21" s="12"/>
      <c r="AD21" s="12"/>
      <c r="AE21" s="11"/>
      <c r="AF21" s="109"/>
      <c r="AG21" s="114"/>
      <c r="AH21" s="12"/>
      <c r="AI21" s="12"/>
      <c r="AJ21" s="12"/>
      <c r="AK21" s="11"/>
      <c r="AL21" s="109"/>
      <c r="AM21" s="114"/>
      <c r="AN21" s="12"/>
      <c r="AO21" s="12"/>
      <c r="AP21" s="12"/>
      <c r="AQ21" s="11"/>
      <c r="AR21" s="109"/>
      <c r="AS21" s="115"/>
      <c r="AT21" s="24"/>
      <c r="AU21" s="24"/>
      <c r="AV21" s="24"/>
      <c r="AW21" s="90"/>
      <c r="AX21" s="116"/>
    </row>
    <row r="22" spans="1:50" x14ac:dyDescent="0.25">
      <c r="B22" s="18"/>
      <c r="C22" s="110"/>
      <c r="D22" s="23"/>
      <c r="E22" s="12"/>
      <c r="F22" s="12"/>
      <c r="G22" s="90"/>
      <c r="H22" s="109"/>
      <c r="I22" s="111"/>
      <c r="J22" s="25"/>
      <c r="K22" s="120"/>
      <c r="L22" s="123"/>
      <c r="M22" s="11"/>
      <c r="N22" s="109"/>
      <c r="O22" s="110"/>
      <c r="P22" s="23"/>
      <c r="Q22" s="12"/>
      <c r="R22" s="12"/>
      <c r="S22" s="11"/>
      <c r="T22" s="109"/>
      <c r="U22" s="108"/>
      <c r="V22" s="12"/>
      <c r="W22" s="12"/>
      <c r="X22" s="12"/>
      <c r="Y22" s="11"/>
      <c r="Z22" s="109"/>
      <c r="AA22" s="113"/>
      <c r="AB22" s="17"/>
      <c r="AC22" s="12"/>
      <c r="AD22" s="12"/>
      <c r="AE22" s="11"/>
      <c r="AF22" s="109"/>
      <c r="AG22" s="114"/>
      <c r="AH22" s="12"/>
      <c r="AI22" s="12"/>
      <c r="AJ22" s="12"/>
      <c r="AK22" s="11"/>
      <c r="AL22" s="109"/>
      <c r="AM22" s="114"/>
      <c r="AN22" s="12"/>
      <c r="AO22" s="12"/>
      <c r="AP22" s="12"/>
      <c r="AQ22" s="11"/>
      <c r="AR22" s="109"/>
      <c r="AS22" s="115"/>
      <c r="AT22" s="24"/>
      <c r="AU22" s="24"/>
      <c r="AV22" s="24"/>
      <c r="AW22" s="90"/>
      <c r="AX22" s="116"/>
    </row>
    <row r="23" spans="1:50" x14ac:dyDescent="0.25">
      <c r="B23" s="18"/>
      <c r="C23" s="110"/>
      <c r="D23" s="23"/>
      <c r="E23" s="12"/>
      <c r="F23" s="12"/>
      <c r="G23" s="90"/>
      <c r="H23" s="109"/>
      <c r="I23" s="111"/>
      <c r="J23" s="25"/>
      <c r="K23" s="120"/>
      <c r="L23" s="123"/>
      <c r="M23" s="11"/>
      <c r="N23" s="109"/>
      <c r="O23" s="110"/>
      <c r="P23" s="23"/>
      <c r="Q23" s="12"/>
      <c r="R23" s="12"/>
      <c r="S23" s="11"/>
      <c r="T23" s="109"/>
      <c r="U23" s="108"/>
      <c r="V23" s="12"/>
      <c r="W23" s="12"/>
      <c r="X23" s="12"/>
      <c r="Y23" s="11"/>
      <c r="Z23" s="109"/>
      <c r="AA23" s="113"/>
      <c r="AB23" s="17"/>
      <c r="AC23" s="12"/>
      <c r="AD23" s="12"/>
      <c r="AE23" s="11"/>
      <c r="AF23" s="109"/>
      <c r="AG23" s="114"/>
      <c r="AH23" s="12"/>
      <c r="AI23" s="12"/>
      <c r="AJ23" s="12"/>
      <c r="AK23" s="11"/>
      <c r="AL23" s="109"/>
      <c r="AM23" s="114"/>
      <c r="AN23" s="12"/>
      <c r="AO23" s="12"/>
      <c r="AP23" s="12"/>
      <c r="AQ23" s="11"/>
      <c r="AR23" s="109"/>
      <c r="AS23" s="115"/>
      <c r="AT23" s="24"/>
      <c r="AU23" s="24"/>
      <c r="AV23" s="24"/>
      <c r="AW23" s="90"/>
      <c r="AX23" s="116"/>
    </row>
    <row r="24" spans="1:50" x14ac:dyDescent="0.25">
      <c r="B24" s="18"/>
      <c r="C24" s="110"/>
      <c r="D24" s="23"/>
      <c r="E24" s="12"/>
      <c r="F24" s="12"/>
      <c r="G24" s="90"/>
      <c r="H24" s="109"/>
      <c r="I24" s="111"/>
      <c r="J24" s="25"/>
      <c r="K24" s="120"/>
      <c r="L24" s="123"/>
      <c r="M24" s="11"/>
      <c r="N24" s="109"/>
      <c r="O24" s="110"/>
      <c r="P24" s="23"/>
      <c r="Q24" s="12"/>
      <c r="R24" s="12"/>
      <c r="S24" s="11"/>
      <c r="T24" s="109"/>
      <c r="U24" s="108"/>
      <c r="V24" s="12"/>
      <c r="W24" s="12"/>
      <c r="X24" s="12"/>
      <c r="Y24" s="11"/>
      <c r="Z24" s="109"/>
      <c r="AA24" s="113"/>
      <c r="AB24" s="17"/>
      <c r="AC24" s="12"/>
      <c r="AD24" s="12"/>
      <c r="AE24" s="11"/>
      <c r="AF24" s="109"/>
      <c r="AG24" s="114"/>
      <c r="AH24" s="12"/>
      <c r="AI24" s="12"/>
      <c r="AJ24" s="12"/>
      <c r="AK24" s="11"/>
      <c r="AL24" s="109"/>
      <c r="AM24" s="114"/>
      <c r="AN24" s="12"/>
      <c r="AO24" s="12"/>
      <c r="AP24" s="12"/>
      <c r="AQ24" s="11"/>
      <c r="AR24" s="109"/>
      <c r="AS24" s="115"/>
      <c r="AT24" s="24"/>
      <c r="AU24" s="24"/>
      <c r="AV24" s="24"/>
      <c r="AW24" s="90"/>
      <c r="AX24" s="116"/>
    </row>
    <row r="25" spans="1:50" x14ac:dyDescent="0.25">
      <c r="B25" s="18"/>
      <c r="C25" s="110"/>
      <c r="D25" s="23"/>
      <c r="E25" s="12"/>
      <c r="F25" s="12"/>
      <c r="G25" s="90"/>
      <c r="H25" s="109"/>
      <c r="I25" s="111"/>
      <c r="J25" s="25"/>
      <c r="K25" s="120"/>
      <c r="L25" s="123"/>
      <c r="M25" s="11"/>
      <c r="N25" s="109"/>
      <c r="O25" s="110"/>
      <c r="P25" s="23"/>
      <c r="Q25" s="12"/>
      <c r="R25" s="12"/>
      <c r="S25" s="11"/>
      <c r="T25" s="109"/>
      <c r="U25" s="108"/>
      <c r="V25" s="12"/>
      <c r="W25" s="12"/>
      <c r="X25" s="12"/>
      <c r="Y25" s="11"/>
      <c r="Z25" s="109"/>
      <c r="AA25" s="113"/>
      <c r="AB25" s="17"/>
      <c r="AC25" s="12"/>
      <c r="AD25" s="12"/>
      <c r="AE25" s="11"/>
      <c r="AF25" s="109"/>
      <c r="AG25" s="114"/>
      <c r="AH25" s="12"/>
      <c r="AI25" s="12"/>
      <c r="AJ25" s="12"/>
      <c r="AK25" s="11"/>
      <c r="AL25" s="109"/>
      <c r="AM25" s="114"/>
      <c r="AN25" s="12"/>
      <c r="AO25" s="12"/>
      <c r="AP25" s="12"/>
      <c r="AQ25" s="11"/>
      <c r="AR25" s="109"/>
      <c r="AS25" s="115"/>
      <c r="AT25" s="24"/>
      <c r="AU25" s="24"/>
      <c r="AV25" s="24"/>
      <c r="AW25" s="90"/>
      <c r="AX25" s="116"/>
    </row>
  </sheetData>
  <mergeCells count="9">
    <mergeCell ref="AS6:AX6"/>
    <mergeCell ref="AM6:AR6"/>
    <mergeCell ref="A6:B7"/>
    <mergeCell ref="O6:T6"/>
    <mergeCell ref="U6:Z6"/>
    <mergeCell ref="AA6:AF6"/>
    <mergeCell ref="C6:H6"/>
    <mergeCell ref="I6:N6"/>
    <mergeCell ref="AG6:AL6"/>
  </mergeCells>
  <phoneticPr fontId="0" type="noConversion"/>
  <conditionalFormatting sqref="G8:G25 M8:M25 S8:S25 Y8:Y25 AE8:AE25 AK8:AK25 AQ8:AQ25 AW8:AW25">
    <cfRule type="containsText" dxfId="24" priority="5" operator="containsText" text="P">
      <formula>NOT(ISERROR(SEARCH("P",G8)))</formula>
    </cfRule>
    <cfRule type="containsText" dxfId="23" priority="6" operator="containsText" text="T">
      <formula>NOT(ISERROR(SEARCH("T",G8)))</formula>
    </cfRule>
  </conditionalFormatting>
  <printOptions horizontalCentered="1" verticalCentered="1"/>
  <pageMargins left="0.73685039370078742" right="0.19685039370078741" top="0.19685039370078741" bottom="0.19685039370078741" header="0" footer="0"/>
  <pageSetup paperSize="9" scale="76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>
    <pageSetUpPr fitToPage="1"/>
  </sheetPr>
  <dimension ref="A1:BS61"/>
  <sheetViews>
    <sheetView showGridLines="0" showZeros="0" tabSelected="1" zoomScaleNormal="100" workbookViewId="0">
      <pane xSplit="1" ySplit="9" topLeftCell="B10" activePane="bottomRight" state="frozen"/>
      <selection activeCell="H82" sqref="H82:N94"/>
      <selection pane="topRight" activeCell="H82" sqref="H82:N94"/>
      <selection pane="bottomLeft" activeCell="H82" sqref="H82:N94"/>
      <selection pane="bottomRight" activeCell="K16" sqref="K16"/>
    </sheetView>
  </sheetViews>
  <sheetFormatPr baseColWidth="10" defaultColWidth="11.453125" defaultRowHeight="12.5" x14ac:dyDescent="0.25"/>
  <cols>
    <col min="1" max="1" width="17.36328125" customWidth="1"/>
    <col min="2" max="2" width="13.54296875" customWidth="1"/>
    <col min="3" max="3" width="13" bestFit="1" customWidth="1"/>
    <col min="4" max="4" width="14.90625" bestFit="1" customWidth="1"/>
    <col min="5" max="5" width="4.6328125" customWidth="1"/>
    <col min="6" max="6" width="10.6328125" customWidth="1"/>
    <col min="7" max="8" width="10.453125" customWidth="1"/>
    <col min="9" max="9" width="7.6328125" customWidth="1"/>
    <col min="10" max="11" width="10.36328125" customWidth="1"/>
    <col min="12" max="12" width="10.90625" customWidth="1"/>
    <col min="13" max="13" width="4.6328125" customWidth="1"/>
    <col min="14" max="14" width="10.6328125" customWidth="1"/>
    <col min="15" max="15" width="8.6328125" customWidth="1"/>
    <col min="16" max="16" width="10.36328125" customWidth="1"/>
    <col min="17" max="17" width="7.36328125" customWidth="1"/>
    <col min="18" max="20" width="8.36328125" customWidth="1"/>
    <col min="21" max="21" width="4.6328125" customWidth="1"/>
    <col min="22" max="22" width="10.6328125" customWidth="1"/>
    <col min="23" max="23" width="7.6328125" customWidth="1"/>
    <col min="24" max="24" width="8.36328125" customWidth="1"/>
    <col min="25" max="25" width="7.36328125" customWidth="1"/>
    <col min="26" max="27" width="8.36328125" customWidth="1"/>
    <col min="28" max="28" width="8.90625" customWidth="1"/>
    <col min="29" max="29" width="4.6328125" customWidth="1"/>
    <col min="30" max="30" width="10.6328125" customWidth="1"/>
    <col min="31" max="33" width="7.6328125" customWidth="1"/>
    <col min="34" max="35" width="8.36328125" customWidth="1"/>
    <col min="36" max="36" width="7.6328125" customWidth="1"/>
    <col min="37" max="37" width="4.6328125" customWidth="1"/>
    <col min="38" max="38" width="10.6328125" customWidth="1"/>
    <col min="39" max="41" width="7.6328125" customWidth="1"/>
    <col min="42" max="43" width="10.54296875" customWidth="1"/>
    <col min="44" max="44" width="9.81640625" customWidth="1"/>
    <col min="45" max="45" width="4.6328125" customWidth="1"/>
    <col min="46" max="46" width="10.6328125" customWidth="1"/>
    <col min="47" max="49" width="7.6328125" customWidth="1"/>
    <col min="53" max="53" width="4.6328125" customWidth="1"/>
    <col min="54" max="54" width="10.6328125" customWidth="1"/>
    <col min="61" max="61" width="4.6328125" customWidth="1"/>
    <col min="62" max="62" width="10.6328125" customWidth="1"/>
  </cols>
  <sheetData>
    <row r="1" spans="1:71" ht="20" x14ac:dyDescent="0.25">
      <c r="A1" s="28" t="s">
        <v>58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</row>
    <row r="2" spans="1:71" ht="18" x14ac:dyDescent="0.25">
      <c r="A2" s="14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</row>
    <row r="3" spans="1:71" ht="15.5" x14ac:dyDescent="0.25">
      <c r="A3" s="15" t="s">
        <v>38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</row>
    <row r="4" spans="1:71" ht="3.75" customHeight="1" x14ac:dyDescent="0.2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</row>
    <row r="5" spans="1:71" ht="3.75" customHeight="1" x14ac:dyDescent="0.2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</row>
    <row r="6" spans="1:71" ht="14" x14ac:dyDescent="0.25">
      <c r="A6" s="8" t="str">
        <f>+Pb!A3</f>
        <v>Lotes cerrados febrero 2026.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</row>
    <row r="7" spans="1:71" ht="14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233" t="s">
        <v>78</v>
      </c>
      <c r="U7" s="233"/>
      <c r="V7" s="233"/>
      <c r="W7" s="233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</row>
    <row r="8" spans="1:71" s="43" customFormat="1" ht="15.75" customHeight="1" x14ac:dyDescent="0.3">
      <c r="A8" s="135" t="s">
        <v>39</v>
      </c>
      <c r="B8" s="136" t="s">
        <v>85</v>
      </c>
      <c r="C8" s="137"/>
      <c r="D8" s="138"/>
      <c r="E8" s="137"/>
      <c r="F8" s="137"/>
      <c r="G8" s="139" t="s">
        <v>41</v>
      </c>
      <c r="H8" s="140"/>
      <c r="I8" s="141" t="s">
        <v>42</v>
      </c>
      <c r="J8" s="136" t="s">
        <v>86</v>
      </c>
      <c r="K8" s="142"/>
      <c r="L8" s="143"/>
      <c r="M8" s="142"/>
      <c r="N8" s="142"/>
      <c r="O8" s="139" t="s">
        <v>41</v>
      </c>
      <c r="P8" s="140"/>
      <c r="Q8" s="141" t="s">
        <v>42</v>
      </c>
      <c r="R8" s="136" t="s">
        <v>44</v>
      </c>
      <c r="S8" s="144"/>
      <c r="T8" s="145"/>
      <c r="U8" s="144"/>
      <c r="V8" s="144"/>
      <c r="W8" s="139" t="s">
        <v>41</v>
      </c>
      <c r="X8" s="140"/>
      <c r="Y8" s="141" t="s">
        <v>42</v>
      </c>
      <c r="Z8" s="136" t="s">
        <v>49</v>
      </c>
      <c r="AA8" s="144"/>
      <c r="AB8" s="145"/>
      <c r="AC8" s="144"/>
      <c r="AD8" s="144"/>
      <c r="AE8" s="139" t="s">
        <v>41</v>
      </c>
      <c r="AF8" s="140"/>
      <c r="AG8" s="146" t="s">
        <v>42</v>
      </c>
      <c r="AH8" s="136" t="s">
        <v>50</v>
      </c>
      <c r="AI8" s="144"/>
      <c r="AJ8" s="145"/>
      <c r="AK8" s="144"/>
      <c r="AL8" s="144"/>
      <c r="AM8" s="139" t="s">
        <v>41</v>
      </c>
      <c r="AN8" s="140"/>
      <c r="AO8" s="146" t="s">
        <v>42</v>
      </c>
      <c r="AP8" s="136" t="s">
        <v>56</v>
      </c>
      <c r="AQ8" s="144"/>
      <c r="AR8" s="145"/>
      <c r="AS8" s="144"/>
      <c r="AT8" s="144"/>
      <c r="AU8" s="139" t="s">
        <v>41</v>
      </c>
      <c r="AV8" s="140"/>
      <c r="AW8" s="146" t="s">
        <v>42</v>
      </c>
      <c r="AX8" s="136" t="s">
        <v>73</v>
      </c>
      <c r="AY8" s="144"/>
      <c r="AZ8" s="145"/>
      <c r="BA8" s="144"/>
      <c r="BB8" s="144"/>
      <c r="BC8" s="139" t="s">
        <v>41</v>
      </c>
      <c r="BD8" s="140"/>
      <c r="BE8" s="146" t="s">
        <v>42</v>
      </c>
      <c r="BF8" s="136" t="s">
        <v>74</v>
      </c>
      <c r="BG8" s="144"/>
      <c r="BH8" s="145"/>
      <c r="BI8" s="144"/>
      <c r="BJ8" s="144"/>
      <c r="BK8" s="139" t="s">
        <v>41</v>
      </c>
      <c r="BL8" s="140"/>
      <c r="BM8" s="146" t="s">
        <v>42</v>
      </c>
    </row>
    <row r="9" spans="1:71" s="52" customFormat="1" ht="14.5" thickBot="1" x14ac:dyDescent="0.35">
      <c r="A9" s="147" t="s">
        <v>45</v>
      </c>
      <c r="B9" s="148" t="s">
        <v>57</v>
      </c>
      <c r="C9" s="148" t="s">
        <v>59</v>
      </c>
      <c r="D9" s="148" t="s">
        <v>46</v>
      </c>
      <c r="E9" s="148" t="s">
        <v>15</v>
      </c>
      <c r="F9" s="148" t="s">
        <v>47</v>
      </c>
      <c r="G9" s="148" t="s">
        <v>57</v>
      </c>
      <c r="H9" s="148" t="s">
        <v>59</v>
      </c>
      <c r="I9" s="149" t="s">
        <v>48</v>
      </c>
      <c r="J9" s="150" t="s">
        <v>57</v>
      </c>
      <c r="K9" s="151" t="s">
        <v>59</v>
      </c>
      <c r="L9" s="151" t="s">
        <v>46</v>
      </c>
      <c r="M9" s="151"/>
      <c r="N9" s="151" t="s">
        <v>47</v>
      </c>
      <c r="O9" s="151" t="s">
        <v>57</v>
      </c>
      <c r="P9" s="151" t="s">
        <v>59</v>
      </c>
      <c r="Q9" s="149" t="s">
        <v>48</v>
      </c>
      <c r="R9" s="152" t="s">
        <v>57</v>
      </c>
      <c r="S9" s="153" t="s">
        <v>59</v>
      </c>
      <c r="T9" s="153" t="s">
        <v>46</v>
      </c>
      <c r="U9" s="153"/>
      <c r="V9" s="153" t="s">
        <v>47</v>
      </c>
      <c r="W9" s="153" t="s">
        <v>57</v>
      </c>
      <c r="X9" s="153" t="s">
        <v>59</v>
      </c>
      <c r="Y9" s="149" t="s">
        <v>48</v>
      </c>
      <c r="Z9" s="154" t="s">
        <v>57</v>
      </c>
      <c r="AA9" s="153" t="s">
        <v>59</v>
      </c>
      <c r="AB9" s="153" t="s">
        <v>46</v>
      </c>
      <c r="AC9" s="153"/>
      <c r="AD9" s="153" t="s">
        <v>47</v>
      </c>
      <c r="AE9" s="153" t="s">
        <v>57</v>
      </c>
      <c r="AF9" s="153" t="s">
        <v>59</v>
      </c>
      <c r="AG9" s="155" t="s">
        <v>48</v>
      </c>
      <c r="AH9" s="154" t="s">
        <v>57</v>
      </c>
      <c r="AI9" s="153" t="s">
        <v>59</v>
      </c>
      <c r="AJ9" s="153" t="s">
        <v>46</v>
      </c>
      <c r="AK9" s="153"/>
      <c r="AL9" s="153" t="s">
        <v>47</v>
      </c>
      <c r="AM9" s="153" t="s">
        <v>57</v>
      </c>
      <c r="AN9" s="153">
        <v>0</v>
      </c>
      <c r="AO9" s="155" t="s">
        <v>48</v>
      </c>
      <c r="AP9" s="154" t="s">
        <v>57</v>
      </c>
      <c r="AQ9" s="153" t="s">
        <v>59</v>
      </c>
      <c r="AR9" s="153" t="s">
        <v>46</v>
      </c>
      <c r="AS9" s="153"/>
      <c r="AT9" s="153" t="s">
        <v>47</v>
      </c>
      <c r="AU9" s="153" t="s">
        <v>57</v>
      </c>
      <c r="AV9" s="153" t="s">
        <v>59</v>
      </c>
      <c r="AW9" s="155" t="s">
        <v>48</v>
      </c>
      <c r="AX9" s="154" t="s">
        <v>57</v>
      </c>
      <c r="AY9" s="153" t="s">
        <v>59</v>
      </c>
      <c r="AZ9" s="153" t="s">
        <v>46</v>
      </c>
      <c r="BA9" s="153"/>
      <c r="BB9" s="153" t="s">
        <v>47</v>
      </c>
      <c r="BC9" s="153" t="s">
        <v>57</v>
      </c>
      <c r="BD9" s="153" t="s">
        <v>59</v>
      </c>
      <c r="BE9" s="155" t="s">
        <v>48</v>
      </c>
      <c r="BF9" s="154" t="s">
        <v>57</v>
      </c>
      <c r="BG9" s="153" t="s">
        <v>59</v>
      </c>
      <c r="BH9" s="153" t="s">
        <v>46</v>
      </c>
      <c r="BI9" s="153"/>
      <c r="BJ9" s="153" t="s">
        <v>47</v>
      </c>
      <c r="BK9" s="153" t="s">
        <v>57</v>
      </c>
      <c r="BL9" s="153" t="s">
        <v>59</v>
      </c>
      <c r="BM9" s="155" t="s">
        <v>48</v>
      </c>
    </row>
    <row r="10" spans="1:71" s="190" customFormat="1" ht="14.5" thickBot="1" x14ac:dyDescent="0.35">
      <c r="A10" s="231" t="str">
        <f>Pb!B8</f>
        <v>06</v>
      </c>
      <c r="B10" s="184">
        <f>+Pb!C8</f>
        <v>112.64</v>
      </c>
      <c r="C10" s="184">
        <f>Pb!D8</f>
        <v>113.55</v>
      </c>
      <c r="D10" s="189"/>
      <c r="E10" s="189" t="str">
        <f>+Pb!G8</f>
        <v>P</v>
      </c>
      <c r="F10" s="208">
        <f>IF(D10=0,AVERAGE(B10,C10),IF(OR(AND(B10&lt;C10,B10&gt;D10),AND(B10&gt;C10,B10&lt;D10)),B10,IF(OR(AND(C10&lt;B10,C10&gt;D10),AND(C10&gt;B10,C10&lt;D10)),C10,D10)))</f>
        <v>113.095</v>
      </c>
      <c r="G10" s="193">
        <f>IF(D10=0,0,IF(D10&gt;B10,(D10-B10),(B10-D10)))</f>
        <v>0</v>
      </c>
      <c r="H10" s="193">
        <f>IF(D10=0,0,IF(C10&gt;D10,(C10-D10),(D10-C10)))</f>
        <v>0</v>
      </c>
      <c r="I10" s="56" t="str">
        <f>IF(D10=0,"",IF(H10=G10,"50%",IF(H10&gt;G10,"CIEN","MMP")))</f>
        <v/>
      </c>
      <c r="J10" s="194">
        <f>+Pb!I8</f>
        <v>14.827999999999999</v>
      </c>
      <c r="K10" s="193">
        <f>Pb!J8</f>
        <v>15.247999999999999</v>
      </c>
      <c r="L10" s="191">
        <v>15.233000000000001</v>
      </c>
      <c r="M10" s="189" t="str">
        <f>+Pb!M8</f>
        <v>T</v>
      </c>
      <c r="N10" s="209">
        <f>IF(L10=0,AVERAGE(J10,K10),IF(OR(AND(J10&lt;K10,J10&gt;L10),AND(J10&gt;K10,J10&lt;L10)),J10,IF(OR(AND(K10&lt;J10,K10&gt;L10),AND(K10&gt;J10,K10&lt;L10)),K10,L10)))</f>
        <v>15.233000000000001</v>
      </c>
      <c r="O10" s="193">
        <f t="shared" ref="O10:O13" si="0">IF(L10=0,0,IF(L10&gt;J10,(L10-J10),(J10-L10)))</f>
        <v>0.40500000000000114</v>
      </c>
      <c r="P10" s="193">
        <f t="shared" ref="P10:P13" si="1">IF(L10=0,0,IF(K10&gt;L10,(K10-L10),(L10-K10)))</f>
        <v>1.4999999999998792E-2</v>
      </c>
      <c r="Q10" s="56" t="str">
        <f>IF(L10=0,"",IF(P10=O10,"50%",IF(P10&gt;O10,"CIEN","MMP")))</f>
        <v>MMP</v>
      </c>
      <c r="R10" s="195">
        <f>+Pb!O8</f>
        <v>20.55</v>
      </c>
      <c r="S10" s="195">
        <f>Pb!P8</f>
        <v>20.75</v>
      </c>
      <c r="T10" s="196"/>
      <c r="U10" s="189" t="str">
        <f>+Pb!S8</f>
        <v>P</v>
      </c>
      <c r="V10" s="208">
        <f>IF(T10=0,AVERAGE(R10,S10),IF(OR(AND(R10&lt;S10,R10&gt;T10),AND(R10&gt;S10,R10&lt;T10)),R10,IF(OR(AND(S10&lt;R10,S10&gt;T10),AND(S10&gt;R10,S10&lt;T10)),S10,T10)))</f>
        <v>20.65</v>
      </c>
      <c r="W10" s="184">
        <f>IF(T10=0,0,IF(T10&gt;R10,(T10-R10),(R10-T10)))</f>
        <v>0</v>
      </c>
      <c r="X10" s="184">
        <f>IF(T10=0,0,IF(S10&gt;T10,(S10-T10),(T10-S10)))</f>
        <v>0</v>
      </c>
      <c r="Y10" s="56" t="str">
        <f>IF(T10=0,"",IF(X10=W10,"50%",IF(X10&gt;W10,"CIEN","MMP")))</f>
        <v/>
      </c>
      <c r="Z10" s="197">
        <f>+Pb!U8</f>
        <v>24.2</v>
      </c>
      <c r="AA10" s="197">
        <f>Pb!V8</f>
        <v>22.2</v>
      </c>
      <c r="AB10" s="196">
        <v>20.934999999999999</v>
      </c>
      <c r="AC10" s="189" t="str">
        <f>+Pb!Y8</f>
        <v>T</v>
      </c>
      <c r="AD10" s="208">
        <f>IF(AB10=0,AVERAGE(Z10,AA10),IF(OR(AND(Z10&lt;AA10,Z10&gt;AB10),AND(Z10&gt;AA10,Z10&lt;AB10)),Z10,IF(OR(AND(AA10&lt;Z10,AA10&gt;AB10),AND(AA10&gt;Z10,AA10&lt;AB10)),AA10,AB10)))</f>
        <v>22.2</v>
      </c>
      <c r="AE10" s="184">
        <f>IF(AB10&gt;Z10,(AB10-Z10),(Z10-AB10))</f>
        <v>3.2650000000000006</v>
      </c>
      <c r="AF10" s="184">
        <f>IF(AA10&gt;AB10,(AA10-AB10),(AB10-AA10))</f>
        <v>1.2650000000000006</v>
      </c>
      <c r="AG10" s="56" t="str">
        <f>IF(AB10=0,"",IF(AF10=AE10,"50%",IF(AF10&gt;AE10,"CIEN","MMP")))</f>
        <v>MMP</v>
      </c>
      <c r="AH10" s="197">
        <f>+Pb!AA8</f>
        <v>0.28999999999999998</v>
      </c>
      <c r="AI10" s="197">
        <f>Pb!AB8</f>
        <v>0.23899999999999999</v>
      </c>
      <c r="AJ10" s="192"/>
      <c r="AK10" s="189" t="str">
        <f>+Pb!AE8</f>
        <v>P</v>
      </c>
      <c r="AL10" s="208">
        <f>IF(AJ10=0,AVERAGE(AH10,AI10),IF(OR(AND(AH10&lt;AI10,AH10&gt;AJ10),AND(AH10&gt;AI10,AH10&lt;AJ10)),AH10,IF(OR(AND(AI10&lt;AH10,AI10&gt;AJ10),AND(AI10&gt;AH10,AI10&lt;AJ10)),AI10,AJ10)))</f>
        <v>0.26449999999999996</v>
      </c>
      <c r="AM10" s="184">
        <f>IF(AJ10&gt;AH10,(AJ10-AH10),(AH10-AJ10))</f>
        <v>0.28999999999999998</v>
      </c>
      <c r="AN10" s="184">
        <f>IF(AI10&gt;AJ10,(AI10-AJ10),(AJ10-AI10))</f>
        <v>0.23899999999999999</v>
      </c>
      <c r="AO10" s="56" t="str">
        <f>IF(AJ10=0,"",IF(AN10=AM10,"50%",IF(AN10&gt;AM10,"CIEN","MMP")))</f>
        <v/>
      </c>
      <c r="AP10" s="198">
        <f>+Pb!AS8</f>
        <v>3.32E-2</v>
      </c>
      <c r="AQ10" s="198">
        <f>Pb!AT8</f>
        <v>6.8999999999999999E-3</v>
      </c>
      <c r="AR10" s="192">
        <v>5.3199999999999997E-2</v>
      </c>
      <c r="AS10" s="189" t="str">
        <f>+Pb!AW8</f>
        <v>T</v>
      </c>
      <c r="AT10" s="220">
        <f>IF(AR10=0,AVERAGE(AP10,AQ10),IF(OR(AND(AP10&lt;AQ10,AP10&gt;AR10),AND(AP10&gt;AQ10,AP10&lt;AR10)),AP10,IF(OR(AND(AQ10&lt;AP10,AQ10&gt;AR10),AND(AQ10&gt;AP10,AQ10&lt;AR10)),AQ10,AR10)))</f>
        <v>3.32E-2</v>
      </c>
      <c r="AU10" s="184">
        <f>IF(AR10&gt;AP10,(AR10-AP10),(AP10-AR10))</f>
        <v>1.9999999999999997E-2</v>
      </c>
      <c r="AV10" s="184">
        <f>IF(AQ10&gt;AR10,(AQ10-AR10),(AR10-AQ10))</f>
        <v>4.6299999999999994E-2</v>
      </c>
      <c r="AW10" s="56" t="str">
        <f>IF(AR10=0,"",IF(AV10=AU10,"50%",IF(AV10&gt;AU10,"CIEN","MMP")))</f>
        <v>CIEN</v>
      </c>
      <c r="AX10" s="198">
        <f>+Pb!AG8</f>
        <v>0.03</v>
      </c>
      <c r="AY10" s="198">
        <f>Pb!AH8</f>
        <v>0.05</v>
      </c>
      <c r="AZ10" s="192"/>
      <c r="BA10" s="189" t="str">
        <f>+Pb!AK8</f>
        <v>P</v>
      </c>
      <c r="BB10" s="208">
        <f>IF(AZ10=0,AVERAGE(AX10,AY10),IF(OR(AND(AX10&lt;AY10,AX10&gt;AZ10),AND(AX10&gt;AY10,AX10&lt;AZ10)),AX10,IF(OR(AND(AY10&lt;AX10,AY10&gt;AZ10),AND(AY10&gt;AX10,AY10&lt;AZ10)),AY10,AZ10)))</f>
        <v>0.04</v>
      </c>
      <c r="BC10" s="184">
        <f>IF(AZ10&gt;AX10,(AZ10-AX10),(AX10-AZ10))</f>
        <v>0.03</v>
      </c>
      <c r="BD10" s="184">
        <f>IF(AY10&gt;AZ10,(AY10-AZ10),(AZ10-AY10))</f>
        <v>0.05</v>
      </c>
      <c r="BE10" s="56" t="str">
        <f>IF(AZ10=0,"",IF(BD10=BC10,"50%",IF(BD10&gt;BC10,"CIEN","MMP")))</f>
        <v/>
      </c>
      <c r="BF10" s="198">
        <f>+Pb!AM8</f>
        <v>0.06</v>
      </c>
      <c r="BG10" s="198">
        <f>Pb!AN8</f>
        <v>7.0000000000000007E-2</v>
      </c>
      <c r="BH10" s="192"/>
      <c r="BI10" s="189" t="str">
        <f>+Pb!AQ8</f>
        <v>P</v>
      </c>
      <c r="BJ10" s="208">
        <f>IF(BH10=0,AVERAGE(BF10,BG10),IF(OR(AND(BF10&lt;BG10,BF10&gt;BH10),AND(BF10&gt;BG10,BF10&lt;BH10)),BF10,IF(OR(AND(BG10&lt;BF10,BG10&gt;BH10),AND(BG10&gt;BF10,BG10&lt;BH10)),BG10,BH10)))</f>
        <v>6.5000000000000002E-2</v>
      </c>
      <c r="BK10" s="184">
        <f>IF(BH10&gt;BF10,(BH10-BF10),(BF10-BH10))</f>
        <v>0.06</v>
      </c>
      <c r="BL10" s="184">
        <f>IF(BG10&gt;BH10,(BG10-BH10),(BH10-BG10))</f>
        <v>7.0000000000000007E-2</v>
      </c>
      <c r="BM10" s="56" t="str">
        <f>IF(BH10=0,"",IF(BL10=BK10,"50%",IF(BL10&gt;BK10,"CIEN","MMP")))</f>
        <v/>
      </c>
      <c r="BO10" s="199"/>
      <c r="BP10" s="188" t="s">
        <v>51</v>
      </c>
      <c r="BQ10" s="188"/>
      <c r="BR10" s="188"/>
      <c r="BS10" s="200"/>
    </row>
    <row r="11" spans="1:71" s="190" customFormat="1" ht="14.5" thickBot="1" x14ac:dyDescent="0.35">
      <c r="A11" s="231" t="str">
        <f>Pb!B9</f>
        <v>07</v>
      </c>
      <c r="B11" s="184">
        <f>+Pb!C9</f>
        <v>109.68</v>
      </c>
      <c r="C11" s="184">
        <f>Pb!D9</f>
        <v>113.9</v>
      </c>
      <c r="D11" s="189">
        <v>114.08499999999999</v>
      </c>
      <c r="E11" s="189" t="str">
        <f>+Pb!G9</f>
        <v>T</v>
      </c>
      <c r="F11" s="208">
        <f>IF(D11=0,AVERAGE(B11,C11),IF(OR(AND(B11&lt;C11,B11&gt;D11),AND(B11&gt;C11,B11&lt;D11)),B11,IF(OR(AND(C11&lt;B11,C11&gt;D11),AND(C11&gt;B11,C11&lt;D11)),C11,D11)))</f>
        <v>113.9</v>
      </c>
      <c r="G11" s="193">
        <f>IF(D11=0,0,IF(D11&gt;B11,(D11-B11),(B11-D11)))</f>
        <v>4.4049999999999869</v>
      </c>
      <c r="H11" s="193">
        <f t="shared" ref="H11:H13" si="2">IF(D11=0,0,IF(C11&gt;D11,(C11-D11),(D11-C11)))</f>
        <v>0.18499999999998806</v>
      </c>
      <c r="I11" s="134" t="str">
        <f t="shared" ref="I11:I13" si="3">IF(D11=0,"",IF(H11=G11,"50%",IF(H11&gt;G11,"CIEN","MMP")))</f>
        <v>MMP</v>
      </c>
      <c r="J11" s="201">
        <f>+Pb!I9</f>
        <v>14.161</v>
      </c>
      <c r="K11" s="202">
        <f>Pb!J9</f>
        <v>14.532</v>
      </c>
      <c r="L11" s="191">
        <v>14.704000000000001</v>
      </c>
      <c r="M11" s="189" t="str">
        <f>+Pb!M9</f>
        <v>T</v>
      </c>
      <c r="N11" s="209">
        <f>IF(L11=0,AVERAGE(J11,K11),IF(OR(AND(J11&lt;K11,J11&gt;L11),AND(J11&gt;K11,J11&lt;L11)),J11,IF(OR(AND(K11&lt;J11,K11&gt;L11),AND(K11&gt;J11,K11&lt;L11)),K11,L11)))</f>
        <v>14.532</v>
      </c>
      <c r="O11" s="193">
        <f t="shared" si="0"/>
        <v>0.54300000000000104</v>
      </c>
      <c r="P11" s="193">
        <f t="shared" si="1"/>
        <v>0.1720000000000006</v>
      </c>
      <c r="Q11" s="56" t="str">
        <f>IF(L11=0,"",IF(P11=O11,"50%",IF(P11&gt;O11,"CIEN","MMP")))</f>
        <v>MMP</v>
      </c>
      <c r="R11" s="195">
        <f>+Pb!O9</f>
        <v>20.7</v>
      </c>
      <c r="S11" s="195">
        <f>Pb!P9</f>
        <v>21.66</v>
      </c>
      <c r="T11" s="196">
        <v>21.18</v>
      </c>
      <c r="U11" s="189" t="str">
        <f>+Pb!S9</f>
        <v>T</v>
      </c>
      <c r="V11" s="208">
        <f t="shared" ref="V11:V13" si="4">IF(T11=0,AVERAGE(R11,S11),IF(OR(AND(R11&lt;S11,R11&gt;T11),AND(R11&gt;S11,R11&lt;T11)),R11,IF(OR(AND(S11&lt;R11,S11&gt;T11),AND(S11&gt;R11,S11&lt;T11)),S11,T11)))</f>
        <v>21.18</v>
      </c>
      <c r="W11" s="184">
        <f t="shared" ref="W11:W13" si="5">IF(T11=0,0,IF(T11&gt;R11,(T11-R11),(R11-T11)))</f>
        <v>0.48000000000000043</v>
      </c>
      <c r="X11" s="184">
        <f>IF(T11=0,0,IF(S11&gt;T11,(S11-T11),(T11-S11)))</f>
        <v>0.48000000000000043</v>
      </c>
      <c r="Y11" s="232" t="str">
        <f>IF(T11=0,"",IF(X11=W11,"50%",IF(X11&gt;W11,"CIEN","MMP")))</f>
        <v>50%</v>
      </c>
      <c r="Z11" s="197">
        <f>+Pb!U9</f>
        <v>24.38</v>
      </c>
      <c r="AA11" s="197">
        <f>Pb!V9</f>
        <v>22.45</v>
      </c>
      <c r="AB11" s="196">
        <v>20.585000000000001</v>
      </c>
      <c r="AC11" s="189" t="str">
        <f>+Pb!Y9</f>
        <v>T</v>
      </c>
      <c r="AD11" s="208">
        <f>IF(AB11=0,AVERAGE(Z11,AA11),IF(OR(AND(Z11&lt;AA11,Z11&gt;AB11),AND(Z11&gt;AA11,Z11&lt;AB11)),Z11,IF(OR(AND(AA11&lt;Z11,AA11&gt;AB11),AND(AA11&gt;Z11,AA11&lt;AB11)),AA11,AB11)))</f>
        <v>22.45</v>
      </c>
      <c r="AE11" s="184">
        <f>IF(AB11&gt;Z11,(AB11-Z11),(Z11-AB11))</f>
        <v>3.7949999999999982</v>
      </c>
      <c r="AF11" s="184">
        <f>IF(AA11&gt;AB11,(AA11-AB11),(AB11-AA11))</f>
        <v>1.8649999999999984</v>
      </c>
      <c r="AG11" s="56" t="str">
        <f>IF(AB11=0,"",IF(AF11=AE11,"50%",IF(AF11&gt;AE11,"CIEN","MMP")))</f>
        <v>MMP</v>
      </c>
      <c r="AH11" s="197">
        <f>+Pb!AA9</f>
        <v>0.28000000000000003</v>
      </c>
      <c r="AI11" s="197">
        <f>Pb!AB9</f>
        <v>0.24</v>
      </c>
      <c r="AJ11" s="192"/>
      <c r="AK11" s="189" t="str">
        <f>+Pb!AE9</f>
        <v>P</v>
      </c>
      <c r="AL11" s="208">
        <f>IF(AJ11=0,AVERAGE(AH11,AI11),IF(OR(AND(AH11&lt;AI11,AH11&gt;AJ11),AND(AH11&gt;AI11,AH11&lt;AJ11)),AH11,IF(OR(AND(AI11&lt;AH11,AI11&gt;AJ11),AND(AI11&gt;AH11,AI11&lt;AJ11)),AI11,AJ11)))</f>
        <v>0.26</v>
      </c>
      <c r="AM11" s="184">
        <f>IF(AJ11&gt;AH11,(AJ11-AH11),(AH11-AJ11))</f>
        <v>0.28000000000000003</v>
      </c>
      <c r="AN11" s="184">
        <f>IF(AI11&gt;AJ11,(AI11-AJ11),(AJ11-AI11))</f>
        <v>0.24</v>
      </c>
      <c r="AO11" s="56" t="str">
        <f>IF(AJ11=0,"",IF(AN11=AM11,"50%",IF(AN11&gt;AM11,"CIEN","MMP")))</f>
        <v/>
      </c>
      <c r="AP11" s="198">
        <f>+Pb!AS9</f>
        <v>3.09E-2</v>
      </c>
      <c r="AQ11" s="198">
        <f>Pb!AT9</f>
        <v>7.0000000000000001E-3</v>
      </c>
      <c r="AR11" s="203">
        <v>4.8099999999999997E-2</v>
      </c>
      <c r="AS11" s="189" t="str">
        <f>+Pb!AW9</f>
        <v>T</v>
      </c>
      <c r="AT11" s="220">
        <f>IF(AR11=0,AVERAGE(AP11,AQ11),IF(OR(AND(AP11&lt;AQ11,AP11&gt;AR11),AND(AP11&gt;AQ11,AP11&lt;AR11)),AP11,IF(OR(AND(AQ11&lt;AP11,AQ11&gt;AR11),AND(AQ11&gt;AP11,AQ11&lt;AR11)),AQ11,AR11)))</f>
        <v>3.09E-2</v>
      </c>
      <c r="AU11" s="184">
        <f>IF(AR11&gt;AP11,(AR11-AP11),(AP11-AR11))</f>
        <v>1.7199999999999997E-2</v>
      </c>
      <c r="AV11" s="184">
        <f>IF(AQ11&gt;AR11,(AQ11-AR11),(AR11-AQ11))</f>
        <v>4.1099999999999998E-2</v>
      </c>
      <c r="AW11" s="56" t="str">
        <f>IF(AR11=0,"",IF(AV11=AU11,"50%",IF(AV11&gt;AU11,"CIEN","MMP")))</f>
        <v>CIEN</v>
      </c>
      <c r="AX11" s="198">
        <f>+Pb!AG9</f>
        <v>0.03</v>
      </c>
      <c r="AY11" s="198">
        <f>Pb!AH9</f>
        <v>0.06</v>
      </c>
      <c r="AZ11" s="192"/>
      <c r="BA11" s="189" t="str">
        <f>+Pb!AK9</f>
        <v>P</v>
      </c>
      <c r="BB11" s="208">
        <f>IF(AZ11=0,AVERAGE(AX11,AY11),IF(OR(AND(AX11&lt;AY11,AX11&gt;AZ11),AND(AX11&gt;AY11,AX11&lt;AZ11)),AX11,IF(OR(AND(AY11&lt;AX11,AY11&gt;AZ11),AND(AY11&gt;AX11,AY11&lt;AZ11)),AY11,AZ11)))</f>
        <v>4.4999999999999998E-2</v>
      </c>
      <c r="BC11" s="184">
        <f>IF(AZ11&gt;AX11,(AZ11-AX11),(AX11-AZ11))</f>
        <v>0.03</v>
      </c>
      <c r="BD11" s="184">
        <f>IF(AY11&gt;AZ11,(AY11-AZ11),(AZ11-AY11))</f>
        <v>0.06</v>
      </c>
      <c r="BE11" s="56" t="str">
        <f>IF(AZ11=0,"",IF(BD11=BC11,"50%",IF(BD11&gt;BC11,"CIEN","MMP")))</f>
        <v/>
      </c>
      <c r="BF11" s="198">
        <f>+Pb!AM9</f>
        <v>7.0000000000000007E-2</v>
      </c>
      <c r="BG11" s="198">
        <f>Pb!AN9</f>
        <v>7.0000000000000007E-2</v>
      </c>
      <c r="BH11" s="192"/>
      <c r="BI11" s="189" t="str">
        <f>+Pb!AQ9</f>
        <v>P</v>
      </c>
      <c r="BJ11" s="208">
        <f>IF(BH11=0,AVERAGE(BF11,BG11),IF(OR(AND(BF11&lt;BG11,BF11&gt;BH11),AND(BF11&gt;BG11,BF11&lt;BH11)),BF11,IF(OR(AND(BG11&lt;BF11,BG11&gt;BH11),AND(BG11&gt;BF11,BG11&lt;BH11)),BG11,BH11)))</f>
        <v>7.0000000000000007E-2</v>
      </c>
      <c r="BK11" s="184">
        <f>IF(BH11&gt;BF11,(BH11-BF11),(BF11-BH11))</f>
        <v>7.0000000000000007E-2</v>
      </c>
      <c r="BL11" s="184">
        <f>IF(BG11&gt;BH11,(BG11-BH11),(BH11-BG11))</f>
        <v>7.0000000000000007E-2</v>
      </c>
      <c r="BM11" s="56" t="str">
        <f>IF(BH11=0,"",IF(BL11=BK11,"50%",IF(BL11&gt;BK11,"CIEN","MMP")))</f>
        <v/>
      </c>
      <c r="BO11" s="204"/>
      <c r="BP11" s="188" t="s">
        <v>52</v>
      </c>
      <c r="BQ11" s="188"/>
      <c r="BR11" s="188"/>
      <c r="BS11" s="130" t="s">
        <v>53</v>
      </c>
    </row>
    <row r="12" spans="1:71" s="190" customFormat="1" ht="14.25" customHeight="1" thickBot="1" x14ac:dyDescent="0.35">
      <c r="A12" s="230" t="str">
        <f>Pb!B10</f>
        <v>08</v>
      </c>
      <c r="B12" s="184">
        <f>+Pb!C10</f>
        <v>180.88</v>
      </c>
      <c r="C12" s="184">
        <f>Pb!D10</f>
        <v>185.26</v>
      </c>
      <c r="D12" s="189">
        <v>180.81</v>
      </c>
      <c r="E12" s="189" t="str">
        <f>+Pb!G10</f>
        <v>T</v>
      </c>
      <c r="F12" s="208">
        <f>IF(D12=0,AVERAGE(B12,C12),IF(OR(AND(B12&lt;C12,B12&gt;D12),AND(B12&gt;C12,B12&lt;D12)),B12,IF(OR(AND(C12&lt;B12,C12&gt;D12),AND(C12&gt;B12,C12&lt;D12)),C12,D12)))</f>
        <v>180.88</v>
      </c>
      <c r="G12" s="193">
        <f>IF(D12=0,0,IF(D12&gt;B12,(D12-B12),(B12-D12)))</f>
        <v>6.9999999999993179E-2</v>
      </c>
      <c r="H12" s="193">
        <f t="shared" si="2"/>
        <v>4.4499999999999886</v>
      </c>
      <c r="I12" s="56" t="str">
        <f t="shared" si="3"/>
        <v>CIEN</v>
      </c>
      <c r="J12" s="201">
        <f>+Pb!I10</f>
        <v>14.683</v>
      </c>
      <c r="K12" s="193">
        <f>Pb!J10</f>
        <v>15.101000000000001</v>
      </c>
      <c r="L12" s="191">
        <v>14.837999999999999</v>
      </c>
      <c r="M12" s="189" t="str">
        <f>+Pb!M10</f>
        <v>T</v>
      </c>
      <c r="N12" s="209">
        <f>IF(L12=0,AVERAGE(J12,K12),IF(OR(AND(J12&lt;K12,J12&gt;L12),AND(J12&gt;K12,J12&lt;L12)),J12,IF(OR(AND(K12&lt;J12,K12&gt;L12),AND(K12&gt;J12,K12&lt;L12)),K12,L12)))</f>
        <v>14.837999999999999</v>
      </c>
      <c r="O12" s="193">
        <f t="shared" si="0"/>
        <v>0.15499999999999936</v>
      </c>
      <c r="P12" s="193">
        <f t="shared" si="1"/>
        <v>0.26300000000000168</v>
      </c>
      <c r="Q12" s="56" t="str">
        <f>IF(L12=0,"",IF(P12=O12,"50%",IF(P12&gt;O12,"CIEN","MMP")))</f>
        <v>CIEN</v>
      </c>
      <c r="R12" s="195">
        <f>+Pb!O10</f>
        <v>23.56</v>
      </c>
      <c r="S12" s="195">
        <f>Pb!P10</f>
        <v>24.47</v>
      </c>
      <c r="T12" s="196">
        <v>24.31</v>
      </c>
      <c r="U12" s="189" t="str">
        <f>+Pb!S10</f>
        <v>T</v>
      </c>
      <c r="V12" s="208">
        <f t="shared" si="4"/>
        <v>24.31</v>
      </c>
      <c r="W12" s="184">
        <f t="shared" si="5"/>
        <v>0.75</v>
      </c>
      <c r="X12" s="184">
        <f>IF(T12=0,0,IF(S12&gt;T12,(S12-T12),(T12-S12)))</f>
        <v>0.16000000000000014</v>
      </c>
      <c r="Y12" s="56" t="str">
        <f>IF(T12=0,"",IF(X12=W12,"50%",IF(X12&gt;W12,"CIEN","MMP")))</f>
        <v>MMP</v>
      </c>
      <c r="Z12" s="197">
        <f>+Pb!U10</f>
        <v>22.71</v>
      </c>
      <c r="AA12" s="197">
        <f>Pb!V10</f>
        <v>20.99</v>
      </c>
      <c r="AB12" s="196">
        <v>21.33</v>
      </c>
      <c r="AC12" s="189" t="str">
        <f>+Pb!Y10</f>
        <v>T</v>
      </c>
      <c r="AD12" s="208">
        <f>IF(AB12=0,AVERAGE(Z12,AA12),IF(OR(AND(Z12&lt;AA12,Z12&gt;AB12),AND(Z12&gt;AA12,Z12&lt;AB12)),Z12,IF(OR(AND(AA12&lt;Z12,AA12&gt;AB12),AND(AA12&gt;Z12,AA12&lt;AB12)),AA12,AB12)))</f>
        <v>21.33</v>
      </c>
      <c r="AE12" s="184">
        <f>IF(AB12&gt;Z12,(AB12-Z12),(Z12-AB12))</f>
        <v>1.3800000000000026</v>
      </c>
      <c r="AF12" s="184">
        <f>IF(AA12&gt;AB12,(AA12-AB12),(AB12-AA12))</f>
        <v>0.33999999999999986</v>
      </c>
      <c r="AG12" s="56" t="str">
        <f>IF(AB12=0,"",IF(AF12=AE12,"50%",IF(AF12&gt;AE12,"CIEN","MMP")))</f>
        <v>MMP</v>
      </c>
      <c r="AH12" s="197">
        <f>+Pb!AA10</f>
        <v>0.28000000000000003</v>
      </c>
      <c r="AI12" s="197">
        <f>Pb!AB10</f>
        <v>0.24399999999999999</v>
      </c>
      <c r="AJ12" s="192"/>
      <c r="AK12" s="189" t="str">
        <f>+Pb!AE10</f>
        <v>P</v>
      </c>
      <c r="AL12" s="208">
        <f>IF(AJ12=0,AVERAGE(AH12,AI12),IF(OR(AND(AH12&lt;AI12,AH12&gt;AJ12),AND(AH12&gt;AI12,AH12&lt;AJ12)),AH12,IF(OR(AND(AI12&lt;AH12,AI12&gt;AJ12),AND(AI12&gt;AH12,AI12&lt;AJ12)),AI12,AJ12)))</f>
        <v>0.26200000000000001</v>
      </c>
      <c r="AM12" s="184">
        <f>IF(AJ12&gt;AH12,(AJ12-AH12),(AH12-AJ12))</f>
        <v>0.28000000000000003</v>
      </c>
      <c r="AN12" s="184">
        <f>IF(AI12&gt;AJ12,(AI12-AJ12),(AJ12-AI12))</f>
        <v>0.24399999999999999</v>
      </c>
      <c r="AO12" s="56" t="str">
        <f>IF(AJ12=0,"",IF(AN12=AM12,"50%",IF(AN12&gt;AM12,"CIEN","MMP")))</f>
        <v/>
      </c>
      <c r="AP12" s="198">
        <f>+Pb!AS10</f>
        <v>3.0300000000000001E-2</v>
      </c>
      <c r="AQ12" s="198">
        <f>Pb!AT10</f>
        <v>6.8999999999999999E-3</v>
      </c>
      <c r="AR12" s="203">
        <v>2.1100000000000001E-2</v>
      </c>
      <c r="AS12" s="189" t="str">
        <f>+Pb!AW10</f>
        <v>T</v>
      </c>
      <c r="AT12" s="220">
        <f>IF(AR12=0,AVERAGE(AP12,AQ12),IF(OR(AND(AP12&lt;AQ12,AP12&gt;AR12),AND(AP12&gt;AQ12,AP12&lt;AR12)),AP12,IF(OR(AND(AQ12&lt;AP12,AQ12&gt;AR12),AND(AQ12&gt;AP12,AQ12&lt;AR12)),AQ12,AR12)))</f>
        <v>2.1100000000000001E-2</v>
      </c>
      <c r="AU12" s="184">
        <f>IF(AR12&gt;AP12,(AR12-AP12),(AP12-AR12))</f>
        <v>9.1999999999999998E-3</v>
      </c>
      <c r="AV12" s="184">
        <f>IF(AQ12&gt;AR12,(AQ12-AR12),(AR12-AQ12))</f>
        <v>1.4200000000000001E-2</v>
      </c>
      <c r="AW12" s="56" t="str">
        <f>IF(AR12=0,"",IF(AV12=AU12,"50%",IF(AV12&gt;AU12,"CIEN","MMP")))</f>
        <v>CIEN</v>
      </c>
      <c r="AX12" s="198">
        <f>+Pb!AG10</f>
        <v>0.03</v>
      </c>
      <c r="AY12" s="198">
        <f>Pb!AH10</f>
        <v>4.9000000000000002E-2</v>
      </c>
      <c r="AZ12" s="192"/>
      <c r="BA12" s="189" t="str">
        <f>+Pb!AK10</f>
        <v>P</v>
      </c>
      <c r="BB12" s="208">
        <f>IF(AZ12=0,AVERAGE(AX12,AY12),IF(OR(AND(AX12&lt;AY12,AX12&gt;AZ12),AND(AX12&gt;AY12,AX12&lt;AZ12)),AX12,IF(OR(AND(AY12&lt;AX12,AY12&gt;AZ12),AND(AY12&gt;AX12,AY12&lt;AZ12)),AY12,AZ12)))</f>
        <v>3.95E-2</v>
      </c>
      <c r="BC12" s="184">
        <f>IF(AZ12&gt;AX12,(AZ12-AX12),(AX12-AZ12))</f>
        <v>0.03</v>
      </c>
      <c r="BD12" s="184">
        <f>IF(AY12&gt;AZ12,(AY12-AZ12),(AZ12-AY12))</f>
        <v>4.9000000000000002E-2</v>
      </c>
      <c r="BE12" s="56" t="str">
        <f>IF(AZ12=0,"",IF(BD12=BC12,"50%",IF(BD12&gt;BC12,"CIEN","MMP")))</f>
        <v/>
      </c>
      <c r="BF12" s="198">
        <f>+Pb!AM10</f>
        <v>0.06</v>
      </c>
      <c r="BG12" s="198">
        <f>Pb!AN10</f>
        <v>0.05</v>
      </c>
      <c r="BH12" s="192"/>
      <c r="BI12" s="189" t="str">
        <f>+Pb!AQ10</f>
        <v>P</v>
      </c>
      <c r="BJ12" s="208">
        <f>IF(BH12=0,AVERAGE(BF12,BG12),IF(OR(AND(BF12&lt;BG12,BF12&gt;BH12),AND(BF12&gt;BG12,BF12&lt;BH12)),BF12,IF(OR(AND(BG12&lt;BF12,BG12&gt;BH12),AND(BG12&gt;BF12,BG12&lt;BH12)),BG12,BH12)))</f>
        <v>5.5E-2</v>
      </c>
      <c r="BK12" s="184">
        <f>IF(BH12&gt;BF12,(BH12-BF12),(BF12-BH12))</f>
        <v>0.06</v>
      </c>
      <c r="BL12" s="184">
        <f>IF(BG12&gt;BH12,(BG12-BH12),(BH12-BG12))</f>
        <v>0.05</v>
      </c>
      <c r="BM12" s="56" t="str">
        <f>IF(BH12=0,"",IF(BL12=BK12,"50%",IF(BL12&gt;BK12,"CIEN","MMP")))</f>
        <v/>
      </c>
      <c r="BO12" s="205"/>
      <c r="BP12" s="188" t="s">
        <v>54</v>
      </c>
      <c r="BQ12" s="188"/>
      <c r="BR12" s="188"/>
      <c r="BS12" s="206" t="s">
        <v>55</v>
      </c>
    </row>
    <row r="13" spans="1:71" s="190" customFormat="1" ht="14.25" customHeight="1" x14ac:dyDescent="0.3">
      <c r="A13" s="230" t="str">
        <f>Pb!B11</f>
        <v>09</v>
      </c>
      <c r="B13" s="184">
        <f>+Pb!C11</f>
        <v>171.83</v>
      </c>
      <c r="C13" s="184">
        <f>Pb!D11</f>
        <v>176.07</v>
      </c>
      <c r="D13" s="189">
        <v>175.12</v>
      </c>
      <c r="E13" s="189" t="str">
        <f>+Pb!G11</f>
        <v>T</v>
      </c>
      <c r="F13" s="208">
        <f t="shared" ref="F13:F14" si="6">IF(D13=0,AVERAGE(B13,C13),IF(OR(AND(B13&lt;C13,B13&gt;D13),AND(B13&gt;C13,B13&lt;D13)),B13,IF(OR(AND(C13&lt;B13,C13&gt;D13),AND(C13&gt;B13,C13&lt;D13)),C13,D13)))</f>
        <v>175.12</v>
      </c>
      <c r="G13" s="193">
        <f t="shared" ref="G13" si="7">IF(D13=0,0,IF(D13&gt;B13,(D13-B13),(B13-D13)))</f>
        <v>3.289999999999992</v>
      </c>
      <c r="H13" s="193">
        <f t="shared" si="2"/>
        <v>0.94999999999998863</v>
      </c>
      <c r="I13" s="56" t="str">
        <f t="shared" si="3"/>
        <v>MMP</v>
      </c>
      <c r="J13" s="201">
        <f>+Pb!I11</f>
        <v>14.602</v>
      </c>
      <c r="K13" s="193">
        <f>Pb!J11</f>
        <v>14.903</v>
      </c>
      <c r="L13" s="191">
        <v>14.750999999999999</v>
      </c>
      <c r="M13" s="189" t="str">
        <f>+Pb!M11</f>
        <v>T</v>
      </c>
      <c r="N13" s="209">
        <f t="shared" ref="N13" si="8">IF(L13=0,AVERAGE(J13,K13),IF(OR(AND(J13&lt;K13,J13&gt;L13),AND(J13&gt;K13,J13&lt;L13)),J13,IF(OR(AND(K13&lt;J13,K13&gt;L13),AND(K13&gt;J13,K13&lt;L13)),K13,L13)))</f>
        <v>14.750999999999999</v>
      </c>
      <c r="O13" s="193">
        <f t="shared" si="0"/>
        <v>0.14899999999999913</v>
      </c>
      <c r="P13" s="193">
        <f t="shared" si="1"/>
        <v>0.15200000000000102</v>
      </c>
      <c r="Q13" s="56" t="str">
        <f t="shared" ref="Q13" si="9">IF(L13=0,"",IF(P13=O13,"50%",IF(P13&gt;O13,"CIEN","MMP")))</f>
        <v>CIEN</v>
      </c>
      <c r="R13" s="195">
        <f>+Pb!O11</f>
        <v>23.57</v>
      </c>
      <c r="S13" s="195">
        <f>Pb!P11</f>
        <v>23.94</v>
      </c>
      <c r="T13" s="196"/>
      <c r="U13" s="189" t="str">
        <f>+Pb!S11</f>
        <v>P</v>
      </c>
      <c r="V13" s="208">
        <f t="shared" si="4"/>
        <v>23.755000000000003</v>
      </c>
      <c r="W13" s="184">
        <f t="shared" si="5"/>
        <v>0</v>
      </c>
      <c r="X13" s="184">
        <f t="shared" ref="X13" si="10">IF(T13=0,0,IF(S13&gt;T13,(S13-T13),(T13-S13)))</f>
        <v>0</v>
      </c>
      <c r="Y13" s="56" t="str">
        <f t="shared" ref="Y13" si="11">IF(T13=0,"",IF(X13=W13,"50%",IF(X13&gt;W13,"CIEN","MMP")))</f>
        <v/>
      </c>
      <c r="Z13" s="197">
        <f>+Pb!U11</f>
        <v>23.12</v>
      </c>
      <c r="AA13" s="197">
        <f>Pb!V11</f>
        <v>21.8</v>
      </c>
      <c r="AB13" s="196">
        <v>21.74</v>
      </c>
      <c r="AC13" s="189" t="str">
        <f>+Pb!Y11</f>
        <v>T</v>
      </c>
      <c r="AD13" s="208">
        <f t="shared" ref="AD13" si="12">IF(AB13=0,AVERAGE(Z13,AA13),IF(OR(AND(Z13&lt;AA13,Z13&gt;AB13),AND(Z13&gt;AA13,Z13&lt;AB13)),Z13,IF(OR(AND(AA13&lt;Z13,AA13&gt;AB13),AND(AA13&gt;Z13,AA13&lt;AB13)),AA13,AB13)))</f>
        <v>21.8</v>
      </c>
      <c r="AE13" s="184">
        <f t="shared" ref="AE13" si="13">IF(AB13&gt;Z13,(AB13-Z13),(Z13-AB13))</f>
        <v>1.3800000000000026</v>
      </c>
      <c r="AF13" s="184">
        <f t="shared" ref="AF13" si="14">IF(AA13&gt;AB13,(AA13-AB13),(AB13-AA13))</f>
        <v>6.0000000000002274E-2</v>
      </c>
      <c r="AG13" s="56" t="str">
        <f t="shared" ref="AG13" si="15">IF(AB13=0,"",IF(AF13=AE13,"50%",IF(AF13&gt;AE13,"CIEN","MMP")))</f>
        <v>MMP</v>
      </c>
      <c r="AH13" s="197">
        <f>+Pb!AA11</f>
        <v>0.28999999999999998</v>
      </c>
      <c r="AI13" s="214">
        <f>Pb!AB11</f>
        <v>0.255</v>
      </c>
      <c r="AJ13" s="192"/>
      <c r="AK13" s="189" t="str">
        <f>+Pb!AE11</f>
        <v>P</v>
      </c>
      <c r="AL13" s="208">
        <f t="shared" ref="AL13" si="16">IF(AJ13=0,AVERAGE(AH13,AI13),IF(OR(AND(AH13&lt;AI13,AH13&gt;AJ13),AND(AH13&gt;AI13,AH13&lt;AJ13)),AH13,IF(OR(AND(AI13&lt;AH13,AI13&gt;AJ13),AND(AI13&gt;AH13,AI13&lt;AJ13)),AI13,AJ13)))</f>
        <v>0.27249999999999996</v>
      </c>
      <c r="AM13" s="184">
        <f t="shared" ref="AM13" si="17">IF(AJ13&gt;AH13,(AJ13-AH13),(AH13-AJ13))</f>
        <v>0.28999999999999998</v>
      </c>
      <c r="AN13" s="184">
        <f t="shared" ref="AN13" si="18">IF(AI13&gt;AJ13,(AI13-AJ13),(AJ13-AI13))</f>
        <v>0.255</v>
      </c>
      <c r="AO13" s="56" t="str">
        <f t="shared" ref="AO13" si="19">IF(AJ13=0,"",IF(AN13=AM13,"50%",IF(AN13&gt;AM13,"CIEN","MMP")))</f>
        <v/>
      </c>
      <c r="AP13" s="198">
        <f>+Pb!AS11</f>
        <v>2.8500000000000001E-2</v>
      </c>
      <c r="AQ13" s="198">
        <f>Pb!AT11</f>
        <v>7.0000000000000001E-3</v>
      </c>
      <c r="AR13" s="203">
        <v>1.95E-2</v>
      </c>
      <c r="AS13" s="189" t="str">
        <f>+Pb!AW11</f>
        <v>T</v>
      </c>
      <c r="AT13" s="220">
        <f t="shared" ref="AT13" si="20">IF(AR13=0,AVERAGE(AP13,AQ13),IF(OR(AND(AP13&lt;AQ13,AP13&gt;AR13),AND(AP13&gt;AQ13,AP13&lt;AR13)),AP13,IF(OR(AND(AQ13&lt;AP13,AQ13&gt;AR13),AND(AQ13&gt;AP13,AQ13&lt;AR13)),AQ13,AR13)))</f>
        <v>1.95E-2</v>
      </c>
      <c r="AU13" s="184">
        <f t="shared" ref="AU13" si="21">IF(AR13&gt;AP13,(AR13-AP13),(AP13-AR13))</f>
        <v>9.0000000000000011E-3</v>
      </c>
      <c r="AV13" s="184">
        <f t="shared" ref="AV13" si="22">IF(AQ13&gt;AR13,(AQ13-AR13),(AR13-AQ13))</f>
        <v>1.2500000000000001E-2</v>
      </c>
      <c r="AW13" s="56" t="str">
        <f t="shared" ref="AW13" si="23">IF(AR13=0,"",IF(AV13=AU13,"50%",IF(AV13&gt;AU13,"CIEN","MMP")))</f>
        <v>CIEN</v>
      </c>
      <c r="AX13" s="198">
        <f>+Pb!AG11</f>
        <v>0.03</v>
      </c>
      <c r="AY13" s="198">
        <f>Pb!AH11</f>
        <v>4.4999999999999998E-2</v>
      </c>
      <c r="AZ13" s="192"/>
      <c r="BA13" s="189" t="str">
        <f>+Pb!AK11</f>
        <v>P</v>
      </c>
      <c r="BB13" s="208">
        <f t="shared" ref="BB13:BB14" si="24">IF(AZ13=0,AVERAGE(AX13,AY13),IF(OR(AND(AX13&lt;AY13,AX13&gt;AZ13),AND(AX13&gt;AY13,AX13&lt;AZ13)),AX13,IF(OR(AND(AY13&lt;AX13,AY13&gt;AZ13),AND(AY13&gt;AX13,AY13&lt;AZ13)),AY13,AZ13)))</f>
        <v>3.7499999999999999E-2</v>
      </c>
      <c r="BC13" s="184">
        <f t="shared" ref="BC13:BC14" si="25">IF(AZ13&gt;AX13,(AZ13-AX13),(AX13-AZ13))</f>
        <v>0.03</v>
      </c>
      <c r="BD13" s="184">
        <f t="shared" ref="BD13:BD14" si="26">IF(AY13&gt;AZ13,(AY13-AZ13),(AZ13-AY13))</f>
        <v>4.4999999999999998E-2</v>
      </c>
      <c r="BE13" s="56" t="str">
        <f t="shared" ref="BE13:BE14" si="27">IF(AZ13=0,"",IF(BD13=BC13,"50%",IF(BD13&gt;BC13,"CIEN","MMP")))</f>
        <v/>
      </c>
      <c r="BF13" s="198">
        <f>+Pb!AM11</f>
        <v>0.06</v>
      </c>
      <c r="BG13" s="198">
        <f>Pb!AN11</f>
        <v>0.06</v>
      </c>
      <c r="BH13" s="192"/>
      <c r="BI13" s="189" t="str">
        <f>+Pb!AQ11</f>
        <v>P</v>
      </c>
      <c r="BJ13" s="208">
        <f t="shared" ref="BJ13:BJ14" si="28">IF(BH13=0,AVERAGE(BF13,BG13),IF(OR(AND(BF13&lt;BG13,BF13&gt;BH13),AND(BF13&gt;BG13,BF13&lt;BH13)),BF13,IF(OR(AND(BG13&lt;BF13,BG13&gt;BH13),AND(BG13&gt;BF13,BG13&lt;BH13)),BG13,BH13)))</f>
        <v>0.06</v>
      </c>
      <c r="BK13" s="184">
        <f t="shared" ref="BK13:BK14" si="29">IF(BH13&gt;BF13,(BH13-BF13),(BF13-BH13))</f>
        <v>0.06</v>
      </c>
      <c r="BL13" s="184">
        <f t="shared" ref="BL13:BL14" si="30">IF(BG13&gt;BH13,(BG13-BH13),(BH13-BG13))</f>
        <v>0.06</v>
      </c>
      <c r="BM13" s="56" t="str">
        <f t="shared" ref="BM13:BM14" si="31">IF(BH13=0,"",IF(BL13=BK13,"50%",IF(BL13&gt;BK13,"CIEN","MMP")))</f>
        <v/>
      </c>
    </row>
    <row r="14" spans="1:71" s="43" customFormat="1" ht="14.25" customHeight="1" x14ac:dyDescent="0.35">
      <c r="A14" s="53">
        <f>Pb!B12</f>
        <v>0</v>
      </c>
      <c r="B14" s="71">
        <f>+Pb!C12</f>
        <v>0</v>
      </c>
      <c r="C14" s="71">
        <f>Pb!D12</f>
        <v>0</v>
      </c>
      <c r="D14" s="86"/>
      <c r="E14" s="189"/>
      <c r="F14" s="210">
        <f t="shared" si="6"/>
        <v>0</v>
      </c>
      <c r="G14" s="54">
        <f t="shared" ref="G14" si="32">IF(D14=0,0,IF(D14&gt;B14,(D14-B14),(B14-D14)))</f>
        <v>0</v>
      </c>
      <c r="H14" s="54">
        <f t="shared" ref="H14" si="33">IF(D14=0,0,IF(C14&gt;D14,(C14-D14),(D14-C14)))</f>
        <v>0</v>
      </c>
      <c r="I14" s="56" t="str">
        <f t="shared" ref="I14" si="34">IF(D14=0,"",IF(H14=G14,"50%",IF(H14&gt;G14,"CIEN","MMP")))</f>
        <v/>
      </c>
      <c r="J14" s="72">
        <f>+Pb!I12</f>
        <v>0</v>
      </c>
      <c r="K14" s="54">
        <f>Pb!J12</f>
        <v>0</v>
      </c>
      <c r="L14" s="55"/>
      <c r="M14" s="189"/>
      <c r="N14" s="211">
        <f t="shared" ref="N14" si="35">IF(L14=0,AVERAGE(J14,K14),IF(OR(AND(J14&lt;K14,J14&gt;L14),AND(J14&gt;K14,J14&lt;L14)),J14,IF(OR(AND(K14&lt;J14,K14&gt;L14),AND(K14&gt;J14,K14&lt;L14)),K14,L14)))</f>
        <v>0</v>
      </c>
      <c r="O14" s="54">
        <f t="shared" ref="O14" si="36">IF(L14=0,0,IF(L14&gt;J14,(L14-J14),(J14-L14)))</f>
        <v>0</v>
      </c>
      <c r="P14" s="54">
        <f t="shared" ref="P14" si="37">IF(L14=0,0,IF(K14&gt;L14,(K14-L14),(L14-K14)))</f>
        <v>0</v>
      </c>
      <c r="Q14" s="56" t="str">
        <f t="shared" ref="Q14" si="38">IF(L14=0,"",IF(P14=O14,"50%",IF(P14&gt;O14,"CIEN","MMP")))</f>
        <v/>
      </c>
      <c r="R14" s="40">
        <f>+Pb!O12</f>
        <v>0</v>
      </c>
      <c r="S14" s="40">
        <f>Pb!P12</f>
        <v>0</v>
      </c>
      <c r="T14" s="85"/>
      <c r="U14" s="189"/>
      <c r="V14" s="210">
        <f t="shared" ref="V14" si="39">IF(T14=0,AVERAGE(R14,S14),IF(OR(AND(R14&lt;S14,R14&gt;T14),AND(R14&gt;S14,R14&lt;T14)),R14,IF(OR(AND(S14&lt;R14,S14&gt;T14),AND(S14&gt;R14,S14&lt;T14)),S14,T14)))</f>
        <v>0</v>
      </c>
      <c r="W14" s="71">
        <f t="shared" ref="W14" si="40">IF(T14=0,0,IF(T14&gt;R14,(T14-R14),(R14-T14)))</f>
        <v>0</v>
      </c>
      <c r="X14" s="71">
        <f t="shared" ref="X14" si="41">IF(T14=0,0,IF(S14&gt;T14,(S14-T14),(T14-S14)))</f>
        <v>0</v>
      </c>
      <c r="Y14" s="56" t="str">
        <f t="shared" ref="Y14" si="42">IF(T14=0,"",IF(X14=W14,"50%",IF(X14&gt;W14,"CIEN","MMP")))</f>
        <v/>
      </c>
      <c r="Z14" s="41">
        <f>+Pb!U12</f>
        <v>0</v>
      </c>
      <c r="AA14" s="41">
        <f>Pb!V12</f>
        <v>0</v>
      </c>
      <c r="AB14" s="85"/>
      <c r="AC14" s="189"/>
      <c r="AD14" s="210">
        <f t="shared" ref="AD14" si="43">IF(AB14=0,AVERAGE(Z14,AA14),IF(OR(AND(Z14&lt;AA14,Z14&gt;AB14),AND(Z14&gt;AA14,Z14&lt;AB14)),Z14,IF(OR(AND(AA14&lt;Z14,AA14&gt;AB14),AND(AA14&gt;Z14,AA14&lt;AB14)),AA14,AB14)))</f>
        <v>0</v>
      </c>
      <c r="AE14" s="71">
        <f t="shared" ref="AE14" si="44">IF(AB14&gt;Z14,(AB14-Z14),(Z14-AB14))</f>
        <v>0</v>
      </c>
      <c r="AF14" s="71">
        <f t="shared" ref="AF14" si="45">IF(AA14&gt;AB14,(AA14-AB14),(AB14-AA14))</f>
        <v>0</v>
      </c>
      <c r="AG14" s="56" t="str">
        <f t="shared" ref="AG14" si="46">IF(AB14=0,"",IF(AF14=AE14,"50%",IF(AF14&gt;AE14,"CIEN","MMP")))</f>
        <v/>
      </c>
      <c r="AH14" s="41">
        <f>+Pb!AA12</f>
        <v>0</v>
      </c>
      <c r="AI14" s="41">
        <f>Pb!AB12</f>
        <v>0</v>
      </c>
      <c r="AJ14" s="60"/>
      <c r="AK14" s="189"/>
      <c r="AL14" s="210">
        <f t="shared" ref="AL14" si="47">IF(AJ14=0,AVERAGE(AH14,AI14),IF(OR(AND(AH14&lt;AI14,AH14&gt;AJ14),AND(AH14&gt;AI14,AH14&lt;AJ14)),AH14,IF(OR(AND(AI14&lt;AH14,AI14&gt;AJ14),AND(AI14&gt;AH14,AI14&lt;AJ14)),AI14,AJ14)))</f>
        <v>0</v>
      </c>
      <c r="AM14" s="71">
        <f t="shared" ref="AM14" si="48">IF(AJ14&gt;AH14,(AJ14-AH14),(AH14-AJ14))</f>
        <v>0</v>
      </c>
      <c r="AN14" s="71">
        <f t="shared" ref="AN14" si="49">IF(AI14&gt;AJ14,(AI14-AJ14),(AJ14-AI14))</f>
        <v>0</v>
      </c>
      <c r="AO14" s="56" t="str">
        <f t="shared" ref="AO14" si="50">IF(AJ14=0,"",IF(AN14=AM14,"50%",IF(AN14&gt;AM14,"CIEN","MMP")))</f>
        <v/>
      </c>
      <c r="AP14" s="74">
        <f>+Pb!AS12</f>
        <v>0</v>
      </c>
      <c r="AQ14" s="74">
        <f>Pb!AT12</f>
        <v>0</v>
      </c>
      <c r="AR14" s="60"/>
      <c r="AS14" s="189"/>
      <c r="AT14" s="210">
        <f t="shared" ref="AT14" si="51">IF(AR14=0,AVERAGE(AP14,AQ14),IF(OR(AND(AP14&lt;AQ14,AP14&gt;AR14),AND(AP14&gt;AQ14,AP14&lt;AR14)),AP14,IF(OR(AND(AQ14&lt;AP14,AQ14&gt;AR14),AND(AQ14&gt;AP14,AQ14&lt;AR14)),AQ14,AR14)))</f>
        <v>0</v>
      </c>
      <c r="AU14" s="71">
        <f t="shared" ref="AU14" si="52">IF(AR14&gt;AP14,(AR14-AP14),(AP14-AR14))</f>
        <v>0</v>
      </c>
      <c r="AV14" s="71">
        <f t="shared" ref="AV14" si="53">IF(AQ14&gt;AR14,(AQ14-AR14),(AR14-AQ14))</f>
        <v>0</v>
      </c>
      <c r="AW14" s="56" t="str">
        <f t="shared" ref="AW14" si="54">IF(AR14=0,"",IF(AV14=AU14,"50%",IF(AV14&gt;AU14,"CIEN","MMP")))</f>
        <v/>
      </c>
      <c r="AX14" s="74">
        <f>+Pb!AG12</f>
        <v>0</v>
      </c>
      <c r="AY14" s="74">
        <f>Pb!AH12</f>
        <v>0</v>
      </c>
      <c r="AZ14" s="60"/>
      <c r="BA14" s="189"/>
      <c r="BB14" s="210">
        <f t="shared" si="24"/>
        <v>0</v>
      </c>
      <c r="BC14" s="71">
        <f t="shared" si="25"/>
        <v>0</v>
      </c>
      <c r="BD14" s="71">
        <f t="shared" si="26"/>
        <v>0</v>
      </c>
      <c r="BE14" s="56" t="str">
        <f t="shared" si="27"/>
        <v/>
      </c>
      <c r="BF14" s="74">
        <f>+Pb!AM12</f>
        <v>0</v>
      </c>
      <c r="BG14" s="74">
        <f>Pb!AN12</f>
        <v>0</v>
      </c>
      <c r="BH14" s="60"/>
      <c r="BI14" s="189"/>
      <c r="BJ14" s="210">
        <f t="shared" si="28"/>
        <v>0</v>
      </c>
      <c r="BK14" s="71">
        <f t="shared" si="29"/>
        <v>0</v>
      </c>
      <c r="BL14" s="71">
        <f t="shared" si="30"/>
        <v>0</v>
      </c>
      <c r="BM14" s="56" t="str">
        <f t="shared" si="31"/>
        <v/>
      </c>
    </row>
    <row r="15" spans="1:71" s="43" customFormat="1" ht="14.25" customHeight="1" x14ac:dyDescent="0.35">
      <c r="A15" s="53"/>
      <c r="B15" s="71">
        <f>+Pb!C13</f>
        <v>0</v>
      </c>
      <c r="C15" s="71"/>
      <c r="D15" s="86"/>
      <c r="E15" s="189"/>
      <c r="F15" s="210"/>
      <c r="G15" s="54"/>
      <c r="H15" s="54"/>
      <c r="I15" s="56"/>
      <c r="J15" s="72">
        <f>+Pb!I13</f>
        <v>0</v>
      </c>
      <c r="K15" s="54"/>
      <c r="L15" s="55"/>
      <c r="M15" s="189"/>
      <c r="N15" s="211"/>
      <c r="O15" s="54"/>
      <c r="P15" s="54"/>
      <c r="Q15" s="56"/>
      <c r="R15" s="40">
        <f>+Pb!O13</f>
        <v>0</v>
      </c>
      <c r="S15" s="40"/>
      <c r="T15" s="85"/>
      <c r="U15" s="189"/>
      <c r="V15" s="210"/>
      <c r="W15" s="71"/>
      <c r="X15" s="71"/>
      <c r="Y15" s="56"/>
      <c r="Z15" s="41">
        <f>+Pb!U13</f>
        <v>0</v>
      </c>
      <c r="AA15" s="41"/>
      <c r="AB15" s="85"/>
      <c r="AC15" s="189"/>
      <c r="AD15" s="210"/>
      <c r="AE15" s="71"/>
      <c r="AF15" s="71"/>
      <c r="AG15" s="56"/>
      <c r="AH15" s="41">
        <f>+Pb!AA13</f>
        <v>0</v>
      </c>
      <c r="AI15" s="41"/>
      <c r="AJ15" s="60"/>
      <c r="AK15" s="189"/>
      <c r="AL15" s="210"/>
      <c r="AM15" s="71"/>
      <c r="AN15" s="71"/>
      <c r="AO15" s="56"/>
      <c r="AP15" s="74">
        <f>+Pb!AS13</f>
        <v>0</v>
      </c>
      <c r="AQ15" s="74"/>
      <c r="AR15" s="60"/>
      <c r="AS15" s="189"/>
      <c r="AT15" s="210"/>
      <c r="AU15" s="71"/>
      <c r="AV15" s="71"/>
      <c r="AW15" s="56"/>
      <c r="AX15" s="74">
        <f>+Pb!AG13</f>
        <v>0</v>
      </c>
      <c r="AY15" s="74"/>
      <c r="AZ15" s="60"/>
      <c r="BA15" s="189"/>
      <c r="BB15" s="210"/>
      <c r="BC15" s="71"/>
      <c r="BD15" s="71"/>
      <c r="BE15" s="56"/>
      <c r="BF15" s="74">
        <f>+Pb!AM13</f>
        <v>0</v>
      </c>
      <c r="BG15" s="74"/>
      <c r="BH15" s="60"/>
      <c r="BI15" s="189"/>
      <c r="BJ15" s="210"/>
      <c r="BK15" s="71"/>
      <c r="BL15" s="71"/>
      <c r="BM15" s="56"/>
    </row>
    <row r="16" spans="1:71" s="43" customFormat="1" ht="14.25" customHeight="1" x14ac:dyDescent="0.35">
      <c r="A16" s="53"/>
      <c r="B16" s="71">
        <f>+Pb!C14</f>
        <v>0</v>
      </c>
      <c r="C16" s="71"/>
      <c r="D16" s="86"/>
      <c r="E16" s="189"/>
      <c r="F16" s="210"/>
      <c r="G16" s="54"/>
      <c r="H16" s="54"/>
      <c r="I16" s="56"/>
      <c r="J16" s="72">
        <f>+Pb!I14</f>
        <v>0</v>
      </c>
      <c r="K16" s="54"/>
      <c r="L16" s="55"/>
      <c r="M16" s="189"/>
      <c r="N16" s="211"/>
      <c r="O16" s="54"/>
      <c r="P16" s="54"/>
      <c r="Q16" s="56"/>
      <c r="R16" s="40">
        <f>+Pb!O14</f>
        <v>0</v>
      </c>
      <c r="S16" s="40"/>
      <c r="T16" s="85"/>
      <c r="U16" s="189"/>
      <c r="V16" s="210"/>
      <c r="W16" s="71"/>
      <c r="X16" s="71"/>
      <c r="Y16" s="56"/>
      <c r="Z16" s="41">
        <f>+Pb!U14</f>
        <v>0</v>
      </c>
      <c r="AA16" s="41"/>
      <c r="AB16" s="85"/>
      <c r="AC16" s="189"/>
      <c r="AD16" s="210"/>
      <c r="AE16" s="71"/>
      <c r="AF16" s="71"/>
      <c r="AG16" s="56"/>
      <c r="AH16" s="41">
        <f>+Pb!AA14</f>
        <v>0</v>
      </c>
      <c r="AI16" s="41"/>
      <c r="AJ16" s="60"/>
      <c r="AK16" s="189"/>
      <c r="AL16" s="210"/>
      <c r="AM16" s="71"/>
      <c r="AN16" s="71"/>
      <c r="AO16" s="56"/>
      <c r="AP16" s="74">
        <f>+Pb!AS14</f>
        <v>0</v>
      </c>
      <c r="AQ16" s="74"/>
      <c r="AR16" s="60"/>
      <c r="AS16" s="189"/>
      <c r="AT16" s="210"/>
      <c r="AU16" s="71"/>
      <c r="AV16" s="71"/>
      <c r="AW16" s="56"/>
      <c r="AX16" s="74">
        <f>+Pb!AG14</f>
        <v>0</v>
      </c>
      <c r="AY16" s="74"/>
      <c r="AZ16" s="60"/>
      <c r="BA16" s="189"/>
      <c r="BB16" s="210"/>
      <c r="BC16" s="71"/>
      <c r="BD16" s="71"/>
      <c r="BE16" s="56"/>
      <c r="BF16" s="74">
        <f>+Pb!AM14</f>
        <v>0</v>
      </c>
      <c r="BG16" s="74"/>
      <c r="BH16" s="60"/>
      <c r="BI16" s="189"/>
      <c r="BJ16" s="210"/>
      <c r="BK16" s="71"/>
      <c r="BL16" s="71"/>
      <c r="BM16" s="56"/>
    </row>
    <row r="17" spans="1:65" s="43" customFormat="1" ht="14.25" customHeight="1" x14ac:dyDescent="0.35">
      <c r="A17" s="53"/>
      <c r="B17" s="71">
        <f>+Pb!C15</f>
        <v>0</v>
      </c>
      <c r="C17" s="71"/>
      <c r="D17" s="86"/>
      <c r="E17" s="189"/>
      <c r="F17" s="210"/>
      <c r="G17" s="54"/>
      <c r="H17" s="54"/>
      <c r="I17" s="56"/>
      <c r="J17" s="72">
        <f>+Pb!I15</f>
        <v>0</v>
      </c>
      <c r="K17" s="54"/>
      <c r="L17" s="55"/>
      <c r="M17" s="189"/>
      <c r="N17" s="211"/>
      <c r="O17" s="54"/>
      <c r="P17" s="54"/>
      <c r="Q17" s="56"/>
      <c r="R17" s="40">
        <f>+Pb!O15</f>
        <v>0</v>
      </c>
      <c r="S17" s="40"/>
      <c r="T17" s="85"/>
      <c r="U17" s="189"/>
      <c r="V17" s="210"/>
      <c r="W17" s="71"/>
      <c r="X17" s="71"/>
      <c r="Y17" s="56"/>
      <c r="Z17" s="41">
        <f>+Pb!U15</f>
        <v>0</v>
      </c>
      <c r="AA17" s="41"/>
      <c r="AB17" s="85"/>
      <c r="AC17" s="189"/>
      <c r="AD17" s="210"/>
      <c r="AE17" s="71"/>
      <c r="AF17" s="71"/>
      <c r="AG17" s="56"/>
      <c r="AH17" s="41">
        <f>+Pb!AA15</f>
        <v>0</v>
      </c>
      <c r="AI17" s="41"/>
      <c r="AJ17" s="60"/>
      <c r="AK17" s="189"/>
      <c r="AL17" s="210"/>
      <c r="AM17" s="71"/>
      <c r="AN17" s="71"/>
      <c r="AO17" s="56"/>
      <c r="AP17" s="74">
        <f>+Pb!AS15</f>
        <v>0</v>
      </c>
      <c r="AQ17" s="74"/>
      <c r="AR17" s="60"/>
      <c r="AS17" s="189"/>
      <c r="AT17" s="210"/>
      <c r="AU17" s="71"/>
      <c r="AV17" s="71"/>
      <c r="AW17" s="56"/>
      <c r="AX17" s="74">
        <f>+Pb!AG15</f>
        <v>0</v>
      </c>
      <c r="AY17" s="74"/>
      <c r="AZ17" s="60"/>
      <c r="BA17" s="189"/>
      <c r="BB17" s="210"/>
      <c r="BC17" s="71"/>
      <c r="BD17" s="71"/>
      <c r="BE17" s="56"/>
      <c r="BF17" s="74">
        <f>+Pb!AM15</f>
        <v>0</v>
      </c>
      <c r="BG17" s="74"/>
      <c r="BH17" s="60"/>
      <c r="BI17" s="189"/>
      <c r="BJ17" s="210"/>
      <c r="BK17" s="71"/>
      <c r="BL17" s="71"/>
      <c r="BM17" s="56"/>
    </row>
    <row r="18" spans="1:65" s="43" customFormat="1" ht="14.25" customHeight="1" x14ac:dyDescent="0.35">
      <c r="A18" s="53"/>
      <c r="B18" s="71">
        <f>+Pb!C16</f>
        <v>0</v>
      </c>
      <c r="C18" s="71"/>
      <c r="D18" s="86"/>
      <c r="E18" s="189"/>
      <c r="F18" s="210"/>
      <c r="G18" s="54"/>
      <c r="H18" s="54"/>
      <c r="I18" s="56"/>
      <c r="J18" s="72">
        <f>+Pb!I16</f>
        <v>0</v>
      </c>
      <c r="K18" s="54"/>
      <c r="L18" s="55"/>
      <c r="M18" s="189"/>
      <c r="N18" s="211"/>
      <c r="O18" s="54"/>
      <c r="P18" s="54"/>
      <c r="Q18" s="56"/>
      <c r="R18" s="40">
        <f>+Pb!O16</f>
        <v>0</v>
      </c>
      <c r="S18" s="40"/>
      <c r="T18" s="85"/>
      <c r="U18" s="189"/>
      <c r="V18" s="210"/>
      <c r="W18" s="71"/>
      <c r="X18" s="71"/>
      <c r="Y18" s="56"/>
      <c r="Z18" s="41">
        <f>+Pb!U16</f>
        <v>0</v>
      </c>
      <c r="AA18" s="41"/>
      <c r="AB18" s="85"/>
      <c r="AC18" s="189"/>
      <c r="AD18" s="210"/>
      <c r="AE18" s="71"/>
      <c r="AF18" s="71"/>
      <c r="AG18" s="56"/>
      <c r="AH18" s="41">
        <f>+Pb!AA16</f>
        <v>0</v>
      </c>
      <c r="AI18" s="41"/>
      <c r="AJ18" s="60"/>
      <c r="AK18" s="189"/>
      <c r="AL18" s="210"/>
      <c r="AM18" s="71"/>
      <c r="AN18" s="71"/>
      <c r="AO18" s="56"/>
      <c r="AP18" s="74">
        <f>+Pb!AS16</f>
        <v>0</v>
      </c>
      <c r="AQ18" s="74"/>
      <c r="AR18" s="60"/>
      <c r="AS18" s="189"/>
      <c r="AT18" s="210"/>
      <c r="AU18" s="71"/>
      <c r="AV18" s="71"/>
      <c r="AW18" s="56"/>
      <c r="AX18" s="74">
        <f>+Pb!AG16</f>
        <v>0</v>
      </c>
      <c r="AY18" s="74"/>
      <c r="AZ18" s="60"/>
      <c r="BA18" s="189"/>
      <c r="BB18" s="210"/>
      <c r="BC18" s="71"/>
      <c r="BD18" s="71"/>
      <c r="BE18" s="56"/>
      <c r="BF18" s="74">
        <f>+Pb!AM16</f>
        <v>0</v>
      </c>
      <c r="BG18" s="74"/>
      <c r="BH18" s="60"/>
      <c r="BI18" s="189"/>
      <c r="BJ18" s="210"/>
      <c r="BK18" s="71"/>
      <c r="BL18" s="71"/>
      <c r="BM18" s="56"/>
    </row>
    <row r="19" spans="1:65" s="43" customFormat="1" ht="14.25" customHeight="1" x14ac:dyDescent="0.35">
      <c r="A19" s="53"/>
      <c r="B19" s="71">
        <f>+Pb!C17</f>
        <v>0</v>
      </c>
      <c r="C19" s="71"/>
      <c r="D19" s="86"/>
      <c r="E19" s="189"/>
      <c r="F19" s="210"/>
      <c r="G19" s="54"/>
      <c r="H19" s="54"/>
      <c r="I19" s="56"/>
      <c r="J19" s="72">
        <f>+Pb!I17</f>
        <v>0</v>
      </c>
      <c r="K19" s="54"/>
      <c r="L19" s="55"/>
      <c r="M19" s="189"/>
      <c r="N19" s="211"/>
      <c r="O19" s="54"/>
      <c r="P19" s="54"/>
      <c r="Q19" s="56"/>
      <c r="R19" s="40">
        <f>+Pb!O17</f>
        <v>0</v>
      </c>
      <c r="S19" s="40"/>
      <c r="T19" s="85"/>
      <c r="U19" s="189"/>
      <c r="V19" s="210"/>
      <c r="W19" s="71"/>
      <c r="X19" s="71"/>
      <c r="Y19" s="56"/>
      <c r="Z19" s="41">
        <f>+Pb!U17</f>
        <v>0</v>
      </c>
      <c r="AA19" s="41"/>
      <c r="AB19" s="85"/>
      <c r="AC19" s="189"/>
      <c r="AD19" s="210"/>
      <c r="AE19" s="71"/>
      <c r="AF19" s="71"/>
      <c r="AG19" s="56"/>
      <c r="AH19" s="41">
        <f>+Pb!AA17</f>
        <v>0</v>
      </c>
      <c r="AI19" s="41"/>
      <c r="AJ19" s="60"/>
      <c r="AK19" s="189"/>
      <c r="AL19" s="210"/>
      <c r="AM19" s="71"/>
      <c r="AN19" s="71"/>
      <c r="AO19" s="56"/>
      <c r="AP19" s="74">
        <f>+Pb!AS17</f>
        <v>0</v>
      </c>
      <c r="AQ19" s="74"/>
      <c r="AR19" s="60"/>
      <c r="AS19" s="189"/>
      <c r="AT19" s="210"/>
      <c r="AU19" s="71"/>
      <c r="AV19" s="71"/>
      <c r="AW19" s="56"/>
      <c r="AX19" s="74">
        <f>+Pb!AG17</f>
        <v>0</v>
      </c>
      <c r="AY19" s="74"/>
      <c r="AZ19" s="60"/>
      <c r="BA19" s="189"/>
      <c r="BB19" s="210"/>
      <c r="BC19" s="71"/>
      <c r="BD19" s="71"/>
      <c r="BE19" s="56"/>
      <c r="BF19" s="74">
        <f>+Pb!AM17</f>
        <v>0</v>
      </c>
      <c r="BG19" s="74"/>
      <c r="BH19" s="60"/>
      <c r="BI19" s="189"/>
      <c r="BJ19" s="210"/>
      <c r="BK19" s="71"/>
      <c r="BL19" s="71"/>
      <c r="BM19" s="56"/>
    </row>
    <row r="20" spans="1:65" s="43" customFormat="1" ht="14.25" customHeight="1" x14ac:dyDescent="0.35">
      <c r="A20" s="53"/>
      <c r="B20" s="71">
        <f>+Pb!C18</f>
        <v>0</v>
      </c>
      <c r="C20" s="71"/>
      <c r="D20" s="86"/>
      <c r="E20" s="189"/>
      <c r="F20" s="210"/>
      <c r="G20" s="54"/>
      <c r="H20" s="54"/>
      <c r="I20" s="56"/>
      <c r="J20" s="72">
        <f>+Pb!I18</f>
        <v>0</v>
      </c>
      <c r="K20" s="54"/>
      <c r="L20" s="55"/>
      <c r="M20" s="189"/>
      <c r="N20" s="211"/>
      <c r="O20" s="54"/>
      <c r="P20" s="54"/>
      <c r="Q20" s="56"/>
      <c r="R20" s="40">
        <f>+Pb!O18</f>
        <v>0</v>
      </c>
      <c r="S20" s="40"/>
      <c r="T20" s="85"/>
      <c r="U20" s="189"/>
      <c r="V20" s="210"/>
      <c r="W20" s="71"/>
      <c r="X20" s="71"/>
      <c r="Y20" s="56"/>
      <c r="Z20" s="41">
        <f>+Pb!U18</f>
        <v>0</v>
      </c>
      <c r="AA20" s="41"/>
      <c r="AB20" s="85"/>
      <c r="AC20" s="189"/>
      <c r="AD20" s="210"/>
      <c r="AE20" s="71"/>
      <c r="AF20" s="71"/>
      <c r="AG20" s="56"/>
      <c r="AH20" s="41">
        <f>+Pb!AA18</f>
        <v>0</v>
      </c>
      <c r="AI20" s="41"/>
      <c r="AJ20" s="60"/>
      <c r="AK20" s="189"/>
      <c r="AL20" s="210"/>
      <c r="AM20" s="71"/>
      <c r="AN20" s="71"/>
      <c r="AO20" s="56"/>
      <c r="AP20" s="74">
        <f>+Pb!AS18</f>
        <v>0</v>
      </c>
      <c r="AQ20" s="74"/>
      <c r="AR20" s="60"/>
      <c r="AS20" s="189"/>
      <c r="AT20" s="210"/>
      <c r="AU20" s="71"/>
      <c r="AV20" s="71"/>
      <c r="AW20" s="56"/>
      <c r="AX20" s="74">
        <f>+Pb!AG18</f>
        <v>0</v>
      </c>
      <c r="AY20" s="74"/>
      <c r="AZ20" s="60"/>
      <c r="BA20" s="189"/>
      <c r="BB20" s="210"/>
      <c r="BC20" s="71"/>
      <c r="BD20" s="71"/>
      <c r="BE20" s="56"/>
      <c r="BF20" s="74">
        <f>+Pb!AM18</f>
        <v>0</v>
      </c>
      <c r="BG20" s="74"/>
      <c r="BH20" s="60"/>
      <c r="BI20" s="189"/>
      <c r="BJ20" s="210"/>
      <c r="BK20" s="71"/>
      <c r="BL20" s="71"/>
      <c r="BM20" s="56"/>
    </row>
    <row r="21" spans="1:65" s="43" customFormat="1" ht="14.25" customHeight="1" x14ac:dyDescent="0.35">
      <c r="A21" s="53"/>
      <c r="B21" s="71">
        <f>+Pb!C19</f>
        <v>0</v>
      </c>
      <c r="C21" s="71"/>
      <c r="D21" s="86"/>
      <c r="E21" s="189"/>
      <c r="F21" s="210"/>
      <c r="G21" s="54"/>
      <c r="H21" s="54"/>
      <c r="I21" s="56"/>
      <c r="J21" s="72">
        <f>+Pb!I19</f>
        <v>0</v>
      </c>
      <c r="K21" s="54"/>
      <c r="L21" s="55"/>
      <c r="M21" s="189"/>
      <c r="N21" s="211"/>
      <c r="O21" s="54"/>
      <c r="P21" s="54"/>
      <c r="Q21" s="56"/>
      <c r="R21" s="40">
        <f>+Pb!O19</f>
        <v>0</v>
      </c>
      <c r="S21" s="40"/>
      <c r="T21" s="85"/>
      <c r="U21" s="189"/>
      <c r="V21" s="210"/>
      <c r="W21" s="71"/>
      <c r="X21" s="71"/>
      <c r="Y21" s="56"/>
      <c r="Z21" s="41">
        <f>+Pb!U19</f>
        <v>0</v>
      </c>
      <c r="AA21" s="41"/>
      <c r="AB21" s="85"/>
      <c r="AC21" s="189"/>
      <c r="AD21" s="210"/>
      <c r="AE21" s="71"/>
      <c r="AF21" s="71"/>
      <c r="AG21" s="56"/>
      <c r="AH21" s="41">
        <f>+Pb!AA19</f>
        <v>0</v>
      </c>
      <c r="AI21" s="41"/>
      <c r="AJ21" s="60"/>
      <c r="AK21" s="189"/>
      <c r="AL21" s="210"/>
      <c r="AM21" s="71"/>
      <c r="AN21" s="71"/>
      <c r="AO21" s="56"/>
      <c r="AP21" s="74">
        <f>+Pb!AS19</f>
        <v>0</v>
      </c>
      <c r="AQ21" s="74"/>
      <c r="AR21" s="60"/>
      <c r="AS21" s="189"/>
      <c r="AT21" s="210"/>
      <c r="AU21" s="71"/>
      <c r="AV21" s="71"/>
      <c r="AW21" s="56"/>
      <c r="AX21" s="74">
        <f>+Pb!AG19</f>
        <v>0</v>
      </c>
      <c r="AY21" s="74"/>
      <c r="AZ21" s="60"/>
      <c r="BA21" s="189"/>
      <c r="BB21" s="210"/>
      <c r="BC21" s="71"/>
      <c r="BD21" s="71"/>
      <c r="BE21" s="56"/>
      <c r="BF21" s="74">
        <f>+Pb!AM19</f>
        <v>0</v>
      </c>
      <c r="BG21" s="74"/>
      <c r="BH21" s="60"/>
      <c r="BI21" s="189"/>
      <c r="BJ21" s="210"/>
      <c r="BK21" s="71"/>
      <c r="BL21" s="71"/>
      <c r="BM21" s="56"/>
    </row>
    <row r="22" spans="1:65" s="43" customFormat="1" ht="14.25" customHeight="1" x14ac:dyDescent="0.35">
      <c r="A22" s="53"/>
      <c r="B22" s="71">
        <f>+Pb!C20</f>
        <v>0</v>
      </c>
      <c r="C22" s="71"/>
      <c r="D22" s="86"/>
      <c r="E22" s="189"/>
      <c r="F22" s="210"/>
      <c r="G22" s="54"/>
      <c r="H22" s="54"/>
      <c r="I22" s="56"/>
      <c r="J22" s="72">
        <f>+Pb!I20</f>
        <v>0</v>
      </c>
      <c r="K22" s="54"/>
      <c r="L22" s="55"/>
      <c r="M22" s="189"/>
      <c r="N22" s="211"/>
      <c r="O22" s="54"/>
      <c r="P22" s="54"/>
      <c r="Q22" s="56"/>
      <c r="R22" s="40">
        <f>+Pb!O20</f>
        <v>0</v>
      </c>
      <c r="S22" s="40"/>
      <c r="T22" s="85"/>
      <c r="U22" s="189"/>
      <c r="V22" s="210"/>
      <c r="W22" s="71"/>
      <c r="X22" s="71"/>
      <c r="Y22" s="56"/>
      <c r="Z22" s="41">
        <f>+Pb!U20</f>
        <v>0</v>
      </c>
      <c r="AA22" s="41"/>
      <c r="AB22" s="85"/>
      <c r="AC22" s="189"/>
      <c r="AD22" s="210"/>
      <c r="AE22" s="71"/>
      <c r="AF22" s="71"/>
      <c r="AG22" s="56"/>
      <c r="AH22" s="41">
        <f>+Pb!AA20</f>
        <v>0</v>
      </c>
      <c r="AI22" s="41"/>
      <c r="AJ22" s="60"/>
      <c r="AK22" s="189"/>
      <c r="AL22" s="210"/>
      <c r="AM22" s="71"/>
      <c r="AN22" s="71"/>
      <c r="AO22" s="56"/>
      <c r="AP22" s="74">
        <f>+Pb!AS20</f>
        <v>0</v>
      </c>
      <c r="AQ22" s="74"/>
      <c r="AR22" s="60"/>
      <c r="AS22" s="189"/>
      <c r="AT22" s="210"/>
      <c r="AU22" s="71"/>
      <c r="AV22" s="71"/>
      <c r="AW22" s="56"/>
      <c r="AX22" s="74">
        <f>+Pb!AG20</f>
        <v>0</v>
      </c>
      <c r="AY22" s="74"/>
      <c r="AZ22" s="60"/>
      <c r="BA22" s="189"/>
      <c r="BB22" s="210"/>
      <c r="BC22" s="71"/>
      <c r="BD22" s="71"/>
      <c r="BE22" s="56"/>
      <c r="BF22" s="74">
        <f>+Pb!AM20</f>
        <v>0</v>
      </c>
      <c r="BG22" s="74"/>
      <c r="BH22" s="60"/>
      <c r="BI22" s="189"/>
      <c r="BJ22" s="210"/>
      <c r="BK22" s="71"/>
      <c r="BL22" s="71"/>
      <c r="BM22" s="56"/>
    </row>
    <row r="23" spans="1:65" s="43" customFormat="1" ht="14.25" customHeight="1" x14ac:dyDescent="0.35">
      <c r="A23" s="53"/>
      <c r="B23" s="71">
        <f>+Pb!C21</f>
        <v>0</v>
      </c>
      <c r="C23" s="71"/>
      <c r="D23" s="86"/>
      <c r="E23" s="189"/>
      <c r="F23" s="210"/>
      <c r="G23" s="54"/>
      <c r="H23" s="54"/>
      <c r="I23" s="56"/>
      <c r="J23" s="72">
        <f>+Pb!I21</f>
        <v>0</v>
      </c>
      <c r="K23" s="54"/>
      <c r="L23" s="55"/>
      <c r="M23" s="189"/>
      <c r="N23" s="211"/>
      <c r="O23" s="54"/>
      <c r="P23" s="54"/>
      <c r="Q23" s="56"/>
      <c r="R23" s="40">
        <f>+Pb!O21</f>
        <v>0</v>
      </c>
      <c r="S23" s="40"/>
      <c r="T23" s="85"/>
      <c r="U23" s="189"/>
      <c r="V23" s="210"/>
      <c r="W23" s="71"/>
      <c r="X23" s="71"/>
      <c r="Y23" s="56"/>
      <c r="Z23" s="41">
        <f>+Pb!U21</f>
        <v>0</v>
      </c>
      <c r="AA23" s="41"/>
      <c r="AB23" s="85"/>
      <c r="AC23" s="189"/>
      <c r="AD23" s="210"/>
      <c r="AE23" s="71"/>
      <c r="AF23" s="71"/>
      <c r="AG23" s="56"/>
      <c r="AH23" s="41">
        <f>+Pb!AA21</f>
        <v>0</v>
      </c>
      <c r="AI23" s="41"/>
      <c r="AJ23" s="60"/>
      <c r="AK23" s="189"/>
      <c r="AL23" s="210"/>
      <c r="AM23" s="71"/>
      <c r="AN23" s="71"/>
      <c r="AO23" s="56"/>
      <c r="AP23" s="74">
        <f>+Pb!AS21</f>
        <v>0</v>
      </c>
      <c r="AQ23" s="74"/>
      <c r="AR23" s="60"/>
      <c r="AS23" s="189"/>
      <c r="AT23" s="210"/>
      <c r="AU23" s="71"/>
      <c r="AV23" s="71"/>
      <c r="AW23" s="56"/>
      <c r="AX23" s="74">
        <f>+Pb!AG21</f>
        <v>0</v>
      </c>
      <c r="AY23" s="74"/>
      <c r="AZ23" s="60"/>
      <c r="BA23" s="189"/>
      <c r="BB23" s="210"/>
      <c r="BC23" s="71"/>
      <c r="BD23" s="71"/>
      <c r="BE23" s="56"/>
      <c r="BF23" s="74">
        <f>+Pb!AM21</f>
        <v>0</v>
      </c>
      <c r="BG23" s="74"/>
      <c r="BH23" s="60"/>
      <c r="BI23" s="189"/>
      <c r="BJ23" s="210"/>
      <c r="BK23" s="71"/>
      <c r="BL23" s="71"/>
      <c r="BM23" s="56"/>
    </row>
    <row r="24" spans="1:65" s="43" customFormat="1" ht="14.25" customHeight="1" x14ac:dyDescent="0.35">
      <c r="A24" s="53"/>
      <c r="B24" s="71">
        <f>+Pb!C22</f>
        <v>0</v>
      </c>
      <c r="C24" s="71"/>
      <c r="D24" s="86"/>
      <c r="E24" s="189"/>
      <c r="F24" s="210"/>
      <c r="G24" s="54"/>
      <c r="H24" s="54"/>
      <c r="I24" s="56"/>
      <c r="J24" s="133">
        <f>+Pb!I22</f>
        <v>0</v>
      </c>
      <c r="K24" s="54"/>
      <c r="L24" s="55"/>
      <c r="M24" s="189"/>
      <c r="N24" s="211"/>
      <c r="O24" s="54"/>
      <c r="P24" s="54"/>
      <c r="Q24" s="56"/>
      <c r="R24" s="40">
        <f>+Pb!O22</f>
        <v>0</v>
      </c>
      <c r="S24" s="40"/>
      <c r="T24" s="85"/>
      <c r="U24" s="189"/>
      <c r="V24" s="210"/>
      <c r="W24" s="71"/>
      <c r="X24" s="71"/>
      <c r="Y24" s="56"/>
      <c r="Z24" s="41">
        <f>+Pb!U22</f>
        <v>0</v>
      </c>
      <c r="AA24" s="41"/>
      <c r="AB24" s="85"/>
      <c r="AC24" s="189"/>
      <c r="AD24" s="210"/>
      <c r="AE24" s="71"/>
      <c r="AF24" s="71"/>
      <c r="AG24" s="56"/>
      <c r="AH24" s="41">
        <f>+Pb!AA22</f>
        <v>0</v>
      </c>
      <c r="AI24" s="41"/>
      <c r="AJ24" s="60"/>
      <c r="AK24" s="189"/>
      <c r="AL24" s="210"/>
      <c r="AM24" s="71"/>
      <c r="AN24" s="71"/>
      <c r="AO24" s="56"/>
      <c r="AP24" s="74">
        <f>+Pb!AS22</f>
        <v>0</v>
      </c>
      <c r="AQ24" s="74"/>
      <c r="AR24" s="60"/>
      <c r="AS24" s="189"/>
      <c r="AT24" s="210"/>
      <c r="AU24" s="71"/>
      <c r="AV24" s="71"/>
      <c r="AW24" s="56"/>
      <c r="AX24" s="74">
        <f>+Pb!AG22</f>
        <v>0</v>
      </c>
      <c r="AY24" s="74"/>
      <c r="AZ24" s="60"/>
      <c r="BA24" s="189"/>
      <c r="BB24" s="210"/>
      <c r="BC24" s="71"/>
      <c r="BD24" s="71"/>
      <c r="BE24" s="56"/>
      <c r="BF24" s="74">
        <f>+Pb!AM22</f>
        <v>0</v>
      </c>
      <c r="BG24" s="74"/>
      <c r="BH24" s="60"/>
      <c r="BI24" s="189"/>
      <c r="BJ24" s="210"/>
      <c r="BK24" s="71"/>
      <c r="BL24" s="71"/>
      <c r="BM24" s="56"/>
    </row>
    <row r="25" spans="1:65" s="43" customFormat="1" ht="14" x14ac:dyDescent="0.3">
      <c r="A25" s="75"/>
      <c r="B25" s="76"/>
      <c r="C25" s="76"/>
      <c r="D25" s="77"/>
      <c r="E25" s="77"/>
      <c r="F25" s="78"/>
      <c r="G25" s="76"/>
      <c r="H25" s="76"/>
      <c r="I25" s="79"/>
      <c r="J25" s="80"/>
      <c r="K25" s="80"/>
      <c r="L25" s="81"/>
      <c r="M25" s="81"/>
      <c r="N25" s="78"/>
      <c r="O25" s="80"/>
      <c r="P25" s="80"/>
      <c r="Q25" s="79"/>
      <c r="R25" s="76"/>
      <c r="S25" s="76"/>
      <c r="T25" s="77"/>
      <c r="U25" s="77"/>
      <c r="V25" s="78"/>
      <c r="W25" s="76"/>
      <c r="X25" s="76"/>
      <c r="Y25" s="79"/>
      <c r="Z25" s="76"/>
      <c r="AA25" s="76"/>
      <c r="AB25" s="77"/>
      <c r="AC25" s="77"/>
      <c r="AD25" s="78"/>
      <c r="AE25" s="76"/>
      <c r="AF25" s="76"/>
      <c r="AG25" s="79"/>
      <c r="AH25" s="76"/>
      <c r="AI25" s="76"/>
      <c r="AJ25" s="77"/>
      <c r="AK25" s="77"/>
      <c r="AL25" s="78"/>
      <c r="AM25" s="76"/>
      <c r="AN25" s="76"/>
      <c r="AO25" s="79"/>
      <c r="AP25" s="76"/>
      <c r="AQ25" s="76"/>
      <c r="AR25" s="77"/>
      <c r="AS25" s="77"/>
      <c r="AT25" s="78"/>
      <c r="AU25" s="76"/>
      <c r="AV25" s="76"/>
      <c r="AW25" s="79"/>
    </row>
    <row r="26" spans="1:65" s="43" customFormat="1" ht="14" x14ac:dyDescent="0.3">
      <c r="A26" s="75"/>
      <c r="B26" s="76"/>
      <c r="C26" s="76"/>
      <c r="D26" s="77"/>
      <c r="E26" s="77"/>
      <c r="F26" s="78"/>
      <c r="G26" s="76"/>
      <c r="H26" s="76"/>
      <c r="I26" s="79"/>
      <c r="J26" s="80"/>
      <c r="K26" s="80"/>
      <c r="L26" s="81"/>
      <c r="M26" s="81"/>
      <c r="N26" s="78"/>
      <c r="O26" s="80"/>
      <c r="P26" s="80"/>
      <c r="Q26" s="79"/>
      <c r="R26" s="76"/>
      <c r="S26" s="76"/>
      <c r="T26" s="77"/>
      <c r="U26" s="77"/>
      <c r="V26" s="78"/>
      <c r="W26" s="76"/>
      <c r="X26" s="76"/>
      <c r="Y26" s="79"/>
      <c r="Z26" s="76"/>
      <c r="AA26" s="76"/>
      <c r="AB26" s="77"/>
      <c r="AC26" s="77"/>
      <c r="AD26" s="78"/>
      <c r="AE26" s="76"/>
      <c r="AF26" s="76"/>
      <c r="AG26" s="79"/>
      <c r="AH26" s="76"/>
      <c r="AI26" s="76"/>
      <c r="AJ26" s="77"/>
      <c r="AK26" s="77"/>
      <c r="AL26" s="78"/>
      <c r="AM26" s="76"/>
      <c r="AN26" s="76"/>
      <c r="AO26" s="79"/>
      <c r="AP26" s="76"/>
      <c r="AQ26" s="76"/>
      <c r="AR26" s="77"/>
      <c r="AS26" s="77"/>
      <c r="AT26" s="78"/>
      <c r="AU26" s="76"/>
      <c r="AV26" s="76"/>
      <c r="AW26" s="79"/>
    </row>
    <row r="28" spans="1:65" s="43" customFormat="1" ht="14" x14ac:dyDescent="0.3">
      <c r="A28" s="75"/>
      <c r="B28" s="76"/>
      <c r="C28" s="76"/>
      <c r="D28" s="77"/>
      <c r="E28" s="77"/>
      <c r="F28" s="78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82"/>
      <c r="AF28" s="82"/>
      <c r="AG28" s="79"/>
      <c r="AH28" s="82"/>
      <c r="AI28" s="82"/>
      <c r="AJ28" s="77"/>
      <c r="AK28" s="77"/>
      <c r="AL28" s="83"/>
      <c r="AM28" s="82"/>
      <c r="AN28" s="82"/>
      <c r="AO28" s="79"/>
      <c r="AP28" s="84"/>
      <c r="AQ28" s="84"/>
      <c r="AR28" s="77"/>
      <c r="AS28" s="77"/>
      <c r="AT28" s="83"/>
      <c r="AU28" s="82"/>
      <c r="AV28" s="82"/>
      <c r="AW28" s="79"/>
      <c r="AX28" s="84"/>
      <c r="AY28" s="84"/>
      <c r="AZ28" s="77"/>
      <c r="BA28" s="77"/>
      <c r="BB28" s="83"/>
      <c r="BC28" s="82"/>
      <c r="BD28" s="82"/>
      <c r="BE28" s="79"/>
    </row>
    <row r="31" spans="1:65" s="3" customFormat="1" ht="15.75" hidden="1" customHeight="1" x14ac:dyDescent="0.3">
      <c r="A31" s="30" t="s">
        <v>39</v>
      </c>
      <c r="B31" s="31" t="s">
        <v>40</v>
      </c>
      <c r="C31" s="32"/>
      <c r="D31" s="33"/>
      <c r="E31" s="32"/>
      <c r="F31" s="32"/>
      <c r="G31" s="34" t="s">
        <v>41</v>
      </c>
      <c r="H31" s="35"/>
      <c r="I31" s="36" t="s">
        <v>42</v>
      </c>
      <c r="J31" s="31" t="s">
        <v>43</v>
      </c>
      <c r="K31" s="37"/>
      <c r="L31" s="38"/>
      <c r="M31" s="37"/>
      <c r="N31" s="37"/>
      <c r="O31" s="34" t="s">
        <v>41</v>
      </c>
      <c r="P31" s="35"/>
      <c r="Q31" s="36" t="s">
        <v>42</v>
      </c>
    </row>
    <row r="32" spans="1:65" s="52" customFormat="1" ht="14" hidden="1" x14ac:dyDescent="0.3">
      <c r="A32" s="44" t="s">
        <v>45</v>
      </c>
      <c r="B32" s="45" t="s">
        <v>57</v>
      </c>
      <c r="C32" s="45" t="s">
        <v>59</v>
      </c>
      <c r="D32" s="45" t="s">
        <v>46</v>
      </c>
      <c r="E32" s="45"/>
      <c r="F32" s="45" t="s">
        <v>47</v>
      </c>
      <c r="G32" s="45" t="s">
        <v>57</v>
      </c>
      <c r="H32" s="45" t="s">
        <v>59</v>
      </c>
      <c r="I32" s="46" t="s">
        <v>48</v>
      </c>
      <c r="J32" s="47" t="s">
        <v>57</v>
      </c>
      <c r="K32" s="48" t="s">
        <v>59</v>
      </c>
      <c r="L32" s="48" t="s">
        <v>46</v>
      </c>
      <c r="M32" s="48"/>
      <c r="N32" s="48" t="s">
        <v>47</v>
      </c>
      <c r="O32" s="48" t="s">
        <v>57</v>
      </c>
      <c r="P32" s="48" t="s">
        <v>59</v>
      </c>
      <c r="Q32" s="46" t="s">
        <v>48</v>
      </c>
    </row>
    <row r="33" spans="1:23" s="43" customFormat="1" ht="14" hidden="1" x14ac:dyDescent="0.3">
      <c r="A33" s="53" t="e">
        <f>Pb!#REF!</f>
        <v>#REF!</v>
      </c>
      <c r="B33" s="71" t="e">
        <f>Pb!#REF!</f>
        <v>#REF!</v>
      </c>
      <c r="C33" s="71" t="e">
        <f>Pb!#REF!</f>
        <v>#REF!</v>
      </c>
      <c r="D33" s="86"/>
      <c r="E33" s="86"/>
      <c r="F33" s="73" t="e">
        <f t="shared" ref="F33:F42" si="55">IF(D33=0,AVERAGE(B33,C33),IF(OR(AND(B33&lt;C33,B33&gt;D33),AND(B33&gt;C33,B33&lt;D33)),B33,IF(OR(AND(C33&lt;B33,C33&gt;D33),AND(C33&gt;B33,C33&lt;D33)),C33,D33)))</f>
        <v>#REF!</v>
      </c>
      <c r="G33" s="54">
        <f t="shared" ref="G33:G42" si="56">IF(D33=0,0,IF(D33&gt;B33,(D33-B33),(B33-D33)))</f>
        <v>0</v>
      </c>
      <c r="H33" s="71">
        <f t="shared" ref="H33:H42" si="57">IF(D33=0,0,IF(C33&gt;D33,(C33-D33),(D33-C33)))</f>
        <v>0</v>
      </c>
      <c r="I33" s="56" t="str">
        <f t="shared" ref="I33:I42" si="58">IF(D33=0,"",IF(H33=G33,"50%",IF(H33&gt;G33,"CIEN","MMP")))</f>
        <v/>
      </c>
      <c r="J33" s="72" t="e">
        <f>Pb!#REF!</f>
        <v>#REF!</v>
      </c>
      <c r="K33" s="54" t="e">
        <f>Pb!#REF!</f>
        <v>#REF!</v>
      </c>
      <c r="L33" s="55"/>
      <c r="M33" s="55"/>
      <c r="N33" s="58" t="e">
        <f t="shared" ref="N33:N42" si="59">IF(L33=0,AVERAGE(J33,K33),IF(OR(AND(J33&lt;K33,J33&gt;L33),AND(J33&gt;K33,J33&lt;L33)),J33,IF(OR(AND(K33&lt;J33,K33&gt;L33),AND(K33&gt;J33,K33&lt;L33)),K33,L33)))</f>
        <v>#REF!</v>
      </c>
      <c r="O33" s="54">
        <f t="shared" ref="O33:O34" si="60">IF(L33=0,0,IF(L33&gt;J33,(L33-J33),(J33-L33)))</f>
        <v>0</v>
      </c>
      <c r="P33" s="54">
        <f t="shared" ref="P33:P34" si="61">IF(L33=0,0,IF(K33&gt;L33,(K33-L33),(L33-K33)))</f>
        <v>0</v>
      </c>
      <c r="Q33" s="56" t="str">
        <f t="shared" ref="Q33:Q42" si="62">IF(L33=0,"",IF(P33=O33,"50%",IF(P33&gt;O33,"CIEN","MMP")))</f>
        <v/>
      </c>
    </row>
    <row r="34" spans="1:23" s="43" customFormat="1" ht="14" hidden="1" x14ac:dyDescent="0.3">
      <c r="A34" s="53" t="e">
        <f>Pb!#REF!</f>
        <v>#REF!</v>
      </c>
      <c r="B34" s="71" t="e">
        <f>Pb!#REF!</f>
        <v>#REF!</v>
      </c>
      <c r="C34" s="71" t="e">
        <f>Pb!#REF!</f>
        <v>#REF!</v>
      </c>
      <c r="D34" s="86"/>
      <c r="E34" s="86"/>
      <c r="F34" s="73" t="e">
        <f t="shared" si="55"/>
        <v>#REF!</v>
      </c>
      <c r="G34" s="54">
        <f t="shared" si="56"/>
        <v>0</v>
      </c>
      <c r="H34" s="71">
        <f t="shared" si="57"/>
        <v>0</v>
      </c>
      <c r="I34" s="56" t="str">
        <f t="shared" si="58"/>
        <v/>
      </c>
      <c r="J34" s="72" t="e">
        <f>Pb!#REF!</f>
        <v>#REF!</v>
      </c>
      <c r="K34" s="54" t="e">
        <f>Pb!#REF!</f>
        <v>#REF!</v>
      </c>
      <c r="L34" s="55"/>
      <c r="M34" s="55"/>
      <c r="N34" s="58" t="e">
        <f t="shared" si="59"/>
        <v>#REF!</v>
      </c>
      <c r="O34" s="54">
        <f t="shared" si="60"/>
        <v>0</v>
      </c>
      <c r="P34" s="54">
        <f t="shared" si="61"/>
        <v>0</v>
      </c>
      <c r="Q34" s="56" t="str">
        <f t="shared" si="62"/>
        <v/>
      </c>
    </row>
    <row r="35" spans="1:23" s="43" customFormat="1" ht="14" hidden="1" x14ac:dyDescent="0.3">
      <c r="A35" s="53" t="e">
        <f>Pb!#REF!</f>
        <v>#REF!</v>
      </c>
      <c r="B35" s="71" t="e">
        <f>Pb!#REF!</f>
        <v>#REF!</v>
      </c>
      <c r="C35" s="71" t="e">
        <f>Pb!#REF!</f>
        <v>#REF!</v>
      </c>
      <c r="D35" s="86"/>
      <c r="E35" s="86"/>
      <c r="F35" s="73" t="e">
        <f t="shared" si="55"/>
        <v>#REF!</v>
      </c>
      <c r="G35" s="54">
        <f t="shared" si="56"/>
        <v>0</v>
      </c>
      <c r="H35" s="71">
        <f t="shared" si="57"/>
        <v>0</v>
      </c>
      <c r="I35" s="56" t="str">
        <f t="shared" si="58"/>
        <v/>
      </c>
      <c r="J35" s="72" t="e">
        <f>Pb!#REF!</f>
        <v>#REF!</v>
      </c>
      <c r="K35" s="54" t="e">
        <f>Pb!#REF!</f>
        <v>#REF!</v>
      </c>
      <c r="L35" s="55"/>
      <c r="M35" s="55"/>
      <c r="N35" s="58" t="e">
        <f t="shared" si="59"/>
        <v>#REF!</v>
      </c>
      <c r="O35" s="54">
        <f t="shared" ref="O35:O42" si="63">IF(L35=0,0,IF(L35&gt;J35,(L35-J35),(J35-L35)))</f>
        <v>0</v>
      </c>
      <c r="P35" s="54">
        <f t="shared" ref="P35:P42" si="64">IF(L35=0,0,IF(K35&gt;L35,(K35-L35),(L35-K35)))</f>
        <v>0</v>
      </c>
      <c r="Q35" s="56" t="str">
        <f t="shared" si="62"/>
        <v/>
      </c>
    </row>
    <row r="36" spans="1:23" s="43" customFormat="1" ht="14" hidden="1" x14ac:dyDescent="0.3">
      <c r="A36" s="53" t="e">
        <f>Pb!#REF!</f>
        <v>#REF!</v>
      </c>
      <c r="B36" s="71" t="e">
        <f>Pb!#REF!</f>
        <v>#REF!</v>
      </c>
      <c r="C36" s="71" t="e">
        <f>Pb!#REF!</f>
        <v>#REF!</v>
      </c>
      <c r="D36" s="86"/>
      <c r="E36" s="86"/>
      <c r="F36" s="73" t="e">
        <f t="shared" si="55"/>
        <v>#REF!</v>
      </c>
      <c r="G36" s="54">
        <f t="shared" si="56"/>
        <v>0</v>
      </c>
      <c r="H36" s="71">
        <f t="shared" si="57"/>
        <v>0</v>
      </c>
      <c r="I36" s="56" t="str">
        <f t="shared" si="58"/>
        <v/>
      </c>
      <c r="J36" s="72" t="e">
        <f>Pb!#REF!</f>
        <v>#REF!</v>
      </c>
      <c r="K36" s="54" t="e">
        <f>Pb!#REF!</f>
        <v>#REF!</v>
      </c>
      <c r="L36" s="60"/>
      <c r="M36" s="60"/>
      <c r="N36" s="58" t="e">
        <f t="shared" si="59"/>
        <v>#REF!</v>
      </c>
      <c r="O36" s="54">
        <f t="shared" si="63"/>
        <v>0</v>
      </c>
      <c r="P36" s="54">
        <f t="shared" si="64"/>
        <v>0</v>
      </c>
      <c r="Q36" s="56" t="str">
        <f t="shared" si="62"/>
        <v/>
      </c>
    </row>
    <row r="37" spans="1:23" s="43" customFormat="1" ht="14" hidden="1" x14ac:dyDescent="0.3">
      <c r="A37" s="53" t="e">
        <f>Pb!#REF!</f>
        <v>#REF!</v>
      </c>
      <c r="B37" s="71" t="e">
        <f>Pb!#REF!</f>
        <v>#REF!</v>
      </c>
      <c r="C37" s="71" t="e">
        <f>Pb!#REF!</f>
        <v>#REF!</v>
      </c>
      <c r="D37" s="86"/>
      <c r="E37" s="86"/>
      <c r="F37" s="73" t="e">
        <f t="shared" si="55"/>
        <v>#REF!</v>
      </c>
      <c r="G37" s="54">
        <f t="shared" si="56"/>
        <v>0</v>
      </c>
      <c r="H37" s="71">
        <f t="shared" si="57"/>
        <v>0</v>
      </c>
      <c r="I37" s="56" t="str">
        <f t="shared" si="58"/>
        <v/>
      </c>
      <c r="J37" s="72" t="e">
        <f>Pb!#REF!</f>
        <v>#REF!</v>
      </c>
      <c r="K37" s="54" t="e">
        <f>Pb!#REF!</f>
        <v>#REF!</v>
      </c>
      <c r="L37" s="60"/>
      <c r="M37" s="60"/>
      <c r="N37" s="58" t="e">
        <f t="shared" si="59"/>
        <v>#REF!</v>
      </c>
      <c r="O37" s="54">
        <f t="shared" si="63"/>
        <v>0</v>
      </c>
      <c r="P37" s="54">
        <f t="shared" si="64"/>
        <v>0</v>
      </c>
      <c r="Q37" s="56" t="str">
        <f t="shared" si="62"/>
        <v/>
      </c>
    </row>
    <row r="38" spans="1:23" s="43" customFormat="1" ht="14" hidden="1" x14ac:dyDescent="0.3">
      <c r="A38" s="53" t="e">
        <f>Pb!#REF!</f>
        <v>#REF!</v>
      </c>
      <c r="B38" s="71" t="e">
        <f>Pb!#REF!</f>
        <v>#REF!</v>
      </c>
      <c r="C38" s="71" t="e">
        <f>Pb!#REF!</f>
        <v>#REF!</v>
      </c>
      <c r="D38" s="86"/>
      <c r="E38" s="86"/>
      <c r="F38" s="73" t="e">
        <f t="shared" si="55"/>
        <v>#REF!</v>
      </c>
      <c r="G38" s="54">
        <f t="shared" si="56"/>
        <v>0</v>
      </c>
      <c r="H38" s="71">
        <f t="shared" si="57"/>
        <v>0</v>
      </c>
      <c r="I38" s="56" t="str">
        <f t="shared" si="58"/>
        <v/>
      </c>
      <c r="J38" s="72" t="e">
        <f>Pb!#REF!</f>
        <v>#REF!</v>
      </c>
      <c r="K38" s="54" t="e">
        <f>Pb!#REF!</f>
        <v>#REF!</v>
      </c>
      <c r="L38" s="60"/>
      <c r="M38" s="60"/>
      <c r="N38" s="58" t="e">
        <f t="shared" si="59"/>
        <v>#REF!</v>
      </c>
      <c r="O38" s="54">
        <f t="shared" si="63"/>
        <v>0</v>
      </c>
      <c r="P38" s="54">
        <f t="shared" si="64"/>
        <v>0</v>
      </c>
      <c r="Q38" s="56" t="str">
        <f t="shared" si="62"/>
        <v/>
      </c>
    </row>
    <row r="39" spans="1:23" s="43" customFormat="1" ht="14" hidden="1" x14ac:dyDescent="0.3">
      <c r="A39" s="53" t="e">
        <f>Pb!#REF!</f>
        <v>#REF!</v>
      </c>
      <c r="B39" s="71" t="e">
        <f>Pb!#REF!</f>
        <v>#REF!</v>
      </c>
      <c r="C39" s="71" t="e">
        <f>Pb!#REF!</f>
        <v>#REF!</v>
      </c>
      <c r="D39" s="86"/>
      <c r="E39" s="86"/>
      <c r="F39" s="73" t="e">
        <f t="shared" si="55"/>
        <v>#REF!</v>
      </c>
      <c r="G39" s="54">
        <f t="shared" si="56"/>
        <v>0</v>
      </c>
      <c r="H39" s="71">
        <f t="shared" si="57"/>
        <v>0</v>
      </c>
      <c r="I39" s="56" t="str">
        <f t="shared" si="58"/>
        <v/>
      </c>
      <c r="J39" s="72" t="e">
        <f>Pb!#REF!</f>
        <v>#REF!</v>
      </c>
      <c r="K39" s="54" t="e">
        <f>Pb!#REF!</f>
        <v>#REF!</v>
      </c>
      <c r="L39" s="60"/>
      <c r="M39" s="60"/>
      <c r="N39" s="58" t="e">
        <f t="shared" si="59"/>
        <v>#REF!</v>
      </c>
      <c r="O39" s="54">
        <f t="shared" si="63"/>
        <v>0</v>
      </c>
      <c r="P39" s="54">
        <f t="shared" si="64"/>
        <v>0</v>
      </c>
      <c r="Q39" s="56" t="str">
        <f t="shared" si="62"/>
        <v/>
      </c>
    </row>
    <row r="40" spans="1:23" s="43" customFormat="1" ht="14" hidden="1" x14ac:dyDescent="0.3">
      <c r="A40" s="53" t="e">
        <f>Pb!#REF!</f>
        <v>#REF!</v>
      </c>
      <c r="B40" s="71" t="e">
        <f>Pb!#REF!</f>
        <v>#REF!</v>
      </c>
      <c r="C40" s="71" t="e">
        <f>Pb!#REF!</f>
        <v>#REF!</v>
      </c>
      <c r="D40" s="86"/>
      <c r="E40" s="86"/>
      <c r="F40" s="73" t="e">
        <f t="shared" si="55"/>
        <v>#REF!</v>
      </c>
      <c r="G40" s="54">
        <f t="shared" si="56"/>
        <v>0</v>
      </c>
      <c r="H40" s="71">
        <f t="shared" si="57"/>
        <v>0</v>
      </c>
      <c r="I40" s="56" t="str">
        <f t="shared" si="58"/>
        <v/>
      </c>
      <c r="J40" s="72" t="e">
        <f>Pb!#REF!</f>
        <v>#REF!</v>
      </c>
      <c r="K40" s="54" t="e">
        <f>Pb!#REF!</f>
        <v>#REF!</v>
      </c>
      <c r="L40" s="60"/>
      <c r="M40" s="60"/>
      <c r="N40" s="58" t="e">
        <f t="shared" si="59"/>
        <v>#REF!</v>
      </c>
      <c r="O40" s="54">
        <f t="shared" si="63"/>
        <v>0</v>
      </c>
      <c r="P40" s="54">
        <f t="shared" si="64"/>
        <v>0</v>
      </c>
      <c r="Q40" s="56" t="str">
        <f t="shared" si="62"/>
        <v/>
      </c>
    </row>
    <row r="41" spans="1:23" s="43" customFormat="1" ht="14" hidden="1" x14ac:dyDescent="0.3">
      <c r="A41" s="53" t="e">
        <f>Pb!#REF!</f>
        <v>#REF!</v>
      </c>
      <c r="B41" s="71" t="e">
        <f>Pb!#REF!</f>
        <v>#REF!</v>
      </c>
      <c r="C41" s="71" t="e">
        <f>Pb!#REF!</f>
        <v>#REF!</v>
      </c>
      <c r="D41" s="86"/>
      <c r="E41" s="86"/>
      <c r="F41" s="73" t="e">
        <f t="shared" si="55"/>
        <v>#REF!</v>
      </c>
      <c r="G41" s="54">
        <f t="shared" si="56"/>
        <v>0</v>
      </c>
      <c r="H41" s="71">
        <f t="shared" si="57"/>
        <v>0</v>
      </c>
      <c r="I41" s="56" t="str">
        <f t="shared" si="58"/>
        <v/>
      </c>
      <c r="J41" s="72" t="e">
        <f>Pb!#REF!</f>
        <v>#REF!</v>
      </c>
      <c r="K41" s="54" t="e">
        <f>Pb!#REF!</f>
        <v>#REF!</v>
      </c>
      <c r="L41" s="60"/>
      <c r="M41" s="60"/>
      <c r="N41" s="58" t="e">
        <f t="shared" si="59"/>
        <v>#REF!</v>
      </c>
      <c r="O41" s="54">
        <f t="shared" si="63"/>
        <v>0</v>
      </c>
      <c r="P41" s="54">
        <f t="shared" si="64"/>
        <v>0</v>
      </c>
      <c r="Q41" s="56" t="str">
        <f t="shared" si="62"/>
        <v/>
      </c>
    </row>
    <row r="42" spans="1:23" s="43" customFormat="1" ht="14" hidden="1" x14ac:dyDescent="0.3">
      <c r="A42" s="53" t="e">
        <f>Pb!#REF!</f>
        <v>#REF!</v>
      </c>
      <c r="B42" s="71" t="e">
        <f>Pb!#REF!</f>
        <v>#REF!</v>
      </c>
      <c r="C42" s="71" t="e">
        <f>Pb!#REF!</f>
        <v>#REF!</v>
      </c>
      <c r="D42" s="86"/>
      <c r="E42" s="86"/>
      <c r="F42" s="73" t="e">
        <f t="shared" si="55"/>
        <v>#REF!</v>
      </c>
      <c r="G42" s="54">
        <f t="shared" si="56"/>
        <v>0</v>
      </c>
      <c r="H42" s="71">
        <f t="shared" si="57"/>
        <v>0</v>
      </c>
      <c r="I42" s="56" t="str">
        <f t="shared" si="58"/>
        <v/>
      </c>
      <c r="J42" s="72" t="e">
        <f>Pb!#REF!</f>
        <v>#REF!</v>
      </c>
      <c r="K42" s="54" t="e">
        <f>Pb!#REF!</f>
        <v>#REF!</v>
      </c>
      <c r="L42" s="60"/>
      <c r="M42" s="60"/>
      <c r="N42" s="58" t="e">
        <f t="shared" si="59"/>
        <v>#REF!</v>
      </c>
      <c r="O42" s="54">
        <f t="shared" si="63"/>
        <v>0</v>
      </c>
      <c r="P42" s="54">
        <f t="shared" si="64"/>
        <v>0</v>
      </c>
      <c r="Q42" s="56" t="str">
        <f t="shared" si="62"/>
        <v/>
      </c>
    </row>
    <row r="43" spans="1:23" s="43" customFormat="1" ht="14" hidden="1" x14ac:dyDescent="0.3">
      <c r="A43" s="53" t="e">
        <f>Pb!#REF!</f>
        <v>#REF!</v>
      </c>
      <c r="B43" s="71" t="e">
        <f>Pb!#REF!</f>
        <v>#REF!</v>
      </c>
      <c r="C43" s="71" t="e">
        <f>Pb!#REF!</f>
        <v>#REF!</v>
      </c>
      <c r="D43" s="86"/>
      <c r="E43" s="86"/>
      <c r="F43" s="73" t="e">
        <f t="shared" ref="F43:F45" si="65">IF(D43=0,AVERAGE(B43,C43),IF(OR(AND(B43&lt;C43,B43&gt;D43),AND(B43&gt;C43,B43&lt;D43)),B43,IF(OR(AND(C43&lt;B43,C43&gt;D43),AND(C43&gt;B43,C43&lt;D43)),C43,D43)))</f>
        <v>#REF!</v>
      </c>
      <c r="G43" s="54">
        <f t="shared" ref="G43:G45" si="66">IF(D43=0,0,IF(D43&gt;B43,(D43-B43),(B43-D43)))</f>
        <v>0</v>
      </c>
      <c r="H43" s="71">
        <f t="shared" ref="H43:H45" si="67">IF(D43=0,0,IF(C43&gt;D43,(C43-D43),(D43-C43)))</f>
        <v>0</v>
      </c>
      <c r="I43" s="56" t="str">
        <f t="shared" ref="I43:I45" si="68">IF(D43=0,"",IF(H43=G43,"50%",IF(H43&gt;G43,"CIEN","MMP")))</f>
        <v/>
      </c>
      <c r="J43" s="72" t="e">
        <f>Pb!#REF!</f>
        <v>#REF!</v>
      </c>
      <c r="K43" s="54" t="e">
        <f>Pb!#REF!</f>
        <v>#REF!</v>
      </c>
      <c r="L43" s="60"/>
      <c r="M43" s="60"/>
      <c r="N43" s="58" t="e">
        <f t="shared" ref="N43:N45" si="69">IF(L43=0,AVERAGE(J43,K43),IF(OR(AND(J43&lt;K43,J43&gt;L43),AND(J43&gt;K43,J43&lt;L43)),J43,IF(OR(AND(K43&lt;J43,K43&gt;L43),AND(K43&gt;J43,K43&lt;L43)),K43,L43)))</f>
        <v>#REF!</v>
      </c>
      <c r="O43" s="54">
        <f t="shared" ref="O43:O45" si="70">IF(L43=0,0,IF(L43&gt;J43,(L43-J43),(J43-L43)))</f>
        <v>0</v>
      </c>
      <c r="P43" s="54">
        <f t="shared" ref="P43:P45" si="71">IF(L43=0,0,IF(K43&gt;L43,(K43-L43),(L43-K43)))</f>
        <v>0</v>
      </c>
      <c r="Q43" s="56" t="str">
        <f t="shared" ref="Q43:Q45" si="72">IF(L43=0,"",IF(P43=O43,"50%",IF(P43&gt;O43,"CIEN","MMP")))</f>
        <v/>
      </c>
    </row>
    <row r="44" spans="1:23" s="43" customFormat="1" ht="14" hidden="1" x14ac:dyDescent="0.3">
      <c r="A44" s="53" t="e">
        <f>Pb!#REF!</f>
        <v>#REF!</v>
      </c>
      <c r="B44" s="71" t="e">
        <f>Pb!#REF!</f>
        <v>#REF!</v>
      </c>
      <c r="C44" s="71" t="e">
        <f>Pb!#REF!</f>
        <v>#REF!</v>
      </c>
      <c r="D44" s="86"/>
      <c r="E44" s="86"/>
      <c r="F44" s="73" t="e">
        <f t="shared" si="65"/>
        <v>#REF!</v>
      </c>
      <c r="G44" s="54">
        <f t="shared" si="66"/>
        <v>0</v>
      </c>
      <c r="H44" s="71">
        <f t="shared" si="67"/>
        <v>0</v>
      </c>
      <c r="I44" s="56" t="str">
        <f t="shared" si="68"/>
        <v/>
      </c>
      <c r="J44" s="72" t="e">
        <f>Pb!#REF!</f>
        <v>#REF!</v>
      </c>
      <c r="K44" s="54" t="e">
        <f>Pb!#REF!</f>
        <v>#REF!</v>
      </c>
      <c r="L44" s="60"/>
      <c r="M44" s="60"/>
      <c r="N44" s="58" t="e">
        <f t="shared" si="69"/>
        <v>#REF!</v>
      </c>
      <c r="O44" s="54">
        <f t="shared" si="70"/>
        <v>0</v>
      </c>
      <c r="P44" s="54">
        <f t="shared" si="71"/>
        <v>0</v>
      </c>
      <c r="Q44" s="56" t="str">
        <f t="shared" si="72"/>
        <v/>
      </c>
    </row>
    <row r="45" spans="1:23" s="43" customFormat="1" ht="14" hidden="1" x14ac:dyDescent="0.3">
      <c r="A45" s="53" t="e">
        <f>Pb!#REF!</f>
        <v>#REF!</v>
      </c>
      <c r="B45" s="71" t="e">
        <f>Pb!#REF!</f>
        <v>#REF!</v>
      </c>
      <c r="C45" s="71" t="e">
        <f>Pb!#REF!</f>
        <v>#REF!</v>
      </c>
      <c r="D45" s="86"/>
      <c r="E45" s="86"/>
      <c r="F45" s="73" t="e">
        <f t="shared" si="65"/>
        <v>#REF!</v>
      </c>
      <c r="G45" s="54">
        <f t="shared" si="66"/>
        <v>0</v>
      </c>
      <c r="H45" s="71">
        <f t="shared" si="67"/>
        <v>0</v>
      </c>
      <c r="I45" s="56" t="str">
        <f t="shared" si="68"/>
        <v/>
      </c>
      <c r="J45" s="72" t="e">
        <f>Pb!#REF!</f>
        <v>#REF!</v>
      </c>
      <c r="K45" s="54" t="e">
        <f>Pb!#REF!</f>
        <v>#REF!</v>
      </c>
      <c r="L45" s="60"/>
      <c r="M45" s="60"/>
      <c r="N45" s="58" t="e">
        <f t="shared" si="69"/>
        <v>#REF!</v>
      </c>
      <c r="O45" s="54">
        <f t="shared" si="70"/>
        <v>0</v>
      </c>
      <c r="P45" s="54">
        <f t="shared" si="71"/>
        <v>0</v>
      </c>
      <c r="Q45" s="56" t="str">
        <f t="shared" si="72"/>
        <v/>
      </c>
    </row>
    <row r="46" spans="1:23" s="43" customFormat="1" ht="14" x14ac:dyDescent="0.3">
      <c r="A46" s="75"/>
      <c r="B46" s="76"/>
      <c r="C46" s="76"/>
      <c r="D46" s="77"/>
      <c r="E46" s="77"/>
      <c r="F46" s="78"/>
      <c r="G46" s="76"/>
      <c r="H46" s="76"/>
      <c r="I46" s="79"/>
      <c r="J46" s="76"/>
      <c r="K46" s="76"/>
      <c r="L46" s="81"/>
      <c r="M46" s="81"/>
      <c r="N46" s="78"/>
      <c r="O46" s="80"/>
      <c r="P46" s="80"/>
      <c r="Q46" s="79"/>
    </row>
    <row r="47" spans="1:23" ht="14" x14ac:dyDescent="0.3">
      <c r="V47" s="43"/>
      <c r="W47" s="43"/>
    </row>
    <row r="48" spans="1:23" ht="14" x14ac:dyDescent="0.3">
      <c r="V48" s="43"/>
      <c r="W48" s="43"/>
    </row>
    <row r="49" spans="22:23" ht="14" x14ac:dyDescent="0.3">
      <c r="V49" s="43"/>
      <c r="W49" s="43"/>
    </row>
    <row r="50" spans="22:23" ht="14" x14ac:dyDescent="0.3">
      <c r="V50" s="43"/>
      <c r="W50" s="43"/>
    </row>
    <row r="57" spans="22:23" x14ac:dyDescent="0.25">
      <c r="W57" s="89"/>
    </row>
    <row r="58" spans="22:23" x14ac:dyDescent="0.25">
      <c r="W58" s="89"/>
    </row>
    <row r="59" spans="22:23" x14ac:dyDescent="0.25">
      <c r="W59" s="89"/>
    </row>
    <row r="60" spans="22:23" x14ac:dyDescent="0.25">
      <c r="W60" s="89"/>
    </row>
    <row r="61" spans="22:23" x14ac:dyDescent="0.25">
      <c r="W61" s="89"/>
    </row>
  </sheetData>
  <mergeCells count="1">
    <mergeCell ref="T7:W7"/>
  </mergeCells>
  <phoneticPr fontId="15" type="noConversion"/>
  <conditionalFormatting sqref="E10:E24 M10:M24 U10:U24 AC10:AC24 AK10:AK24 AS10:AS24 BA10:BA24 BI10:BI24">
    <cfRule type="containsText" dxfId="22" priority="15" operator="containsText" text="P">
      <formula>NOT(ISERROR(SEARCH("P",E10)))</formula>
    </cfRule>
    <cfRule type="containsText" dxfId="21" priority="16" operator="containsText" text="T">
      <formula>NOT(ISERROR(SEARCH("T",E10)))</formula>
    </cfRule>
  </conditionalFormatting>
  <printOptions horizontalCentered="1"/>
  <pageMargins left="0" right="0" top="0.98425196850393704" bottom="0" header="0" footer="0"/>
  <pageSetup paperSize="119" scale="29" orientation="landscape" horizontalDpi="300" verticalDpi="300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7EFDE-07F0-40B6-B63E-89ADCE6C7527}">
  <sheetPr transitionEvaluation="1" transitionEntry="1">
    <pageSetUpPr fitToPage="1"/>
  </sheetPr>
  <dimension ref="A1:J21"/>
  <sheetViews>
    <sheetView showGridLines="0" zoomScale="99" workbookViewId="0">
      <selection activeCell="C21" sqref="C21"/>
    </sheetView>
  </sheetViews>
  <sheetFormatPr baseColWidth="10" defaultRowHeight="12.5" x14ac:dyDescent="0.25"/>
  <cols>
    <col min="1" max="1" width="14.6328125" customWidth="1"/>
    <col min="2" max="2" width="12.6328125" bestFit="1" customWidth="1"/>
    <col min="3" max="3" width="13.08984375" customWidth="1"/>
    <col min="4" max="6" width="9.6328125" customWidth="1"/>
    <col min="7" max="7" width="10.453125" customWidth="1"/>
    <col min="8" max="10" width="9.6328125" customWidth="1"/>
  </cols>
  <sheetData>
    <row r="1" spans="1:10" ht="18" x14ac:dyDescent="0.4">
      <c r="A1" s="235" t="s">
        <v>31</v>
      </c>
      <c r="B1" s="235"/>
      <c r="C1" s="235"/>
      <c r="D1" s="235"/>
      <c r="E1" s="235"/>
      <c r="F1" s="235"/>
      <c r="G1" s="235"/>
      <c r="H1" s="128"/>
      <c r="I1" s="128"/>
      <c r="J1" s="128"/>
    </row>
    <row r="2" spans="1:10" ht="6" customHeight="1" x14ac:dyDescent="0.25"/>
    <row r="3" spans="1:10" ht="15.5" x14ac:dyDescent="0.35">
      <c r="A3" s="236"/>
      <c r="B3" s="236"/>
      <c r="C3" s="236"/>
      <c r="D3" s="236"/>
      <c r="E3" s="236"/>
      <c r="F3" s="236"/>
      <c r="G3" s="236"/>
      <c r="H3" s="129"/>
      <c r="I3" s="129"/>
      <c r="J3" s="129"/>
    </row>
    <row r="4" spans="1:10" ht="6" customHeight="1" x14ac:dyDescent="0.25"/>
    <row r="5" spans="1:10" ht="13" x14ac:dyDescent="0.3">
      <c r="A5" s="237" t="s">
        <v>0</v>
      </c>
      <c r="B5" s="237"/>
      <c r="C5" s="237"/>
      <c r="D5" s="237"/>
      <c r="E5" s="237"/>
      <c r="F5" s="237"/>
      <c r="G5" s="237"/>
      <c r="H5" s="130"/>
      <c r="I5" s="130"/>
      <c r="J5" s="130"/>
    </row>
    <row r="6" spans="1:10" ht="6" customHeight="1" x14ac:dyDescent="0.25"/>
    <row r="7" spans="1:10" ht="18" customHeight="1" x14ac:dyDescent="0.4">
      <c r="A7" s="237" t="s">
        <v>83</v>
      </c>
      <c r="B7" s="237"/>
      <c r="C7" s="237"/>
      <c r="D7" s="237"/>
      <c r="E7" s="237"/>
      <c r="F7" s="237"/>
      <c r="G7" s="237"/>
      <c r="H7" s="130"/>
      <c r="I7" s="130"/>
      <c r="J7" s="130"/>
    </row>
    <row r="8" spans="1:10" ht="14" x14ac:dyDescent="0.3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4" x14ac:dyDescent="0.3">
      <c r="A9" s="2" t="s">
        <v>8</v>
      </c>
      <c r="B9" s="2"/>
      <c r="C9" s="5"/>
      <c r="D9" s="6"/>
      <c r="E9" s="5"/>
      <c r="F9" s="5"/>
      <c r="G9" s="5"/>
      <c r="H9" s="5"/>
      <c r="I9" s="5"/>
      <c r="J9" s="5"/>
    </row>
    <row r="10" spans="1:10" ht="15.5" x14ac:dyDescent="0.35">
      <c r="A10" s="216"/>
      <c r="B10" s="221"/>
      <c r="C10" s="222" t="s">
        <v>2</v>
      </c>
      <c r="D10" s="222" t="s">
        <v>3</v>
      </c>
      <c r="E10" s="222" t="s">
        <v>5</v>
      </c>
      <c r="F10" s="222" t="s">
        <v>23</v>
      </c>
      <c r="G10" s="222" t="s">
        <v>24</v>
      </c>
      <c r="H10" s="222" t="s">
        <v>9</v>
      </c>
      <c r="I10" s="222" t="s">
        <v>33</v>
      </c>
      <c r="J10" s="222" t="s">
        <v>25</v>
      </c>
    </row>
    <row r="11" spans="1:10" ht="14" x14ac:dyDescent="0.3">
      <c r="A11" s="217"/>
      <c r="B11" s="4"/>
      <c r="C11" s="223" t="s">
        <v>6</v>
      </c>
      <c r="D11" s="223" t="s">
        <v>26</v>
      </c>
      <c r="E11" s="130" t="s">
        <v>7</v>
      </c>
      <c r="F11" s="130" t="s">
        <v>7</v>
      </c>
      <c r="G11" s="130" t="s">
        <v>7</v>
      </c>
      <c r="H11" s="130" t="s">
        <v>7</v>
      </c>
      <c r="I11" s="130" t="s">
        <v>7</v>
      </c>
      <c r="J11" s="130" t="s">
        <v>7</v>
      </c>
    </row>
    <row r="12" spans="1:10" ht="14" x14ac:dyDescent="0.3">
      <c r="A12" s="218" t="s">
        <v>71</v>
      </c>
      <c r="B12" s="118" t="s">
        <v>72</v>
      </c>
      <c r="C12" s="5"/>
      <c r="D12" s="224"/>
      <c r="E12" s="5"/>
      <c r="F12" s="5"/>
      <c r="G12" s="5"/>
      <c r="H12" s="5"/>
      <c r="I12" s="5"/>
      <c r="J12" s="5"/>
    </row>
    <row r="13" spans="1:10" ht="14" x14ac:dyDescent="0.3">
      <c r="A13" s="219">
        <f>[1]Zinc!$A9</f>
        <v>0</v>
      </c>
      <c r="B13" s="1">
        <f>[1]Zinc!$B9</f>
        <v>0</v>
      </c>
      <c r="C13" s="227">
        <f>[1]Zinc!C9</f>
        <v>0</v>
      </c>
      <c r="D13" s="227">
        <f>[1]Zinc!F9</f>
        <v>0</v>
      </c>
      <c r="E13" s="227">
        <f>[1]Zinc!I9</f>
        <v>0</v>
      </c>
      <c r="F13" s="227">
        <f>[1]Zinc!L9</f>
        <v>0</v>
      </c>
      <c r="G13" s="227">
        <f>[1]Zinc!R9</f>
        <v>0</v>
      </c>
      <c r="H13" s="227">
        <f>[1]Zinc!O9</f>
        <v>0</v>
      </c>
      <c r="I13" s="227">
        <f>[1]Zinc!U9</f>
        <v>0</v>
      </c>
      <c r="J13" s="227">
        <f>[1]Zinc!X9</f>
        <v>0</v>
      </c>
    </row>
    <row r="14" spans="1:10" ht="14" x14ac:dyDescent="0.3">
      <c r="A14" s="219">
        <f>[1]Zinc!$A10</f>
        <v>0</v>
      </c>
      <c r="B14" s="1">
        <f>[1]Zinc!$B10</f>
        <v>0</v>
      </c>
      <c r="C14" s="227">
        <f>[1]Zinc!C10</f>
        <v>0</v>
      </c>
      <c r="D14" s="227">
        <f>[1]Zinc!F10</f>
        <v>0</v>
      </c>
      <c r="E14" s="227">
        <f>[1]Zinc!I10</f>
        <v>0</v>
      </c>
      <c r="F14" s="227">
        <f>[1]Zinc!L10</f>
        <v>0</v>
      </c>
      <c r="G14" s="227">
        <f>[1]Zinc!R10</f>
        <v>0</v>
      </c>
      <c r="H14" s="227">
        <f>[1]Zinc!O10</f>
        <v>0</v>
      </c>
      <c r="I14" s="227">
        <f>[1]Zinc!U10</f>
        <v>0</v>
      </c>
      <c r="J14" s="227">
        <f>[1]Zinc!X10</f>
        <v>0</v>
      </c>
    </row>
    <row r="15" spans="1:10" ht="14" x14ac:dyDescent="0.3">
      <c r="A15" s="1"/>
      <c r="B15" s="1"/>
      <c r="C15" s="124"/>
      <c r="D15" s="124"/>
      <c r="E15" s="124"/>
      <c r="F15" s="124"/>
      <c r="G15" s="127"/>
      <c r="H15" s="124"/>
      <c r="I15" s="124"/>
      <c r="J15" s="124"/>
    </row>
    <row r="16" spans="1:10" ht="14.25" customHeight="1" x14ac:dyDescent="0.3">
      <c r="A16" s="4"/>
      <c r="B16" s="4"/>
      <c r="C16" s="27"/>
      <c r="D16" s="4"/>
      <c r="E16" s="68"/>
      <c r="F16" s="68"/>
      <c r="G16" s="68"/>
      <c r="H16" s="68"/>
      <c r="I16" s="68"/>
      <c r="J16" s="68"/>
    </row>
    <row r="17" spans="1:10" ht="14.25" customHeight="1" x14ac:dyDescent="0.3">
      <c r="A17" s="4"/>
      <c r="B17" s="4"/>
      <c r="C17" s="27"/>
      <c r="D17" s="4"/>
    </row>
    <row r="18" spans="1:10" ht="14.25" customHeight="1" x14ac:dyDescent="0.3">
      <c r="A18" s="4"/>
      <c r="B18" s="4"/>
      <c r="C18" s="27"/>
      <c r="D18" s="4"/>
    </row>
    <row r="19" spans="1:10" ht="14.25" customHeight="1" x14ac:dyDescent="0.25">
      <c r="B19" s="8"/>
      <c r="C19" s="9"/>
      <c r="D19" s="233" t="s">
        <v>80</v>
      </c>
      <c r="E19" s="233"/>
      <c r="F19" s="233"/>
      <c r="G19" s="233"/>
      <c r="H19" s="9"/>
      <c r="I19" s="9"/>
      <c r="J19" s="9"/>
    </row>
    <row r="20" spans="1:10" ht="14.25" customHeight="1" x14ac:dyDescent="0.25">
      <c r="D20" s="234" t="s">
        <v>76</v>
      </c>
      <c r="E20" s="234"/>
      <c r="F20" s="234"/>
      <c r="G20" s="234"/>
    </row>
    <row r="21" spans="1:10" ht="14.25" customHeight="1" x14ac:dyDescent="0.25"/>
  </sheetData>
  <mergeCells count="6">
    <mergeCell ref="D20:G20"/>
    <mergeCell ref="A1:G1"/>
    <mergeCell ref="A3:G3"/>
    <mergeCell ref="A5:G5"/>
    <mergeCell ref="A7:G7"/>
    <mergeCell ref="D19:G19"/>
  </mergeCells>
  <conditionalFormatting sqref="C13:C14">
    <cfRule type="cellIs" dxfId="20" priority="8" operator="lessThan">
      <formula>$C$16</formula>
    </cfRule>
  </conditionalFormatting>
  <printOptions horizontalCentered="1" verticalCentered="1"/>
  <pageMargins left="0.39370078740157483" right="0.39370078740157483" top="0.39370078740157483" bottom="0.39370078740157483" header="0" footer="0"/>
  <pageSetup paperSize="119" scale="96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5DCEE-BC94-4577-8206-48AFA4DE4C1E}">
  <sheetPr transitionEvaluation="1" transitionEntry="1"/>
  <dimension ref="A1:AY25"/>
  <sheetViews>
    <sheetView showGridLines="0" zoomScale="90" zoomScaleNormal="90" zoomScaleSheetLayoutView="100" workbookViewId="0">
      <pane xSplit="3" ySplit="3" topLeftCell="D4" activePane="bottomRight" state="frozen"/>
      <selection activeCell="D14" sqref="D14"/>
      <selection pane="topRight" activeCell="D14" sqref="D14"/>
      <selection pane="bottomLeft" activeCell="D14" sqref="D14"/>
      <selection pane="bottomRight" activeCell="G37" sqref="G37"/>
    </sheetView>
  </sheetViews>
  <sheetFormatPr baseColWidth="10" defaultColWidth="11.453125" defaultRowHeight="12.5" x14ac:dyDescent="0.25"/>
  <cols>
    <col min="1" max="1" width="0.90625" style="7" customWidth="1"/>
    <col min="2" max="2" width="13.08984375" style="7" customWidth="1"/>
    <col min="3" max="3" width="0.90625" style="7" customWidth="1"/>
    <col min="4" max="4" width="9.90625" style="7" bestFit="1" customWidth="1"/>
    <col min="5" max="5" width="10.36328125" style="7" bestFit="1" customWidth="1"/>
    <col min="6" max="6" width="10.54296875" style="7" customWidth="1"/>
    <col min="7" max="7" width="7.6328125" style="7" customWidth="1"/>
    <col min="8" max="8" width="5.6328125" style="7" customWidth="1"/>
    <col min="9" max="9" width="11" style="7" customWidth="1"/>
    <col min="10" max="10" width="16.08984375" style="7" bestFit="1" customWidth="1"/>
    <col min="11" max="11" width="10.6328125" style="7" customWidth="1"/>
    <col min="12" max="13" width="9" style="7" customWidth="1"/>
    <col min="14" max="14" width="5.6328125" style="7" customWidth="1"/>
    <col min="15" max="15" width="8.6328125" style="7" bestFit="1" customWidth="1"/>
    <col min="16" max="16" width="8.6328125" style="7" customWidth="1"/>
    <col min="17" max="17" width="7.6328125" style="7" customWidth="1"/>
    <col min="18" max="18" width="6.6328125" style="7" customWidth="1"/>
    <col min="19" max="19" width="7.6328125" style="7" customWidth="1"/>
    <col min="20" max="20" width="9" style="7" customWidth="1"/>
    <col min="21" max="21" width="7.6328125" style="7" customWidth="1"/>
    <col min="22" max="22" width="8.6328125" style="7" customWidth="1"/>
    <col min="23" max="23" width="7.6328125" style="7" customWidth="1"/>
    <col min="24" max="24" width="6.6328125" style="7" customWidth="1"/>
    <col min="25" max="25" width="7.6328125" style="7" customWidth="1"/>
    <col min="26" max="26" width="8.453125" style="7" customWidth="1"/>
    <col min="27" max="27" width="7.6328125" style="7" customWidth="1"/>
    <col min="28" max="28" width="11.453125" style="7"/>
    <col min="29" max="29" width="8.6328125" style="7" customWidth="1"/>
    <col min="30" max="30" width="8.6328125" style="7" bestFit="1" customWidth="1"/>
    <col min="31" max="31" width="8.90625" style="7" bestFit="1" customWidth="1"/>
    <col min="32" max="32" width="7.6328125" style="7" customWidth="1"/>
    <col min="33" max="33" width="10.08984375" style="7" customWidth="1"/>
    <col min="34" max="16384" width="11.453125" style="7"/>
  </cols>
  <sheetData>
    <row r="1" spans="1:51" ht="15.9" customHeight="1" x14ac:dyDescent="0.25">
      <c r="A1" s="14" t="str">
        <f>'Ens. Zinc'!A1:G1</f>
        <v>MINERA MEXICANA LA CIENEGA, S.A. DE C.V.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</row>
    <row r="2" spans="1:51" ht="15.5" x14ac:dyDescent="0.25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  <row r="3" spans="1:51" ht="14" x14ac:dyDescent="0.25">
      <c r="A3" s="13" t="str">
        <f>'Ens. Zinc'!$A$7:$G$7</f>
        <v>Lotes cerrados en  2025.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</row>
    <row r="4" spans="1:51" s="87" customFormat="1" ht="15.9" customHeight="1" x14ac:dyDescent="0.35">
      <c r="A4" s="14" t="s">
        <v>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</row>
    <row r="5" spans="1:51" ht="13" thickBot="1" x14ac:dyDescent="0.3"/>
    <row r="6" spans="1:51" ht="13" x14ac:dyDescent="0.25">
      <c r="A6" s="249" t="s">
        <v>20</v>
      </c>
      <c r="B6" s="250"/>
      <c r="C6" s="251"/>
      <c r="D6" s="255" t="s">
        <v>11</v>
      </c>
      <c r="E6" s="247"/>
      <c r="F6" s="247"/>
      <c r="G6" s="247"/>
      <c r="H6" s="247"/>
      <c r="I6" s="248"/>
      <c r="J6" s="246" t="s">
        <v>32</v>
      </c>
      <c r="K6" s="247"/>
      <c r="L6" s="247"/>
      <c r="M6" s="247"/>
      <c r="N6" s="247"/>
      <c r="O6" s="248"/>
      <c r="P6" s="246" t="s">
        <v>13</v>
      </c>
      <c r="Q6" s="247"/>
      <c r="R6" s="247"/>
      <c r="S6" s="247"/>
      <c r="T6" s="247"/>
      <c r="U6" s="248"/>
      <c r="V6" s="255" t="s">
        <v>28</v>
      </c>
      <c r="W6" s="247"/>
      <c r="X6" s="247"/>
      <c r="Y6" s="247"/>
      <c r="Z6" s="247"/>
      <c r="AA6" s="248"/>
      <c r="AB6" s="246" t="s">
        <v>64</v>
      </c>
      <c r="AC6" s="247"/>
      <c r="AD6" s="247"/>
      <c r="AE6" s="247"/>
      <c r="AF6" s="247"/>
      <c r="AG6" s="248"/>
      <c r="AH6" s="246" t="s">
        <v>77</v>
      </c>
      <c r="AI6" s="247"/>
      <c r="AJ6" s="247"/>
      <c r="AK6" s="247"/>
      <c r="AL6" s="247"/>
      <c r="AM6" s="248"/>
      <c r="AN6" s="246" t="s">
        <v>63</v>
      </c>
      <c r="AO6" s="247"/>
      <c r="AP6" s="247"/>
      <c r="AQ6" s="247"/>
      <c r="AR6" s="247"/>
      <c r="AS6" s="248"/>
      <c r="AT6" s="246" t="s">
        <v>29</v>
      </c>
      <c r="AU6" s="247"/>
      <c r="AV6" s="247"/>
      <c r="AW6" s="247"/>
      <c r="AX6" s="247"/>
      <c r="AY6" s="248"/>
    </row>
    <row r="7" spans="1:51" ht="13" x14ac:dyDescent="0.25">
      <c r="A7" s="252"/>
      <c r="B7" s="253"/>
      <c r="C7" s="254"/>
      <c r="D7" s="180" t="s">
        <v>10</v>
      </c>
      <c r="E7" s="180" t="s">
        <v>35</v>
      </c>
      <c r="F7" s="180" t="s">
        <v>19</v>
      </c>
      <c r="G7" s="180" t="s">
        <v>14</v>
      </c>
      <c r="H7" s="180" t="s">
        <v>15</v>
      </c>
      <c r="I7" s="181" t="s">
        <v>16</v>
      </c>
      <c r="J7" s="182" t="s">
        <v>10</v>
      </c>
      <c r="K7" s="180" t="s">
        <v>35</v>
      </c>
      <c r="L7" s="180" t="s">
        <v>19</v>
      </c>
      <c r="M7" s="180" t="s">
        <v>14</v>
      </c>
      <c r="N7" s="180" t="s">
        <v>15</v>
      </c>
      <c r="O7" s="181" t="s">
        <v>16</v>
      </c>
      <c r="P7" s="182" t="s">
        <v>10</v>
      </c>
      <c r="Q7" s="180" t="s">
        <v>35</v>
      </c>
      <c r="R7" s="180" t="s">
        <v>19</v>
      </c>
      <c r="S7" s="180" t="s">
        <v>14</v>
      </c>
      <c r="T7" s="180" t="s">
        <v>15</v>
      </c>
      <c r="U7" s="181" t="s">
        <v>16</v>
      </c>
      <c r="V7" s="180" t="s">
        <v>10</v>
      </c>
      <c r="W7" s="180" t="s">
        <v>35</v>
      </c>
      <c r="X7" s="180" t="s">
        <v>19</v>
      </c>
      <c r="Y7" s="180" t="s">
        <v>14</v>
      </c>
      <c r="Z7" s="180" t="s">
        <v>15</v>
      </c>
      <c r="AA7" s="181" t="s">
        <v>16</v>
      </c>
      <c r="AB7" s="182" t="s">
        <v>10</v>
      </c>
      <c r="AC7" s="180" t="s">
        <v>35</v>
      </c>
      <c r="AD7" s="180" t="s">
        <v>19</v>
      </c>
      <c r="AE7" s="180" t="s">
        <v>14</v>
      </c>
      <c r="AF7" s="180" t="s">
        <v>15</v>
      </c>
      <c r="AG7" s="181" t="s">
        <v>16</v>
      </c>
      <c r="AH7" s="182" t="s">
        <v>10</v>
      </c>
      <c r="AI7" s="180" t="s">
        <v>35</v>
      </c>
      <c r="AJ7" s="180" t="s">
        <v>19</v>
      </c>
      <c r="AK7" s="180" t="s">
        <v>14</v>
      </c>
      <c r="AL7" s="180" t="s">
        <v>15</v>
      </c>
      <c r="AM7" s="181" t="s">
        <v>16</v>
      </c>
      <c r="AN7" s="182" t="s">
        <v>10</v>
      </c>
      <c r="AO7" s="180" t="s">
        <v>35</v>
      </c>
      <c r="AP7" s="180" t="s">
        <v>19</v>
      </c>
      <c r="AQ7" s="180" t="s">
        <v>14</v>
      </c>
      <c r="AR7" s="180" t="s">
        <v>15</v>
      </c>
      <c r="AS7" s="181" t="s">
        <v>16</v>
      </c>
      <c r="AT7" s="182" t="s">
        <v>10</v>
      </c>
      <c r="AU7" s="180" t="s">
        <v>35</v>
      </c>
      <c r="AV7" s="180" t="s">
        <v>19</v>
      </c>
      <c r="AW7" s="180" t="s">
        <v>14</v>
      </c>
      <c r="AX7" s="180" t="s">
        <v>15</v>
      </c>
      <c r="AY7" s="181" t="s">
        <v>16</v>
      </c>
    </row>
    <row r="8" spans="1:51" x14ac:dyDescent="0.25">
      <c r="A8" s="112"/>
      <c r="B8" s="18">
        <f>'Ens. Zinc'!B13</f>
        <v>0</v>
      </c>
      <c r="C8" s="19"/>
      <c r="D8" s="126"/>
      <c r="E8" s="12">
        <f>'Ens. Zinc'!C13</f>
        <v>0</v>
      </c>
      <c r="F8" s="12">
        <f t="shared" ref="F8:F10" si="0">ROUND(ABS(D8-E8),2)</f>
        <v>0</v>
      </c>
      <c r="G8" s="12">
        <f>IF(E8&lt;=10,0.3,IF(E8&gt;10,0.4))</f>
        <v>0.3</v>
      </c>
      <c r="H8" s="92" t="str">
        <f t="shared" ref="H8:H10" si="1">IF(F8&lt;=G8,"P","T")</f>
        <v>P</v>
      </c>
      <c r="I8" s="109" t="str">
        <f t="shared" ref="I8:I10" si="2">IF(ISBLANK(D8)," ",IF(F8&lt;=G8,AVERAGE(D8:E8),0))</f>
        <v xml:space="preserve"> </v>
      </c>
      <c r="J8" s="187"/>
      <c r="K8" s="17">
        <f>'Ens. Zinc'!D13</f>
        <v>0</v>
      </c>
      <c r="L8" s="17">
        <f t="shared" ref="L8:L10" si="3">ROUND(ABS(J8-K8),3)</f>
        <v>0</v>
      </c>
      <c r="M8" s="17">
        <f t="shared" ref="M8:M10" si="4">IF(K8&gt;=0.08,0.015,0)</f>
        <v>0</v>
      </c>
      <c r="N8" s="92" t="str">
        <f t="shared" ref="N8:N10" si="5">IF(L8&lt;=M8,"P","T")</f>
        <v>P</v>
      </c>
      <c r="O8" s="109" t="str">
        <f t="shared" ref="O8:O10" si="6">IF(ISBLANK(J8)," ",IF(L8&lt;=M8,AVERAGE(J8:K8),0))</f>
        <v xml:space="preserve"> </v>
      </c>
      <c r="P8" s="185"/>
      <c r="Q8" s="12">
        <f>'Ens. Zinc'!E13</f>
        <v>0</v>
      </c>
      <c r="R8" s="12">
        <f t="shared" ref="R8:R10" si="7">ROUND(ABS(P8-Q8),2)</f>
        <v>0</v>
      </c>
      <c r="S8" s="91">
        <f t="shared" ref="S8:S10" si="8">IF(Q8&gt;=40,0.5,0)</f>
        <v>0</v>
      </c>
      <c r="T8" s="92" t="str">
        <f t="shared" ref="T8:T10" si="9">IF(R8&lt;=S8,"P","T")</f>
        <v>P</v>
      </c>
      <c r="U8" s="117" t="str">
        <f>IF(ISBLANK(P8)," ",IF(R8&gt;=S8,AVERAGE(P8:Q8),0))</f>
        <v xml:space="preserve"> </v>
      </c>
      <c r="V8" s="108"/>
      <c r="W8" s="88">
        <f>'Ens. Zinc'!F13</f>
        <v>0</v>
      </c>
      <c r="X8" s="91">
        <f>ROUND(ABS(V8-W8),2)</f>
        <v>0</v>
      </c>
      <c r="Y8" s="91">
        <f>IF(W8&lt;=1,0.03,0)</f>
        <v>0.03</v>
      </c>
      <c r="Z8" s="92" t="str">
        <f t="shared" ref="Z8:Z10" si="10">IF(X8&lt;=Y8,"P","T")</f>
        <v>P</v>
      </c>
      <c r="AA8" s="117" t="str">
        <f>IF(ISBLANK(V8)," ",IF(X8&lt;=Y8,AVERAGE(V8:W8),0))</f>
        <v xml:space="preserve"> </v>
      </c>
      <c r="AB8" s="111"/>
      <c r="AC8" s="88">
        <f>'Ens. Zinc'!G13</f>
        <v>0</v>
      </c>
      <c r="AD8" s="91">
        <f>ROUND(ABS(AB8-AC8),2)</f>
        <v>0</v>
      </c>
      <c r="AE8" s="183">
        <f>IF(AC8&lt;=1,0.02,0)</f>
        <v>0.02</v>
      </c>
      <c r="AF8" s="92" t="str">
        <f t="shared" ref="AF8:AF10" si="11">IF(AD8&lt;=AE8,"P","T")</f>
        <v>P</v>
      </c>
      <c r="AG8" s="117" t="str">
        <f>IF(ISBLANK(AB8)," ",IF(AD8&lt;=AE8,AVERAGE(AB8:AC8),0))</f>
        <v xml:space="preserve"> </v>
      </c>
      <c r="AH8" s="110"/>
      <c r="AI8" s="88">
        <f>'Ens. Zinc'!H13</f>
        <v>0</v>
      </c>
      <c r="AJ8" s="91">
        <f>ROUND(ABS(AH8-AI8),2)</f>
        <v>0</v>
      </c>
      <c r="AK8" s="183">
        <f t="shared" ref="AK8:AK10" si="12">IF(AI8&lt;=10,0.3,0)</f>
        <v>0.3</v>
      </c>
      <c r="AL8" s="92" t="str">
        <f>IF(AJ8&lt;=AK8,"P","T")</f>
        <v>P</v>
      </c>
      <c r="AM8" s="117" t="str">
        <f>IF(ISBLANK(AH8)," ",IF(AL8="P",AVERAGE(AH8,AI8),0))</f>
        <v xml:space="preserve"> </v>
      </c>
      <c r="AN8" s="111"/>
      <c r="AO8" s="88">
        <v>0</v>
      </c>
      <c r="AP8" s="88">
        <f t="shared" ref="AP8:AP10" si="13">ROUND(ABS(AN8-AO8),2)</f>
        <v>0</v>
      </c>
      <c r="AQ8" s="183">
        <v>0.02</v>
      </c>
      <c r="AR8" s="92" t="str">
        <f t="shared" ref="AR8:AR10" si="14">IF(AP8&lt;=AQ8,"P","T")</f>
        <v>P</v>
      </c>
      <c r="AS8" s="117" t="str">
        <f>IF(ISBLANK(AN8)," ",IF(AR8="P",AVERAGE(AN8,AO8),0))</f>
        <v xml:space="preserve"> </v>
      </c>
      <c r="AT8" s="110"/>
      <c r="AU8" s="91">
        <f>'Ens. Zinc'!J13</f>
        <v>0</v>
      </c>
      <c r="AV8" s="91">
        <f>ROUND(ABS(AT8-AU8),2)</f>
        <v>0</v>
      </c>
      <c r="AW8" s="88">
        <f t="shared" ref="AW8:AW10" si="15">IF(AU8&gt;=5,0.3,0)</f>
        <v>0</v>
      </c>
      <c r="AX8" s="92" t="str">
        <f t="shared" ref="AX8:AX10" si="16">IF(AV8&lt;=AW8,"P","T")</f>
        <v>P</v>
      </c>
      <c r="AY8" s="117" t="str">
        <f>IF(ISBLANK(AT8)," ",IF(AX8="P",AVERAGE(AT8,AU8),0))</f>
        <v xml:space="preserve"> </v>
      </c>
    </row>
    <row r="9" spans="1:51" x14ac:dyDescent="0.25">
      <c r="A9" s="112"/>
      <c r="B9" s="18">
        <f>'Ens. Zinc'!B14</f>
        <v>0</v>
      </c>
      <c r="C9" s="19"/>
      <c r="D9" s="126"/>
      <c r="E9" s="12">
        <f>'Ens. Zinc'!C14</f>
        <v>0</v>
      </c>
      <c r="F9" s="12">
        <f>ROUND(ABS(D9-E9),2)</f>
        <v>0</v>
      </c>
      <c r="G9" s="12">
        <f>IF(E9&lt;=10,0.3,IF(E9&gt;10,0.4))</f>
        <v>0.3</v>
      </c>
      <c r="H9" s="92" t="str">
        <f t="shared" si="1"/>
        <v>P</v>
      </c>
      <c r="I9" s="109" t="str">
        <f t="shared" si="2"/>
        <v xml:space="preserve"> </v>
      </c>
      <c r="J9" s="187"/>
      <c r="K9" s="17">
        <f>'Ens. Zinc'!D14</f>
        <v>0</v>
      </c>
      <c r="L9" s="17">
        <f t="shared" si="3"/>
        <v>0</v>
      </c>
      <c r="M9" s="17">
        <f t="shared" si="4"/>
        <v>0</v>
      </c>
      <c r="N9" s="92" t="str">
        <f t="shared" si="5"/>
        <v>P</v>
      </c>
      <c r="O9" s="109" t="str">
        <f t="shared" si="6"/>
        <v xml:space="preserve"> </v>
      </c>
      <c r="P9" s="185"/>
      <c r="Q9" s="12">
        <f>'Ens. Zinc'!E14</f>
        <v>0</v>
      </c>
      <c r="R9" s="12">
        <f t="shared" si="7"/>
        <v>0</v>
      </c>
      <c r="S9" s="91">
        <f t="shared" si="8"/>
        <v>0</v>
      </c>
      <c r="T9" s="92" t="str">
        <f t="shared" si="9"/>
        <v>P</v>
      </c>
      <c r="U9" s="117" t="str">
        <f t="shared" ref="U9:U10" si="17">IF(ISBLANK(P9)," ",IF(R9&lt;=S9,AVERAGE(P9:Q9),0))</f>
        <v xml:space="preserve"> </v>
      </c>
      <c r="V9" s="108"/>
      <c r="W9" s="88">
        <f>'Ens. Zinc'!F14</f>
        <v>0</v>
      </c>
      <c r="X9" s="91">
        <f>ROUND(ABS(V9-W9),2)</f>
        <v>0</v>
      </c>
      <c r="Y9" s="91">
        <f>IF(W9&lt;=1,0.03,0)</f>
        <v>0.03</v>
      </c>
      <c r="Z9" s="92" t="str">
        <f t="shared" si="10"/>
        <v>P</v>
      </c>
      <c r="AA9" s="117" t="str">
        <f>IF(ISBLANK(V9)," ",IF(X9&lt;=Y9,AVERAGE(V9:W9),0))</f>
        <v xml:space="preserve"> </v>
      </c>
      <c r="AB9" s="111"/>
      <c r="AC9" s="88">
        <f>'Ens. Zinc'!G14</f>
        <v>0</v>
      </c>
      <c r="AD9" s="91">
        <f>ROUND(ABS(AB9-AC9),2)</f>
        <v>0</v>
      </c>
      <c r="AE9" s="91">
        <f>IF(AC9&lt;=1,0.02,0)</f>
        <v>0.02</v>
      </c>
      <c r="AF9" s="92" t="str">
        <f t="shared" si="11"/>
        <v>P</v>
      </c>
      <c r="AG9" s="117" t="str">
        <f>IF(ISBLANK(AB9)," ",IF(AD9&lt;=AE9,AVERAGE(AB9:AC9),0))</f>
        <v xml:space="preserve"> </v>
      </c>
      <c r="AH9" s="110"/>
      <c r="AI9" s="88">
        <f>'Ens. Zinc'!H14</f>
        <v>0</v>
      </c>
      <c r="AJ9" s="91">
        <f>ROUND(ABS(AH9-AI9),2)</f>
        <v>0</v>
      </c>
      <c r="AK9" s="91">
        <f t="shared" si="12"/>
        <v>0.3</v>
      </c>
      <c r="AL9" s="92" t="str">
        <f>IF(AJ9&lt;=AK9,"P","T")</f>
        <v>P</v>
      </c>
      <c r="AM9" s="117" t="str">
        <f>IF(ISBLANK(AH9)," ",IF(AL9="P",AVERAGE(AH9,AI9),0))</f>
        <v xml:space="preserve"> </v>
      </c>
      <c r="AN9" s="111"/>
      <c r="AO9" s="88">
        <f>'Ens. Zinc'!I14</f>
        <v>0</v>
      </c>
      <c r="AP9" s="88">
        <f t="shared" si="13"/>
        <v>0</v>
      </c>
      <c r="AQ9" s="91">
        <v>0.02</v>
      </c>
      <c r="AR9" s="92" t="str">
        <f t="shared" si="14"/>
        <v>P</v>
      </c>
      <c r="AS9" s="117" t="str">
        <f>IF(ISBLANK(AN9)," ",IF(AR9="P",AVERAGE(AN9,AO9),0))</f>
        <v xml:space="preserve"> </v>
      </c>
      <c r="AT9" s="110"/>
      <c r="AU9" s="91">
        <f>'Ens. Zinc'!J14</f>
        <v>0</v>
      </c>
      <c r="AV9" s="91">
        <f>ROUND(ABS(AT9-AU9),2)</f>
        <v>0</v>
      </c>
      <c r="AW9" s="88">
        <f t="shared" si="15"/>
        <v>0</v>
      </c>
      <c r="AX9" s="92" t="str">
        <f t="shared" si="16"/>
        <v>P</v>
      </c>
      <c r="AY9" s="117" t="str">
        <f>IF(ISBLANK(AT9)," ",IF(AX9="P",AVERAGE(AT9,AU9),0))</f>
        <v xml:space="preserve"> </v>
      </c>
    </row>
    <row r="10" spans="1:51" x14ac:dyDescent="0.25">
      <c r="A10" s="112"/>
      <c r="B10" s="18" t="e">
        <f>'Ens. Zinc'!#REF!</f>
        <v>#REF!</v>
      </c>
      <c r="C10" s="19"/>
      <c r="D10" s="126"/>
      <c r="E10" s="12" t="e">
        <f>'Ens. Zinc'!#REF!</f>
        <v>#REF!</v>
      </c>
      <c r="F10" s="12" t="e">
        <f t="shared" si="0"/>
        <v>#REF!</v>
      </c>
      <c r="G10" s="12" t="e">
        <f>IF(E10&lt;=10,0.3,IF(E10&gt;10,0.4))</f>
        <v>#REF!</v>
      </c>
      <c r="H10" s="92" t="e">
        <f t="shared" si="1"/>
        <v>#REF!</v>
      </c>
      <c r="I10" s="109" t="str">
        <f t="shared" si="2"/>
        <v xml:space="preserve"> </v>
      </c>
      <c r="J10" s="187"/>
      <c r="K10" s="17" t="e">
        <f>'Ens. Zinc'!#REF!</f>
        <v>#REF!</v>
      </c>
      <c r="L10" s="17" t="e">
        <f t="shared" si="3"/>
        <v>#REF!</v>
      </c>
      <c r="M10" s="17" t="e">
        <f t="shared" si="4"/>
        <v>#REF!</v>
      </c>
      <c r="N10" s="92" t="e">
        <f t="shared" si="5"/>
        <v>#REF!</v>
      </c>
      <c r="O10" s="109" t="str">
        <f t="shared" si="6"/>
        <v xml:space="preserve"> </v>
      </c>
      <c r="P10" s="185"/>
      <c r="Q10" s="12" t="e">
        <f>'Ens. Zinc'!#REF!</f>
        <v>#REF!</v>
      </c>
      <c r="R10" s="12" t="e">
        <f t="shared" si="7"/>
        <v>#REF!</v>
      </c>
      <c r="S10" s="91" t="e">
        <f t="shared" si="8"/>
        <v>#REF!</v>
      </c>
      <c r="T10" s="92" t="e">
        <f t="shared" si="9"/>
        <v>#REF!</v>
      </c>
      <c r="U10" s="117" t="str">
        <f t="shared" si="17"/>
        <v xml:space="preserve"> </v>
      </c>
      <c r="V10" s="108"/>
      <c r="W10" s="88" t="e">
        <f>'Ens. Zinc'!#REF!</f>
        <v>#REF!</v>
      </c>
      <c r="X10" s="91" t="e">
        <f>ROUND(ABS(V10-W10),2)</f>
        <v>#REF!</v>
      </c>
      <c r="Y10" s="91" t="e">
        <f>IF(W10&lt;=1,0.03,0)</f>
        <v>#REF!</v>
      </c>
      <c r="Z10" s="92" t="e">
        <f t="shared" si="10"/>
        <v>#REF!</v>
      </c>
      <c r="AA10" s="117" t="str">
        <f>IF(ISBLANK(V10)," ",IF(X10&lt;=Y10,AVERAGE(V10:W10),0))</f>
        <v xml:space="preserve"> </v>
      </c>
      <c r="AB10" s="111"/>
      <c r="AC10" s="88" t="e">
        <f>'Ens. Zinc'!#REF!</f>
        <v>#REF!</v>
      </c>
      <c r="AD10" s="91" t="e">
        <f>ROUND(ABS(AB10-AC10),2)</f>
        <v>#REF!</v>
      </c>
      <c r="AE10" s="91" t="e">
        <f>IF(AC10&lt;=1,0.03,0)</f>
        <v>#REF!</v>
      </c>
      <c r="AF10" s="92" t="e">
        <f t="shared" si="11"/>
        <v>#REF!</v>
      </c>
      <c r="AG10" s="117" t="str">
        <f>IF(ISBLANK(AB10)," ",IF(AD10&lt;=AE10,AVERAGE(AB10:AC10),0))</f>
        <v xml:space="preserve"> </v>
      </c>
      <c r="AH10" s="110"/>
      <c r="AI10" s="88" t="e">
        <f>'Ens. Zinc'!#REF!</f>
        <v>#REF!</v>
      </c>
      <c r="AJ10" s="91" t="e">
        <f>ROUND(ABS(AH10-AI10),2)</f>
        <v>#REF!</v>
      </c>
      <c r="AK10" s="91" t="e">
        <f t="shared" si="12"/>
        <v>#REF!</v>
      </c>
      <c r="AL10" s="215" t="e">
        <f>IF(AJ10&lt;&gt;AK10,"P","T")</f>
        <v>#REF!</v>
      </c>
      <c r="AM10" s="117" t="str">
        <f>IF(ISBLANK(AH10)," ",IF(AL10="P",AVERAGE(AH10,AI10),0))</f>
        <v xml:space="preserve"> </v>
      </c>
      <c r="AN10" s="111"/>
      <c r="AO10" s="88" t="e">
        <f>'Ens. Zinc'!#REF!</f>
        <v>#REF!</v>
      </c>
      <c r="AP10" s="88" t="e">
        <f t="shared" si="13"/>
        <v>#REF!</v>
      </c>
      <c r="AQ10" s="91">
        <v>0.02</v>
      </c>
      <c r="AR10" s="92" t="e">
        <f t="shared" si="14"/>
        <v>#REF!</v>
      </c>
      <c r="AS10" s="117" t="str">
        <f>IF(ISBLANK(AN10)," ",IF(AR10="P",AVERAGE(AN10,AO10),0))</f>
        <v xml:space="preserve"> </v>
      </c>
      <c r="AT10" s="110"/>
      <c r="AU10" s="91" t="e">
        <f>'Ens. Zinc'!#REF!</f>
        <v>#REF!</v>
      </c>
      <c r="AV10" s="91" t="e">
        <f>ROUND(ABS(AT10-AU10),2)</f>
        <v>#REF!</v>
      </c>
      <c r="AW10" s="88" t="e">
        <f t="shared" si="15"/>
        <v>#REF!</v>
      </c>
      <c r="AX10" s="92" t="e">
        <f t="shared" si="16"/>
        <v>#REF!</v>
      </c>
      <c r="AY10" s="117" t="str">
        <f>IF(ISBLANK(AT10)," ",IF(AX10="P",AVERAGE(AT10,AU10),0))</f>
        <v xml:space="preserve"> </v>
      </c>
    </row>
    <row r="11" spans="1:51" x14ac:dyDescent="0.25">
      <c r="A11" s="112"/>
      <c r="B11" s="18"/>
      <c r="C11" s="19"/>
      <c r="D11" s="126"/>
      <c r="E11" s="12"/>
      <c r="F11" s="12"/>
      <c r="G11" s="12"/>
      <c r="H11" s="92"/>
      <c r="I11" s="109"/>
      <c r="J11" s="187"/>
      <c r="K11" s="17"/>
      <c r="L11" s="17"/>
      <c r="M11" s="17"/>
      <c r="N11" s="92"/>
      <c r="O11" s="109"/>
      <c r="P11" s="185"/>
      <c r="Q11" s="12"/>
      <c r="R11" s="12"/>
      <c r="S11" s="91"/>
      <c r="T11" s="92"/>
      <c r="U11" s="117"/>
      <c r="V11" s="108"/>
      <c r="W11" s="91"/>
      <c r="X11" s="91"/>
      <c r="Y11" s="91"/>
      <c r="Z11" s="92"/>
      <c r="AA11" s="117"/>
      <c r="AB11" s="111"/>
      <c r="AC11" s="88"/>
      <c r="AD11" s="91"/>
      <c r="AE11" s="91"/>
      <c r="AF11" s="92"/>
      <c r="AG11" s="117"/>
      <c r="AH11" s="110"/>
      <c r="AI11" s="88"/>
      <c r="AJ11" s="91"/>
      <c r="AK11" s="91"/>
      <c r="AL11" s="92"/>
      <c r="AM11" s="117"/>
      <c r="AN11" s="111"/>
      <c r="AO11" s="88"/>
      <c r="AP11" s="88"/>
      <c r="AQ11" s="91"/>
      <c r="AR11" s="92"/>
      <c r="AS11" s="117"/>
      <c r="AT11" s="110"/>
      <c r="AU11" s="91"/>
      <c r="AV11" s="91"/>
      <c r="AW11" s="88"/>
      <c r="AX11" s="92"/>
      <c r="AY11" s="117"/>
    </row>
    <row r="12" spans="1:51" x14ac:dyDescent="0.25">
      <c r="A12" s="112"/>
      <c r="B12" s="18"/>
      <c r="C12" s="19"/>
      <c r="D12" s="126"/>
      <c r="E12" s="12"/>
      <c r="F12" s="12"/>
      <c r="G12" s="12"/>
      <c r="H12" s="92"/>
      <c r="I12" s="109"/>
      <c r="J12" s="187"/>
      <c r="K12" s="17"/>
      <c r="L12" s="17"/>
      <c r="M12" s="17"/>
      <c r="N12" s="92"/>
      <c r="O12" s="109"/>
      <c r="P12" s="185"/>
      <c r="Q12" s="12"/>
      <c r="R12" s="12"/>
      <c r="S12" s="91"/>
      <c r="T12" s="92"/>
      <c r="U12" s="117"/>
      <c r="V12" s="108"/>
      <c r="W12" s="91"/>
      <c r="X12" s="91"/>
      <c r="Y12" s="91"/>
      <c r="Z12" s="92"/>
      <c r="AA12" s="117"/>
      <c r="AB12" s="111"/>
      <c r="AC12" s="88"/>
      <c r="AD12" s="91"/>
      <c r="AE12" s="91"/>
      <c r="AF12" s="92"/>
      <c r="AG12" s="117"/>
      <c r="AH12" s="110"/>
      <c r="AI12" s="88"/>
      <c r="AJ12" s="91"/>
      <c r="AK12" s="91"/>
      <c r="AL12" s="92"/>
      <c r="AM12" s="117"/>
      <c r="AN12" s="111"/>
      <c r="AO12" s="88"/>
      <c r="AP12" s="88"/>
      <c r="AQ12" s="91"/>
      <c r="AR12" s="92"/>
      <c r="AS12" s="117"/>
      <c r="AT12" s="110"/>
      <c r="AU12" s="91"/>
      <c r="AV12" s="91"/>
      <c r="AW12" s="88"/>
      <c r="AX12" s="92"/>
      <c r="AY12" s="117"/>
    </row>
    <row r="13" spans="1:51" x14ac:dyDescent="0.25">
      <c r="A13" s="112"/>
      <c r="B13" s="18"/>
      <c r="C13" s="19"/>
      <c r="D13" s="126"/>
      <c r="E13" s="12"/>
      <c r="F13" s="12"/>
      <c r="G13" s="12"/>
      <c r="H13" s="92"/>
      <c r="I13" s="109"/>
      <c r="J13" s="187"/>
      <c r="K13" s="17"/>
      <c r="L13" s="17"/>
      <c r="M13" s="17"/>
      <c r="N13" s="92"/>
      <c r="O13" s="109"/>
      <c r="P13" s="186"/>
      <c r="Q13" s="12"/>
      <c r="R13" s="12"/>
      <c r="S13" s="91"/>
      <c r="T13" s="92"/>
      <c r="U13" s="117"/>
      <c r="V13" s="108"/>
      <c r="W13" s="91"/>
      <c r="X13" s="91"/>
      <c r="Y13" s="91"/>
      <c r="Z13" s="92"/>
      <c r="AA13" s="117"/>
      <c r="AB13" s="111"/>
      <c r="AC13" s="88"/>
      <c r="AD13" s="91"/>
      <c r="AE13" s="91"/>
      <c r="AF13" s="92"/>
      <c r="AG13" s="117"/>
      <c r="AH13" s="110"/>
      <c r="AI13" s="88"/>
      <c r="AJ13" s="91"/>
      <c r="AK13" s="91"/>
      <c r="AL13" s="92"/>
      <c r="AM13" s="117"/>
      <c r="AN13" s="111"/>
      <c r="AO13" s="88"/>
      <c r="AP13" s="88"/>
      <c r="AQ13" s="91"/>
      <c r="AR13" s="92"/>
      <c r="AS13" s="117"/>
      <c r="AT13" s="111"/>
      <c r="AU13" s="91"/>
      <c r="AV13" s="91"/>
      <c r="AW13" s="88"/>
      <c r="AX13" s="92"/>
      <c r="AY13" s="117"/>
    </row>
    <row r="14" spans="1:51" x14ac:dyDescent="0.25">
      <c r="B14" s="18"/>
      <c r="C14" s="19"/>
      <c r="D14" s="126"/>
      <c r="E14" s="12"/>
      <c r="F14" s="12"/>
      <c r="G14" s="12"/>
      <c r="H14" s="92"/>
      <c r="I14" s="109"/>
      <c r="J14" s="187"/>
      <c r="K14" s="17"/>
      <c r="L14" s="17"/>
      <c r="M14" s="17"/>
      <c r="N14" s="92"/>
      <c r="O14" s="109"/>
      <c r="P14" s="186"/>
      <c r="Q14" s="12"/>
      <c r="R14" s="12"/>
      <c r="S14" s="91"/>
      <c r="T14" s="92"/>
      <c r="U14" s="117"/>
      <c r="V14" s="108"/>
      <c r="W14" s="91"/>
      <c r="X14" s="91"/>
      <c r="Y14" s="91"/>
      <c r="Z14" s="92"/>
      <c r="AA14" s="117"/>
      <c r="AB14" s="111"/>
      <c r="AC14" s="88"/>
      <c r="AD14" s="91"/>
      <c r="AE14" s="91"/>
      <c r="AF14" s="92"/>
      <c r="AG14" s="117"/>
      <c r="AH14" s="110"/>
      <c r="AI14" s="88"/>
      <c r="AJ14" s="91"/>
      <c r="AK14" s="91"/>
      <c r="AL14" s="92"/>
      <c r="AM14" s="117"/>
      <c r="AN14" s="111"/>
      <c r="AO14" s="88"/>
      <c r="AP14" s="88"/>
      <c r="AQ14" s="91"/>
      <c r="AR14" s="92"/>
      <c r="AS14" s="117"/>
      <c r="AT14" s="111"/>
      <c r="AU14" s="91"/>
      <c r="AV14" s="91"/>
      <c r="AW14" s="88"/>
      <c r="AX14" s="92"/>
      <c r="AY14" s="117"/>
    </row>
    <row r="15" spans="1:51" x14ac:dyDescent="0.25">
      <c r="B15" s="18"/>
      <c r="C15" s="19"/>
      <c r="D15" s="126"/>
      <c r="E15" s="12"/>
      <c r="F15" s="12"/>
      <c r="G15" s="12"/>
      <c r="H15" s="92"/>
      <c r="I15" s="109"/>
      <c r="J15" s="187"/>
      <c r="K15" s="17"/>
      <c r="L15" s="17"/>
      <c r="M15" s="17"/>
      <c r="N15" s="92"/>
      <c r="O15" s="109"/>
      <c r="P15" s="186"/>
      <c r="Q15" s="12"/>
      <c r="R15" s="12"/>
      <c r="S15" s="91"/>
      <c r="T15" s="92"/>
      <c r="U15" s="117"/>
      <c r="V15" s="108"/>
      <c r="W15" s="91"/>
      <c r="X15" s="91"/>
      <c r="Y15" s="91"/>
      <c r="Z15" s="92"/>
      <c r="AA15" s="117"/>
      <c r="AB15" s="111"/>
      <c r="AC15" s="88"/>
      <c r="AD15" s="91"/>
      <c r="AE15" s="91"/>
      <c r="AF15" s="92"/>
      <c r="AG15" s="117"/>
      <c r="AH15" s="110"/>
      <c r="AI15" s="88"/>
      <c r="AJ15" s="91"/>
      <c r="AK15" s="91"/>
      <c r="AL15" s="92"/>
      <c r="AM15" s="117"/>
      <c r="AN15" s="111"/>
      <c r="AO15" s="88"/>
      <c r="AP15" s="88"/>
      <c r="AQ15" s="91"/>
      <c r="AR15" s="92"/>
      <c r="AS15" s="117"/>
      <c r="AT15" s="111"/>
      <c r="AU15" s="91"/>
      <c r="AV15" s="91"/>
      <c r="AW15" s="88"/>
      <c r="AX15" s="92"/>
      <c r="AY15" s="117"/>
    </row>
    <row r="16" spans="1:51" x14ac:dyDescent="0.25">
      <c r="B16" s="18"/>
      <c r="C16" s="19"/>
      <c r="D16" s="126"/>
      <c r="E16" s="12"/>
      <c r="F16" s="12"/>
      <c r="G16" s="12"/>
      <c r="H16" s="92"/>
      <c r="I16" s="109"/>
      <c r="J16" s="187"/>
      <c r="K16" s="17"/>
      <c r="L16" s="17"/>
      <c r="M16" s="17"/>
      <c r="N16" s="92"/>
      <c r="O16" s="109"/>
      <c r="P16" s="186"/>
      <c r="Q16" s="12"/>
      <c r="R16" s="12"/>
      <c r="S16" s="91"/>
      <c r="T16" s="92"/>
      <c r="U16" s="117"/>
      <c r="V16" s="108"/>
      <c r="W16" s="91"/>
      <c r="X16" s="91"/>
      <c r="Y16" s="91"/>
      <c r="Z16" s="92"/>
      <c r="AA16" s="117"/>
      <c r="AB16" s="111"/>
      <c r="AC16" s="88"/>
      <c r="AD16" s="91"/>
      <c r="AE16" s="91"/>
      <c r="AF16" s="92"/>
      <c r="AG16" s="117"/>
      <c r="AH16" s="110"/>
      <c r="AI16" s="88"/>
      <c r="AJ16" s="91"/>
      <c r="AK16" s="91"/>
      <c r="AL16" s="92"/>
      <c r="AM16" s="117"/>
      <c r="AN16" s="111"/>
      <c r="AO16" s="88"/>
      <c r="AP16" s="88"/>
      <c r="AQ16" s="91"/>
      <c r="AR16" s="92"/>
      <c r="AS16" s="117"/>
      <c r="AT16" s="111"/>
      <c r="AU16" s="91"/>
      <c r="AV16" s="91"/>
      <c r="AW16" s="88"/>
      <c r="AX16" s="92"/>
      <c r="AY16" s="117"/>
    </row>
    <row r="17" spans="2:51" x14ac:dyDescent="0.25">
      <c r="B17" s="18"/>
      <c r="C17" s="19"/>
      <c r="D17" s="126"/>
      <c r="E17" s="12"/>
      <c r="F17" s="12"/>
      <c r="G17" s="12"/>
      <c r="H17" s="92"/>
      <c r="I17" s="109"/>
      <c r="J17" s="187"/>
      <c r="K17" s="17"/>
      <c r="L17" s="17"/>
      <c r="M17" s="17"/>
      <c r="N17" s="92"/>
      <c r="O17" s="109"/>
      <c r="P17" s="186"/>
      <c r="Q17" s="12"/>
      <c r="R17" s="12"/>
      <c r="S17" s="91"/>
      <c r="T17" s="92"/>
      <c r="U17" s="117"/>
      <c r="V17" s="108"/>
      <c r="W17" s="91"/>
      <c r="X17" s="91"/>
      <c r="Y17" s="91"/>
      <c r="Z17" s="92"/>
      <c r="AA17" s="117"/>
      <c r="AB17" s="111"/>
      <c r="AC17" s="88"/>
      <c r="AD17" s="91"/>
      <c r="AE17" s="91"/>
      <c r="AF17" s="92"/>
      <c r="AG17" s="117"/>
      <c r="AH17" s="110"/>
      <c r="AI17" s="88"/>
      <c r="AJ17" s="91"/>
      <c r="AK17" s="91"/>
      <c r="AL17" s="92"/>
      <c r="AM17" s="117"/>
      <c r="AN17" s="111"/>
      <c r="AO17" s="88"/>
      <c r="AP17" s="88"/>
      <c r="AQ17" s="91"/>
      <c r="AR17" s="92"/>
      <c r="AS17" s="117"/>
      <c r="AT17" s="111"/>
      <c r="AU17" s="91"/>
      <c r="AV17" s="91"/>
      <c r="AW17" s="88"/>
      <c r="AX17" s="92"/>
      <c r="AY17" s="117"/>
    </row>
    <row r="18" spans="2:51" x14ac:dyDescent="0.25">
      <c r="B18" s="18"/>
      <c r="C18" s="19"/>
      <c r="D18" s="126"/>
      <c r="E18" s="12"/>
      <c r="F18" s="12"/>
      <c r="G18" s="12"/>
      <c r="H18" s="92"/>
      <c r="I18" s="109"/>
      <c r="J18" s="187"/>
      <c r="K18" s="17"/>
      <c r="L18" s="17"/>
      <c r="M18" s="17"/>
      <c r="N18" s="92"/>
      <c r="O18" s="109"/>
      <c r="P18" s="186"/>
      <c r="Q18" s="12"/>
      <c r="R18" s="12"/>
      <c r="S18" s="91"/>
      <c r="T18" s="92"/>
      <c r="U18" s="117"/>
      <c r="V18" s="108"/>
      <c r="W18" s="91"/>
      <c r="X18" s="91"/>
      <c r="Y18" s="91"/>
      <c r="Z18" s="92"/>
      <c r="AA18" s="117"/>
      <c r="AB18" s="111"/>
      <c r="AC18" s="88"/>
      <c r="AD18" s="91"/>
      <c r="AE18" s="91"/>
      <c r="AF18" s="92"/>
      <c r="AG18" s="117"/>
      <c r="AH18" s="110"/>
      <c r="AI18" s="88"/>
      <c r="AJ18" s="91"/>
      <c r="AK18" s="91"/>
      <c r="AL18" s="92"/>
      <c r="AM18" s="117"/>
      <c r="AN18" s="111"/>
      <c r="AO18" s="88"/>
      <c r="AP18" s="88"/>
      <c r="AQ18" s="91"/>
      <c r="AR18" s="92"/>
      <c r="AS18" s="117"/>
      <c r="AT18" s="111"/>
      <c r="AU18" s="91"/>
      <c r="AV18" s="91"/>
      <c r="AW18" s="88"/>
      <c r="AX18" s="92"/>
      <c r="AY18" s="117"/>
    </row>
    <row r="19" spans="2:51" x14ac:dyDescent="0.25">
      <c r="B19" s="18"/>
      <c r="C19" s="19"/>
      <c r="D19" s="126"/>
      <c r="E19" s="12"/>
      <c r="F19" s="12"/>
      <c r="G19" s="12"/>
      <c r="H19" s="92"/>
      <c r="I19" s="109"/>
      <c r="J19" s="187"/>
      <c r="K19" s="17"/>
      <c r="L19" s="17"/>
      <c r="M19" s="17"/>
      <c r="N19" s="92"/>
      <c r="O19" s="109"/>
      <c r="P19" s="186"/>
      <c r="Q19" s="12"/>
      <c r="R19" s="12"/>
      <c r="S19" s="91"/>
      <c r="T19" s="92"/>
      <c r="U19" s="117"/>
      <c r="V19" s="108"/>
      <c r="W19" s="91"/>
      <c r="X19" s="91"/>
      <c r="Y19" s="91"/>
      <c r="Z19" s="92"/>
      <c r="AA19" s="117"/>
      <c r="AB19" s="111"/>
      <c r="AC19" s="88"/>
      <c r="AD19" s="91"/>
      <c r="AE19" s="91"/>
      <c r="AF19" s="92"/>
      <c r="AG19" s="117"/>
      <c r="AH19" s="110"/>
      <c r="AI19" s="88"/>
      <c r="AJ19" s="91"/>
      <c r="AK19" s="91"/>
      <c r="AL19" s="92"/>
      <c r="AM19" s="117"/>
      <c r="AN19" s="111"/>
      <c r="AO19" s="88"/>
      <c r="AP19" s="88"/>
      <c r="AQ19" s="91"/>
      <c r="AR19" s="92"/>
      <c r="AS19" s="117"/>
      <c r="AT19" s="111"/>
      <c r="AU19" s="91"/>
      <c r="AV19" s="91"/>
      <c r="AW19" s="88"/>
      <c r="AX19" s="92"/>
      <c r="AY19" s="117"/>
    </row>
    <row r="20" spans="2:51" x14ac:dyDescent="0.25">
      <c r="B20" s="18"/>
      <c r="C20" s="19"/>
      <c r="D20" s="126"/>
      <c r="E20" s="12"/>
      <c r="F20" s="12"/>
      <c r="G20" s="12"/>
      <c r="H20" s="92"/>
      <c r="I20" s="109"/>
      <c r="J20" s="187"/>
      <c r="K20" s="17"/>
      <c r="L20" s="17"/>
      <c r="M20" s="17"/>
      <c r="N20" s="92"/>
      <c r="O20" s="109"/>
      <c r="P20" s="186"/>
      <c r="Q20" s="12"/>
      <c r="R20" s="12"/>
      <c r="S20" s="91"/>
      <c r="T20" s="92"/>
      <c r="U20" s="117"/>
      <c r="V20" s="108"/>
      <c r="W20" s="91"/>
      <c r="X20" s="91"/>
      <c r="Y20" s="91"/>
      <c r="Z20" s="92"/>
      <c r="AA20" s="117"/>
      <c r="AB20" s="111"/>
      <c r="AC20" s="88"/>
      <c r="AD20" s="91"/>
      <c r="AE20" s="91"/>
      <c r="AF20" s="92"/>
      <c r="AG20" s="117"/>
      <c r="AH20" s="110"/>
      <c r="AI20" s="88"/>
      <c r="AJ20" s="91"/>
      <c r="AK20" s="91"/>
      <c r="AL20" s="92"/>
      <c r="AM20" s="117"/>
      <c r="AN20" s="111"/>
      <c r="AO20" s="88"/>
      <c r="AP20" s="88"/>
      <c r="AQ20" s="91"/>
      <c r="AR20" s="92"/>
      <c r="AS20" s="117"/>
      <c r="AT20" s="111"/>
      <c r="AU20" s="91"/>
      <c r="AV20" s="91"/>
      <c r="AW20" s="88"/>
      <c r="AX20" s="92"/>
      <c r="AY20" s="117"/>
    </row>
    <row r="21" spans="2:51" x14ac:dyDescent="0.25">
      <c r="B21" s="18"/>
      <c r="C21" s="19"/>
      <c r="D21" s="126"/>
      <c r="E21" s="12"/>
      <c r="F21" s="12"/>
      <c r="G21" s="12"/>
      <c r="H21" s="92"/>
      <c r="I21" s="109"/>
      <c r="J21" s="187"/>
      <c r="K21" s="17"/>
      <c r="L21" s="17"/>
      <c r="M21" s="17"/>
      <c r="N21" s="92"/>
      <c r="O21" s="109"/>
      <c r="P21" s="186"/>
      <c r="Q21" s="12"/>
      <c r="R21" s="12"/>
      <c r="S21" s="91"/>
      <c r="T21" s="92"/>
      <c r="U21" s="117"/>
      <c r="V21" s="108"/>
      <c r="W21" s="91"/>
      <c r="X21" s="91"/>
      <c r="Y21" s="91"/>
      <c r="Z21" s="92"/>
      <c r="AA21" s="117"/>
      <c r="AB21" s="111"/>
      <c r="AC21" s="88"/>
      <c r="AD21" s="91"/>
      <c r="AE21" s="91"/>
      <c r="AF21" s="92"/>
      <c r="AG21" s="117"/>
      <c r="AH21" s="110"/>
      <c r="AI21" s="88"/>
      <c r="AJ21" s="91"/>
      <c r="AK21" s="91"/>
      <c r="AL21" s="92"/>
      <c r="AM21" s="117"/>
      <c r="AN21" s="111"/>
      <c r="AO21" s="88"/>
      <c r="AP21" s="88"/>
      <c r="AQ21" s="91"/>
      <c r="AR21" s="92"/>
      <c r="AS21" s="117"/>
      <c r="AT21" s="111"/>
      <c r="AU21" s="91"/>
      <c r="AV21" s="91"/>
      <c r="AW21" s="88"/>
      <c r="AX21" s="92"/>
      <c r="AY21" s="117"/>
    </row>
    <row r="22" spans="2:51" x14ac:dyDescent="0.25">
      <c r="B22" s="18"/>
      <c r="C22" s="19"/>
      <c r="D22" s="126"/>
      <c r="E22" s="12"/>
      <c r="F22" s="12"/>
      <c r="G22" s="12"/>
      <c r="H22" s="92"/>
      <c r="I22" s="109"/>
      <c r="J22" s="187"/>
      <c r="K22" s="17"/>
      <c r="L22" s="17"/>
      <c r="M22" s="17"/>
      <c r="N22" s="92"/>
      <c r="O22" s="109"/>
      <c r="P22" s="186"/>
      <c r="Q22" s="12"/>
      <c r="R22" s="12"/>
      <c r="S22" s="91"/>
      <c r="T22" s="92"/>
      <c r="U22" s="117"/>
      <c r="V22" s="108"/>
      <c r="W22" s="91"/>
      <c r="X22" s="91"/>
      <c r="Y22" s="91"/>
      <c r="Z22" s="92"/>
      <c r="AA22" s="117"/>
      <c r="AB22" s="111"/>
      <c r="AC22" s="88"/>
      <c r="AD22" s="91"/>
      <c r="AE22" s="91"/>
      <c r="AF22" s="92"/>
      <c r="AG22" s="117"/>
      <c r="AH22" s="110"/>
      <c r="AI22" s="88"/>
      <c r="AJ22" s="91"/>
      <c r="AK22" s="91"/>
      <c r="AL22" s="92"/>
      <c r="AM22" s="117"/>
      <c r="AN22" s="111"/>
      <c r="AO22" s="88"/>
      <c r="AP22" s="88"/>
      <c r="AQ22" s="91"/>
      <c r="AR22" s="92"/>
      <c r="AS22" s="117"/>
      <c r="AT22" s="111"/>
      <c r="AU22" s="91"/>
      <c r="AV22" s="91"/>
      <c r="AW22" s="88"/>
      <c r="AX22" s="92"/>
      <c r="AY22" s="117"/>
    </row>
    <row r="23" spans="2:51" x14ac:dyDescent="0.25">
      <c r="B23" s="18"/>
      <c r="C23" s="19"/>
      <c r="D23" s="126"/>
      <c r="E23" s="12"/>
      <c r="F23" s="12"/>
      <c r="G23" s="12"/>
      <c r="H23" s="92"/>
      <c r="I23" s="109"/>
      <c r="J23" s="187"/>
      <c r="K23" s="17"/>
      <c r="L23" s="17"/>
      <c r="M23" s="17"/>
      <c r="N23" s="92"/>
      <c r="O23" s="109"/>
      <c r="P23" s="186"/>
      <c r="Q23" s="12"/>
      <c r="R23" s="12"/>
      <c r="S23" s="91"/>
      <c r="T23" s="92"/>
      <c r="U23" s="117"/>
      <c r="V23" s="108"/>
      <c r="W23" s="91"/>
      <c r="X23" s="91"/>
      <c r="Y23" s="91"/>
      <c r="Z23" s="92"/>
      <c r="AA23" s="117"/>
      <c r="AB23" s="111"/>
      <c r="AC23" s="88"/>
      <c r="AD23" s="91"/>
      <c r="AE23" s="91"/>
      <c r="AF23" s="92"/>
      <c r="AG23" s="117"/>
      <c r="AH23" s="110"/>
      <c r="AI23" s="88"/>
      <c r="AJ23" s="91"/>
      <c r="AK23" s="91"/>
      <c r="AL23" s="92"/>
      <c r="AM23" s="117"/>
      <c r="AN23" s="111"/>
      <c r="AO23" s="88"/>
      <c r="AP23" s="88"/>
      <c r="AQ23" s="91"/>
      <c r="AR23" s="92"/>
      <c r="AS23" s="117"/>
      <c r="AT23" s="111"/>
      <c r="AU23" s="91"/>
      <c r="AV23" s="91"/>
      <c r="AW23" s="88"/>
      <c r="AX23" s="92"/>
      <c r="AY23" s="117"/>
    </row>
    <row r="24" spans="2:51" x14ac:dyDescent="0.25">
      <c r="B24" s="18"/>
      <c r="C24" s="19"/>
      <c r="D24" s="126"/>
      <c r="E24" s="12"/>
      <c r="F24" s="12"/>
      <c r="G24" s="12"/>
      <c r="H24" s="92"/>
      <c r="I24" s="109"/>
      <c r="J24" s="187"/>
      <c r="K24" s="17"/>
      <c r="L24" s="17"/>
      <c r="M24" s="17"/>
      <c r="N24" s="92"/>
      <c r="O24" s="109"/>
      <c r="P24" s="186"/>
      <c r="Q24" s="12"/>
      <c r="R24" s="12"/>
      <c r="S24" s="91"/>
      <c r="T24" s="92"/>
      <c r="U24" s="117"/>
      <c r="V24" s="108"/>
      <c r="W24" s="91"/>
      <c r="X24" s="91"/>
      <c r="Y24" s="91"/>
      <c r="Z24" s="92"/>
      <c r="AA24" s="117"/>
      <c r="AB24" s="111"/>
      <c r="AC24" s="88"/>
      <c r="AD24" s="91"/>
      <c r="AE24" s="91"/>
      <c r="AF24" s="92"/>
      <c r="AG24" s="117"/>
      <c r="AH24" s="110"/>
      <c r="AI24" s="88"/>
      <c r="AJ24" s="91"/>
      <c r="AK24" s="91"/>
      <c r="AL24" s="92"/>
      <c r="AM24" s="117"/>
      <c r="AN24" s="111"/>
      <c r="AO24" s="88"/>
      <c r="AP24" s="88"/>
      <c r="AQ24" s="91"/>
      <c r="AR24" s="92"/>
      <c r="AS24" s="117"/>
      <c r="AT24" s="111"/>
      <c r="AU24" s="91"/>
      <c r="AV24" s="91"/>
      <c r="AW24" s="88"/>
      <c r="AX24" s="92"/>
      <c r="AY24" s="117"/>
    </row>
    <row r="25" spans="2:51" x14ac:dyDescent="0.25">
      <c r="B25" s="18"/>
      <c r="C25" s="19"/>
      <c r="D25" s="126"/>
      <c r="E25" s="12"/>
      <c r="F25" s="12"/>
      <c r="G25" s="12"/>
      <c r="H25" s="92"/>
      <c r="I25" s="109"/>
      <c r="J25" s="187"/>
      <c r="K25" s="17"/>
      <c r="L25" s="17"/>
      <c r="M25" s="17"/>
      <c r="N25" s="92"/>
      <c r="O25" s="109"/>
      <c r="P25" s="186"/>
      <c r="Q25" s="12"/>
      <c r="R25" s="12"/>
      <c r="S25" s="91"/>
      <c r="T25" s="92"/>
      <c r="U25" s="117"/>
      <c r="V25" s="108"/>
      <c r="W25" s="91"/>
      <c r="X25" s="91"/>
      <c r="Y25" s="91"/>
      <c r="Z25" s="92"/>
      <c r="AA25" s="117"/>
      <c r="AB25" s="111"/>
      <c r="AC25" s="88"/>
      <c r="AD25" s="91"/>
      <c r="AE25" s="91"/>
      <c r="AF25" s="92"/>
      <c r="AG25" s="117"/>
      <c r="AH25" s="110"/>
      <c r="AI25" s="88"/>
      <c r="AJ25" s="91"/>
      <c r="AK25" s="91"/>
      <c r="AL25" s="92"/>
      <c r="AM25" s="117"/>
      <c r="AN25" s="111"/>
      <c r="AO25" s="88"/>
      <c r="AP25" s="88"/>
      <c r="AQ25" s="91"/>
      <c r="AR25" s="92"/>
      <c r="AS25" s="117"/>
      <c r="AT25" s="111"/>
      <c r="AU25" s="91"/>
      <c r="AV25" s="91"/>
      <c r="AW25" s="88"/>
      <c r="AX25" s="92"/>
      <c r="AY25" s="117"/>
    </row>
  </sheetData>
  <mergeCells count="9">
    <mergeCell ref="AB6:AG6"/>
    <mergeCell ref="AH6:AM6"/>
    <mergeCell ref="AN6:AS6"/>
    <mergeCell ref="AT6:AY6"/>
    <mergeCell ref="A6:C7"/>
    <mergeCell ref="D6:I6"/>
    <mergeCell ref="J6:O6"/>
    <mergeCell ref="P6:U6"/>
    <mergeCell ref="V6:AA6"/>
  </mergeCells>
  <conditionalFormatting sqref="H8:H25 N8:N25 Z8:Z25 AF8:AF25 AX8:AX25">
    <cfRule type="containsText" dxfId="19" priority="4" operator="containsText" text="P">
      <formula>NOT(ISERROR(SEARCH("P",H8)))</formula>
    </cfRule>
    <cfRule type="containsText" dxfId="18" priority="5" operator="containsText" text="T">
      <formula>NOT(ISERROR(SEARCH("T",H8)))</formula>
    </cfRule>
  </conditionalFormatting>
  <conditionalFormatting sqref="AL8:AL25 AR8:AR25">
    <cfRule type="containsText" dxfId="17" priority="1" operator="containsText" text="P">
      <formula>NOT(ISERROR(SEARCH("P",AL8)))</formula>
    </cfRule>
    <cfRule type="containsText" dxfId="16" priority="3" operator="containsText" text="T">
      <formula>NOT(ISERROR(SEARCH("T",AL8)))</formula>
    </cfRule>
  </conditionalFormatting>
  <printOptions horizontalCentered="1" verticalCentered="1"/>
  <pageMargins left="0.73685039370078742" right="0.19685039370078741" top="0.19685039370078741" bottom="0.19685039370078741" header="0" footer="0"/>
  <pageSetup paperSize="9" scale="76" orientation="landscape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0DCE3-D7DC-425A-854F-26B6DC806C5E}">
  <sheetPr>
    <pageSetUpPr fitToPage="1"/>
  </sheetPr>
  <dimension ref="A1:BS49"/>
  <sheetViews>
    <sheetView showGridLines="0" showZeros="0" zoomScale="79" workbookViewId="0">
      <pane xSplit="1" ySplit="6" topLeftCell="B9" activePane="bottomRight" state="frozen"/>
      <selection activeCell="H82" sqref="H82:N94"/>
      <selection pane="topRight" activeCell="H82" sqref="H82:N94"/>
      <selection pane="bottomLeft" activeCell="H82" sqref="H82:N94"/>
      <selection pane="bottomRight" activeCell="C33" sqref="C33"/>
    </sheetView>
  </sheetViews>
  <sheetFormatPr baseColWidth="10" defaultColWidth="11.453125" defaultRowHeight="12.5" x14ac:dyDescent="0.25"/>
  <cols>
    <col min="1" max="1" width="17.36328125" customWidth="1"/>
    <col min="2" max="2" width="13.54296875" customWidth="1"/>
    <col min="3" max="3" width="13" bestFit="1" customWidth="1"/>
    <col min="4" max="4" width="14.90625" bestFit="1" customWidth="1"/>
    <col min="5" max="5" width="4.6328125" customWidth="1"/>
    <col min="6" max="6" width="10.6328125" customWidth="1"/>
    <col min="7" max="8" width="10.453125" customWidth="1"/>
    <col min="9" max="9" width="7.6328125" customWidth="1"/>
    <col min="10" max="11" width="10.36328125" customWidth="1"/>
    <col min="12" max="12" width="10.90625" customWidth="1"/>
    <col min="13" max="13" width="4.6328125" customWidth="1"/>
    <col min="14" max="14" width="10.6328125" customWidth="1"/>
    <col min="15" max="15" width="8.6328125" customWidth="1"/>
    <col min="16" max="16" width="10.36328125" customWidth="1"/>
    <col min="17" max="17" width="7.36328125" customWidth="1"/>
    <col min="18" max="20" width="8.36328125" customWidth="1"/>
    <col min="21" max="21" width="4.6328125" customWidth="1"/>
    <col min="22" max="22" width="10.6328125" customWidth="1"/>
    <col min="23" max="23" width="7.6328125" customWidth="1"/>
    <col min="24" max="24" width="8.36328125" customWidth="1"/>
    <col min="25" max="25" width="7.36328125" customWidth="1"/>
    <col min="26" max="27" width="8.36328125" customWidth="1"/>
    <col min="28" max="28" width="8.90625" customWidth="1"/>
    <col min="29" max="29" width="4.6328125" customWidth="1"/>
    <col min="30" max="30" width="10.6328125" customWidth="1"/>
    <col min="31" max="33" width="7.6328125" customWidth="1"/>
    <col min="34" max="35" width="8.36328125" customWidth="1"/>
    <col min="36" max="36" width="7.6328125" customWidth="1"/>
    <col min="37" max="37" width="4.6328125" customWidth="1"/>
    <col min="38" max="38" width="10.6328125" customWidth="1"/>
    <col min="39" max="41" width="7.6328125" customWidth="1"/>
    <col min="42" max="43" width="10.54296875" customWidth="1"/>
    <col min="44" max="44" width="7.6328125" customWidth="1"/>
    <col min="45" max="45" width="4.6328125" customWidth="1"/>
    <col min="46" max="46" width="10.6328125" customWidth="1"/>
    <col min="47" max="49" width="7.6328125" customWidth="1"/>
    <col min="53" max="53" width="4.6328125" customWidth="1"/>
    <col min="54" max="54" width="10.6328125" customWidth="1"/>
    <col min="61" max="61" width="4.6328125" customWidth="1"/>
    <col min="62" max="62" width="10.6328125" customWidth="1"/>
  </cols>
  <sheetData>
    <row r="1" spans="1:71" ht="20" x14ac:dyDescent="0.25">
      <c r="A1" s="28" t="s">
        <v>58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</row>
    <row r="2" spans="1:71" ht="18" x14ac:dyDescent="0.25">
      <c r="A2" s="14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</row>
    <row r="3" spans="1:71" ht="15.5" x14ac:dyDescent="0.25">
      <c r="A3" s="15" t="s">
        <v>38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</row>
    <row r="4" spans="1:71" ht="3.75" customHeight="1" x14ac:dyDescent="0.2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</row>
    <row r="5" spans="1:71" ht="3.75" customHeight="1" x14ac:dyDescent="0.2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</row>
    <row r="6" spans="1:71" ht="14" x14ac:dyDescent="0.25">
      <c r="A6" s="8" t="str">
        <f>+Pb!A3</f>
        <v>Lotes cerrados febrero 2026.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</row>
    <row r="7" spans="1:71" ht="14.5" thickBot="1" x14ac:dyDescent="0.3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233" t="s">
        <v>79</v>
      </c>
      <c r="U7" s="233"/>
      <c r="V7" s="233"/>
      <c r="W7" s="233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</row>
    <row r="8" spans="1:71" s="43" customFormat="1" ht="15.75" customHeight="1" thickBot="1" x14ac:dyDescent="0.35">
      <c r="A8" s="159" t="s">
        <v>39</v>
      </c>
      <c r="B8" s="160" t="s">
        <v>40</v>
      </c>
      <c r="C8" s="161"/>
      <c r="D8" s="162"/>
      <c r="E8" s="161"/>
      <c r="F8" s="161"/>
      <c r="G8" s="163" t="s">
        <v>41</v>
      </c>
      <c r="H8" s="164"/>
      <c r="I8" s="165" t="s">
        <v>42</v>
      </c>
      <c r="J8" s="160" t="s">
        <v>43</v>
      </c>
      <c r="K8" s="166"/>
      <c r="L8" s="167"/>
      <c r="M8" s="166"/>
      <c r="N8" s="166"/>
      <c r="O8" s="163" t="s">
        <v>41</v>
      </c>
      <c r="P8" s="164"/>
      <c r="Q8" s="165" t="s">
        <v>42</v>
      </c>
      <c r="R8" s="160" t="s">
        <v>49</v>
      </c>
      <c r="S8" s="168"/>
      <c r="T8" s="169"/>
      <c r="U8" s="168"/>
      <c r="V8" s="168"/>
      <c r="W8" s="163" t="s">
        <v>41</v>
      </c>
      <c r="X8" s="164"/>
      <c r="Y8" s="165" t="s">
        <v>42</v>
      </c>
      <c r="Z8" s="160" t="s">
        <v>65</v>
      </c>
      <c r="AA8" s="168"/>
      <c r="AB8" s="169"/>
      <c r="AC8" s="168"/>
      <c r="AD8" s="168"/>
      <c r="AE8" s="163" t="s">
        <v>41</v>
      </c>
      <c r="AF8" s="164"/>
      <c r="AG8" s="170" t="s">
        <v>42</v>
      </c>
      <c r="AH8" s="160" t="s">
        <v>50</v>
      </c>
      <c r="AI8" s="168"/>
      <c r="AJ8" s="169"/>
      <c r="AK8" s="168"/>
      <c r="AL8" s="168"/>
      <c r="AM8" s="163" t="s">
        <v>41</v>
      </c>
      <c r="AN8" s="164"/>
      <c r="AO8" s="170" t="s">
        <v>42</v>
      </c>
      <c r="AP8" s="160" t="s">
        <v>60</v>
      </c>
      <c r="AQ8" s="168"/>
      <c r="AR8" s="169"/>
      <c r="AS8" s="168"/>
      <c r="AT8" s="168"/>
      <c r="AU8" s="163" t="s">
        <v>41</v>
      </c>
      <c r="AV8" s="164"/>
      <c r="AW8" s="170" t="s">
        <v>42</v>
      </c>
      <c r="AX8" s="160" t="s">
        <v>61</v>
      </c>
      <c r="AY8" s="168"/>
      <c r="AZ8" s="169"/>
      <c r="BA8" s="168"/>
      <c r="BB8" s="168"/>
      <c r="BC8" s="163" t="s">
        <v>41</v>
      </c>
      <c r="BD8" s="164"/>
      <c r="BE8" s="170" t="s">
        <v>42</v>
      </c>
      <c r="BF8" s="160" t="s">
        <v>73</v>
      </c>
      <c r="BG8" s="168"/>
      <c r="BH8" s="169"/>
      <c r="BI8" s="168"/>
      <c r="BJ8" s="168"/>
      <c r="BK8" s="163" t="s">
        <v>41</v>
      </c>
      <c r="BL8" s="164"/>
      <c r="BM8" s="170" t="s">
        <v>42</v>
      </c>
      <c r="BO8" s="65"/>
      <c r="BP8" t="s">
        <v>51</v>
      </c>
      <c r="BQ8"/>
      <c r="BR8"/>
      <c r="BS8" s="66"/>
    </row>
    <row r="9" spans="1:71" s="52" customFormat="1" ht="14.5" thickBot="1" x14ac:dyDescent="0.35">
      <c r="A9" s="171" t="s">
        <v>45</v>
      </c>
      <c r="B9" s="172" t="s">
        <v>57</v>
      </c>
      <c r="C9" s="172" t="s">
        <v>59</v>
      </c>
      <c r="D9" s="173" t="s">
        <v>46</v>
      </c>
      <c r="E9" s="180" t="s">
        <v>15</v>
      </c>
      <c r="F9" s="172" t="s">
        <v>47</v>
      </c>
      <c r="G9" s="172" t="s">
        <v>57</v>
      </c>
      <c r="H9" s="172" t="s">
        <v>59</v>
      </c>
      <c r="I9" s="174" t="s">
        <v>48</v>
      </c>
      <c r="J9" s="175" t="s">
        <v>57</v>
      </c>
      <c r="K9" s="173" t="s">
        <v>59</v>
      </c>
      <c r="L9" s="173" t="s">
        <v>46</v>
      </c>
      <c r="M9" s="180" t="s">
        <v>15</v>
      </c>
      <c r="N9" s="173" t="s">
        <v>47</v>
      </c>
      <c r="O9" s="173" t="s">
        <v>57</v>
      </c>
      <c r="P9" s="173" t="s">
        <v>59</v>
      </c>
      <c r="Q9" s="174" t="s">
        <v>48</v>
      </c>
      <c r="R9" s="176" t="s">
        <v>57</v>
      </c>
      <c r="S9" s="177" t="s">
        <v>59</v>
      </c>
      <c r="T9" s="177" t="s">
        <v>46</v>
      </c>
      <c r="U9" s="180" t="s">
        <v>15</v>
      </c>
      <c r="V9" s="177" t="s">
        <v>47</v>
      </c>
      <c r="W9" s="177" t="s">
        <v>57</v>
      </c>
      <c r="X9" s="177" t="s">
        <v>59</v>
      </c>
      <c r="Y9" s="174" t="s">
        <v>48</v>
      </c>
      <c r="Z9" s="178" t="s">
        <v>57</v>
      </c>
      <c r="AA9" s="177" t="s">
        <v>59</v>
      </c>
      <c r="AB9" s="177" t="s">
        <v>46</v>
      </c>
      <c r="AC9" s="180" t="s">
        <v>15</v>
      </c>
      <c r="AD9" s="177" t="s">
        <v>47</v>
      </c>
      <c r="AE9" s="177" t="s">
        <v>57</v>
      </c>
      <c r="AF9" s="177" t="s">
        <v>59</v>
      </c>
      <c r="AG9" s="179" t="s">
        <v>48</v>
      </c>
      <c r="AH9" s="178" t="s">
        <v>57</v>
      </c>
      <c r="AI9" s="177" t="s">
        <v>59</v>
      </c>
      <c r="AJ9" s="177" t="s">
        <v>46</v>
      </c>
      <c r="AK9" s="180" t="s">
        <v>15</v>
      </c>
      <c r="AL9" s="177" t="s">
        <v>47</v>
      </c>
      <c r="AM9" s="177" t="s">
        <v>57</v>
      </c>
      <c r="AN9" s="177" t="s">
        <v>59</v>
      </c>
      <c r="AO9" s="179" t="s">
        <v>48</v>
      </c>
      <c r="AP9" s="178" t="s">
        <v>57</v>
      </c>
      <c r="AQ9" s="177" t="s">
        <v>59</v>
      </c>
      <c r="AR9" s="177" t="s">
        <v>46</v>
      </c>
      <c r="AS9" s="180" t="s">
        <v>15</v>
      </c>
      <c r="AT9" s="177" t="s">
        <v>47</v>
      </c>
      <c r="AU9" s="177" t="s">
        <v>57</v>
      </c>
      <c r="AV9" s="177" t="s">
        <v>59</v>
      </c>
      <c r="AW9" s="179" t="s">
        <v>48</v>
      </c>
      <c r="AX9" s="178" t="s">
        <v>57</v>
      </c>
      <c r="AY9" s="177" t="s">
        <v>59</v>
      </c>
      <c r="AZ9" s="177" t="s">
        <v>46</v>
      </c>
      <c r="BA9" s="180" t="s">
        <v>15</v>
      </c>
      <c r="BB9" s="177" t="s">
        <v>47</v>
      </c>
      <c r="BC9" s="177" t="s">
        <v>57</v>
      </c>
      <c r="BD9" s="177" t="s">
        <v>59</v>
      </c>
      <c r="BE9" s="179" t="s">
        <v>48</v>
      </c>
      <c r="BF9" s="178" t="s">
        <v>57</v>
      </c>
      <c r="BG9" s="177" t="s">
        <v>59</v>
      </c>
      <c r="BH9" s="177" t="s">
        <v>46</v>
      </c>
      <c r="BI9" s="180" t="s">
        <v>15</v>
      </c>
      <c r="BJ9" s="177" t="s">
        <v>47</v>
      </c>
      <c r="BK9" s="177" t="s">
        <v>57</v>
      </c>
      <c r="BL9" s="177" t="s">
        <v>59</v>
      </c>
      <c r="BM9" s="179" t="s">
        <v>48</v>
      </c>
      <c r="BO9" s="67"/>
      <c r="BP9" t="s">
        <v>52</v>
      </c>
      <c r="BQ9"/>
      <c r="BR9"/>
      <c r="BS9" s="68" t="s">
        <v>53</v>
      </c>
    </row>
    <row r="10" spans="1:71" s="190" customFormat="1" ht="14.5" thickBot="1" x14ac:dyDescent="0.35">
      <c r="A10" s="53">
        <f>+Zn!B8</f>
        <v>0</v>
      </c>
      <c r="B10" s="184">
        <f>+Zn!D8</f>
        <v>0</v>
      </c>
      <c r="C10" s="184">
        <f>+Zn!E8</f>
        <v>0</v>
      </c>
      <c r="D10" s="191"/>
      <c r="E10" s="191" t="str">
        <f>+Zn!H8</f>
        <v>P</v>
      </c>
      <c r="F10" s="209">
        <f t="shared" ref="F10:F13" si="0">IF(D10=0,AVERAGE(B10,C10),IF(OR(AND(B10&lt;C10,B10&gt;D10),AND(B10&gt;C10,B10&lt;D10)),B10,IF(OR(AND(C10&lt;B10,C10&gt;D10),AND(C10&gt;B10,C10&lt;D10)),C10,D10)))</f>
        <v>0</v>
      </c>
      <c r="G10" s="193">
        <f t="shared" ref="G10:G13" si="1">IF(D10=0,0,IF(D10&gt;B10,(D10-B10),(B10-D10)))</f>
        <v>0</v>
      </c>
      <c r="H10" s="193">
        <f t="shared" ref="H10:H13" si="2">IF(D10=0,0,IF(C10&gt;D10,(C10-D10),(D10-C10)))</f>
        <v>0</v>
      </c>
      <c r="I10" s="56" t="str">
        <f t="shared" ref="I10:I13" si="3">IF(D10=0,"",IF(H10=G10,"50%",IF(H10&gt;G10,"CIEN","MMP")))</f>
        <v/>
      </c>
      <c r="J10" s="201">
        <f>+Zn!J8</f>
        <v>0</v>
      </c>
      <c r="K10" s="201">
        <f>+Zn!K8</f>
        <v>0</v>
      </c>
      <c r="L10" s="191"/>
      <c r="M10" s="191" t="str">
        <f>+Zn!N8</f>
        <v>P</v>
      </c>
      <c r="N10" s="209">
        <f t="shared" ref="N10:N13" si="4">IF(L10=0,AVERAGE(J10,K10),IF(OR(AND(J10&lt;K10,J10&gt;L10),AND(J10&gt;K10,J10&lt;L10)),J10,IF(OR(AND(K10&lt;J10,K10&gt;L10),AND(K10&gt;J10,K10&lt;L10)),K10,L10)))</f>
        <v>0</v>
      </c>
      <c r="O10" s="212">
        <f t="shared" ref="O10:O13" si="5">IF(L10=0,0,IF(L10&gt;J10,(L10-J10),(J10-L10)))</f>
        <v>0</v>
      </c>
      <c r="P10" s="212">
        <f t="shared" ref="P10:P13" si="6">IF(L10=0,0,IF(K10&gt;L10,(K10-L10),(L10-K10)))</f>
        <v>0</v>
      </c>
      <c r="Q10" s="56" t="str">
        <f t="shared" ref="Q10:Q13" si="7">IF(L10=0,"",IF(P10=O10,"50%",IF(P10&gt;O10,"CIEN","MMP")))</f>
        <v/>
      </c>
      <c r="R10" s="195">
        <f>+Zn!P8</f>
        <v>0</v>
      </c>
      <c r="S10" s="195">
        <f>+Zn!Q8</f>
        <v>0</v>
      </c>
      <c r="T10" s="196"/>
      <c r="U10" s="191" t="str">
        <f>+Zn!T8</f>
        <v>P</v>
      </c>
      <c r="V10" s="209">
        <f t="shared" ref="V10:V13" si="8">IF(T10=0,AVERAGE(R10,S10),IF(OR(AND(R10&lt;S10,R10&gt;T10),AND(R10&gt;S10,R10&lt;T10)),R10,IF(OR(AND(S10&lt;R10,S10&gt;T10),AND(S10&gt;R10,S10&lt;T10)),S10,T10)))</f>
        <v>0</v>
      </c>
      <c r="W10" s="193">
        <f t="shared" ref="W10:W13" si="9">IF(T10=0,0,IF(T10&gt;R10,(T10-R10),(R10-T10)))</f>
        <v>0</v>
      </c>
      <c r="X10" s="193">
        <f t="shared" ref="X10:X13" si="10">IF(T10=0,0,IF(S10&gt;T10,(S10-T10),(T10-S10)))</f>
        <v>0</v>
      </c>
      <c r="Y10" s="56" t="str">
        <f t="shared" ref="Y10:Y13" si="11">IF(T10=0,"",IF(X10=W10,"50%",IF(X10&gt;W10,"CIEN","MMP")))</f>
        <v/>
      </c>
      <c r="Z10" s="213">
        <f>+Zn!AN8</f>
        <v>0</v>
      </c>
      <c r="AA10" s="213">
        <f>+Zn!AO8</f>
        <v>0</v>
      </c>
      <c r="AB10" s="192"/>
      <c r="AC10" s="191" t="str">
        <f>+Zn!AR8</f>
        <v>P</v>
      </c>
      <c r="AD10" s="209">
        <f t="shared" ref="AD10:AD13" si="12">IF(AB10=0,AVERAGE(Z10,AA10),IF(OR(AND(Z10&lt;AA10,Z10&gt;AB10),AND(Z10&gt;AA10,Z10&lt;AB10)),Z10,IF(OR(AND(AA10&lt;Z10,AA10&gt;AB10),AND(AA10&gt;Z10,AA10&lt;AB10)),AA10,AB10)))</f>
        <v>0</v>
      </c>
      <c r="AE10" s="207">
        <f t="shared" ref="AE10:AE13" si="13">IF(Z10&gt;AB10,(Z10-AB10),(AB10-Z10))</f>
        <v>0</v>
      </c>
      <c r="AF10" s="207">
        <f t="shared" ref="AF10:AF13" si="14">IF(AA10&gt;AB10,(AA10-AB10),(AB10-AA10))</f>
        <v>0</v>
      </c>
      <c r="AG10" s="56" t="str">
        <f t="shared" ref="AG10:AG13" si="15">IF(AB10=0,"",IF(AF10=AE10,"50%",IF(AF10&gt;AE10,"CIEN","MMP")))</f>
        <v/>
      </c>
      <c r="AH10" s="197">
        <f>+Zn!V8</f>
        <v>0</v>
      </c>
      <c r="AI10" s="197">
        <f>+Zn!W8</f>
        <v>0</v>
      </c>
      <c r="AJ10" s="192"/>
      <c r="AK10" s="191" t="str">
        <f>+Zn!Z8</f>
        <v>P</v>
      </c>
      <c r="AL10" s="208">
        <f t="shared" ref="AL10:AL13" si="16">IF(AJ10=0,AVERAGE(AH10,AI10),IF(OR(AND(AH10&lt;AI10,AH10&gt;AJ10),AND(AH10&gt;AI10,AH10&lt;AJ10)),AH10,IF(OR(AND(AI10&lt;AH10,AI10&gt;AJ10),AND(AI10&gt;AH10,AI10&lt;AJ10)),AI10,AJ10)))</f>
        <v>0</v>
      </c>
      <c r="AM10" s="184">
        <f t="shared" ref="AM10:AM13" si="17">IF(AJ10&gt;AH10,(AJ10-AH10),(AH10-AJ10))</f>
        <v>0</v>
      </c>
      <c r="AN10" s="184">
        <f t="shared" ref="AN10:AN13" si="18">IF(AI10&gt;AJ10,(AI10-AJ10),(AJ10-AI10))</f>
        <v>0</v>
      </c>
      <c r="AO10" s="56" t="str">
        <f t="shared" ref="AO10:AO13" si="19">IF(AJ10=0,"",IF(AN10=AM10,"50%",IF(AN10&gt;AM10,"CIEN","MMP")))</f>
        <v/>
      </c>
      <c r="AP10" s="197">
        <f>+Zn!AH8</f>
        <v>0</v>
      </c>
      <c r="AQ10" s="197">
        <f>+Zn!AI8</f>
        <v>0</v>
      </c>
      <c r="AR10" s="196"/>
      <c r="AS10" s="191" t="str">
        <f>+Zn!AL8</f>
        <v>P</v>
      </c>
      <c r="AT10" s="208">
        <f t="shared" ref="AT10:AT13" si="20">IF(AR10=0,AVERAGE(AP10,AQ10),IF(OR(AND(AP10&lt;AQ10,AP10&gt;AR10),AND(AP10&gt;AQ10,AP10&lt;AR10)),AP10,IF(OR(AND(AQ10&lt;AP10,AQ10&gt;AR10),AND(AQ10&gt;AP10,AQ10&lt;AR10)),AQ10,AR10)))</f>
        <v>0</v>
      </c>
      <c r="AU10" s="184">
        <f t="shared" ref="AU10:AU13" si="21">IF(AR10&gt;AP10,(AR10-AP10),(AP10-AR10))</f>
        <v>0</v>
      </c>
      <c r="AV10" s="184">
        <f t="shared" ref="AV10:AV13" si="22">IF(AQ10&gt;AR10,(AQ10-AR10),(AR10-AQ10))</f>
        <v>0</v>
      </c>
      <c r="AW10" s="56" t="str">
        <f t="shared" ref="AW10:AW13" si="23">IF(AR10=0,"",IF(AV10=AU10,"50%",IF(AV10&gt;AU10,"CIEN","MMP")))</f>
        <v/>
      </c>
      <c r="AX10" s="197">
        <f>+Zn!AT8</f>
        <v>0</v>
      </c>
      <c r="AY10" s="197">
        <f>+Zn!AU8</f>
        <v>0</v>
      </c>
      <c r="AZ10" s="196"/>
      <c r="BA10" s="191" t="str">
        <f>+Zn!AX8</f>
        <v>P</v>
      </c>
      <c r="BB10" s="208">
        <f>IF(AZ10=0,AVERAGE(AX10,AY10),IF(OR(AND(AX10&lt;AY10,AX10&gt;AZ10),AND(AX10&gt;AY10,AX10&lt;AZ10)),AX10,IF(OR(AND(AY10&lt;AX10,AY10&gt;AZ10),AND(AY10&gt;AX10,AY10&lt;AZ10)),AY10,AZ10)))</f>
        <v>0</v>
      </c>
      <c r="BC10" s="184">
        <f t="shared" ref="BC10:BC13" si="24">IF(AZ10&gt;AX10,(AZ10-AX10),(AX10-AZ10))</f>
        <v>0</v>
      </c>
      <c r="BD10" s="184">
        <f t="shared" ref="BD10:BD13" si="25">IF(AY10&gt;AZ10,(AY10-AZ10),(AZ10-AY10))</f>
        <v>0</v>
      </c>
      <c r="BE10" s="56" t="str">
        <f t="shared" ref="BE10:BE13" si="26">IF(AZ10=0,"",IF(BD10=BC10,"50%",IF(BD10&gt;BC10,"CIEN","MMP")))</f>
        <v/>
      </c>
      <c r="BF10" s="197">
        <f>+Zn!AB8</f>
        <v>0</v>
      </c>
      <c r="BG10" s="214">
        <f>+Zn!AC8</f>
        <v>0</v>
      </c>
      <c r="BH10" s="196"/>
      <c r="BI10" s="191" t="str">
        <f>+Zn!AF8</f>
        <v>P</v>
      </c>
      <c r="BJ10" s="208">
        <f t="shared" ref="BJ10:BJ13" si="27">IF(BH10=0,AVERAGE(BF10,BG10),IF(OR(AND(BF10&lt;BG10,BF10&gt;BH10),AND(BF10&gt;BG10,BF10&lt;BH10)),BF10,IF(OR(AND(BG10&lt;BF10,BG10&gt;BH10),AND(BG10&gt;BF10,BG10&lt;BH10)),BG10,BH10)))</f>
        <v>0</v>
      </c>
      <c r="BK10" s="184">
        <f t="shared" ref="BK10:BK13" si="28">IF(BH10&gt;BF10,(BH10-BF10),(BF10-BH10))</f>
        <v>0</v>
      </c>
      <c r="BL10" s="184">
        <f t="shared" ref="BL10:BL13" si="29">IF(BG10&gt;BH10,(BG10-BH10),(BH10-BG10))</f>
        <v>0</v>
      </c>
      <c r="BM10" s="56" t="str">
        <f t="shared" ref="BM10:BM13" si="30">IF(BH10=0,"",IF(BL10=BK10,"50%",IF(BL10&gt;BK10,"CIEN","MMP")))</f>
        <v/>
      </c>
      <c r="BO10" s="205"/>
      <c r="BP10" s="188" t="s">
        <v>54</v>
      </c>
      <c r="BQ10" s="188"/>
      <c r="BR10" s="188"/>
      <c r="BS10" s="206" t="s">
        <v>55</v>
      </c>
    </row>
    <row r="11" spans="1:71" s="190" customFormat="1" ht="14" x14ac:dyDescent="0.3">
      <c r="A11" s="53">
        <f>+Zn!B9</f>
        <v>0</v>
      </c>
      <c r="B11" s="184">
        <f>+Zn!D9</f>
        <v>0</v>
      </c>
      <c r="C11" s="184">
        <f>+Zn!E9</f>
        <v>0</v>
      </c>
      <c r="D11" s="191"/>
      <c r="E11" s="191" t="str">
        <f>+Zn!H9</f>
        <v>P</v>
      </c>
      <c r="F11" s="209">
        <f t="shared" si="0"/>
        <v>0</v>
      </c>
      <c r="G11" s="193">
        <f t="shared" si="1"/>
        <v>0</v>
      </c>
      <c r="H11" s="193">
        <f t="shared" si="2"/>
        <v>0</v>
      </c>
      <c r="I11" s="56" t="str">
        <f t="shared" si="3"/>
        <v/>
      </c>
      <c r="J11" s="201">
        <f>+Zn!J9</f>
        <v>0</v>
      </c>
      <c r="K11" s="201">
        <f>+Zn!K9</f>
        <v>0</v>
      </c>
      <c r="L11" s="191"/>
      <c r="M11" s="191" t="str">
        <f>+Zn!N9</f>
        <v>P</v>
      </c>
      <c r="N11" s="209">
        <f>IF(L11=0,AVERAGE(J11,K11),IF(OR(AND(J11&lt;K11,J11&gt;L11),AND(J11&gt;K11,J11&lt;L11)),J11,IF(OR(AND(K11&lt;J11,K11&gt;L11),AND(K11&gt;J11,K11&lt;L11)),K11,L11)))</f>
        <v>0</v>
      </c>
      <c r="O11" s="212">
        <f t="shared" si="5"/>
        <v>0</v>
      </c>
      <c r="P11" s="212">
        <f t="shared" si="6"/>
        <v>0</v>
      </c>
      <c r="Q11" s="56" t="str">
        <f t="shared" si="7"/>
        <v/>
      </c>
      <c r="R11" s="195">
        <f>+Zn!P9</f>
        <v>0</v>
      </c>
      <c r="S11" s="195">
        <f>+Zn!Q9</f>
        <v>0</v>
      </c>
      <c r="T11" s="196"/>
      <c r="U11" s="191" t="str">
        <f>+Zn!T9</f>
        <v>P</v>
      </c>
      <c r="V11" s="209">
        <f t="shared" si="8"/>
        <v>0</v>
      </c>
      <c r="W11" s="193">
        <f t="shared" si="9"/>
        <v>0</v>
      </c>
      <c r="X11" s="193">
        <f t="shared" si="10"/>
        <v>0</v>
      </c>
      <c r="Y11" s="56" t="str">
        <f t="shared" si="11"/>
        <v/>
      </c>
      <c r="Z11" s="213">
        <f>+Zn!AN9</f>
        <v>0</v>
      </c>
      <c r="AA11" s="213">
        <f>+Zn!AO9</f>
        <v>0</v>
      </c>
      <c r="AB11" s="192"/>
      <c r="AC11" s="191" t="str">
        <f>+Zn!AR9</f>
        <v>P</v>
      </c>
      <c r="AD11" s="209">
        <f t="shared" si="12"/>
        <v>0</v>
      </c>
      <c r="AE11" s="207">
        <f t="shared" si="13"/>
        <v>0</v>
      </c>
      <c r="AF11" s="207">
        <f t="shared" si="14"/>
        <v>0</v>
      </c>
      <c r="AG11" s="56" t="str">
        <f t="shared" si="15"/>
        <v/>
      </c>
      <c r="AH11" s="197">
        <f>+Zn!V9</f>
        <v>0</v>
      </c>
      <c r="AI11" s="197">
        <f>+Zn!W9</f>
        <v>0</v>
      </c>
      <c r="AJ11" s="192"/>
      <c r="AK11" s="191" t="str">
        <f>+Zn!Z9</f>
        <v>P</v>
      </c>
      <c r="AL11" s="208">
        <f t="shared" si="16"/>
        <v>0</v>
      </c>
      <c r="AM11" s="184">
        <f t="shared" si="17"/>
        <v>0</v>
      </c>
      <c r="AN11" s="184">
        <f t="shared" si="18"/>
        <v>0</v>
      </c>
      <c r="AO11" s="56" t="str">
        <f t="shared" si="19"/>
        <v/>
      </c>
      <c r="AP11" s="197">
        <f>+Zn!AH9</f>
        <v>0</v>
      </c>
      <c r="AQ11" s="197">
        <f>+Zn!AI9</f>
        <v>0</v>
      </c>
      <c r="AR11" s="196"/>
      <c r="AS11" s="191" t="str">
        <f>+Zn!AL9</f>
        <v>P</v>
      </c>
      <c r="AT11" s="208">
        <f t="shared" si="20"/>
        <v>0</v>
      </c>
      <c r="AU11" s="184">
        <f t="shared" si="21"/>
        <v>0</v>
      </c>
      <c r="AV11" s="184">
        <f t="shared" si="22"/>
        <v>0</v>
      </c>
      <c r="AW11" s="56" t="str">
        <f t="shared" si="23"/>
        <v/>
      </c>
      <c r="AX11" s="197">
        <f>+Zn!AT9</f>
        <v>0</v>
      </c>
      <c r="AY11" s="197">
        <f>+Zn!AU9</f>
        <v>0</v>
      </c>
      <c r="AZ11" s="196"/>
      <c r="BA11" s="191" t="str">
        <f>+Zn!AX9</f>
        <v>P</v>
      </c>
      <c r="BB11" s="208">
        <f t="shared" ref="BB11:BB13" si="31">IF(AZ11=0,AVERAGE(AX11,AY11),IF(OR(AND(AX11&lt;AY11,AX11&gt;AZ11),AND(AX11&gt;AY11,AX11&lt;AZ11)),AX11,IF(OR(AND(AY11&lt;AX11,AY11&gt;AZ11),AND(AY11&gt;AX11,AY11&lt;AZ11)),AY11,AZ11)))</f>
        <v>0</v>
      </c>
      <c r="BC11" s="184">
        <f t="shared" si="24"/>
        <v>0</v>
      </c>
      <c r="BD11" s="184">
        <f t="shared" si="25"/>
        <v>0</v>
      </c>
      <c r="BE11" s="56" t="str">
        <f t="shared" si="26"/>
        <v/>
      </c>
      <c r="BF11" s="197">
        <f>+Zn!AB9</f>
        <v>0</v>
      </c>
      <c r="BG11" s="214">
        <f>+Zn!AC9</f>
        <v>0</v>
      </c>
      <c r="BH11" s="196"/>
      <c r="BI11" s="191" t="str">
        <f>+Zn!AF9</f>
        <v>P</v>
      </c>
      <c r="BJ11" s="208">
        <f t="shared" si="27"/>
        <v>0</v>
      </c>
      <c r="BK11" s="184">
        <f t="shared" si="28"/>
        <v>0</v>
      </c>
      <c r="BL11" s="184">
        <f t="shared" si="29"/>
        <v>0</v>
      </c>
      <c r="BM11" s="56" t="str">
        <f t="shared" si="30"/>
        <v/>
      </c>
    </row>
    <row r="12" spans="1:71" s="190" customFormat="1" ht="14" x14ac:dyDescent="0.3">
      <c r="A12" s="53" t="e">
        <f>+Zn!B10</f>
        <v>#REF!</v>
      </c>
      <c r="B12" s="184">
        <f>+Zn!D10</f>
        <v>0</v>
      </c>
      <c r="C12" s="184" t="e">
        <f>+Zn!E10</f>
        <v>#REF!</v>
      </c>
      <c r="D12" s="191"/>
      <c r="E12" s="191" t="e">
        <f>+Zn!H10</f>
        <v>#REF!</v>
      </c>
      <c r="F12" s="209" t="e">
        <f t="shared" si="0"/>
        <v>#REF!</v>
      </c>
      <c r="G12" s="193">
        <f t="shared" si="1"/>
        <v>0</v>
      </c>
      <c r="H12" s="193">
        <f t="shared" si="2"/>
        <v>0</v>
      </c>
      <c r="I12" s="56" t="str">
        <f t="shared" si="3"/>
        <v/>
      </c>
      <c r="J12" s="201">
        <f>+Zn!J10</f>
        <v>0</v>
      </c>
      <c r="K12" s="201" t="e">
        <f>+Zn!K10</f>
        <v>#REF!</v>
      </c>
      <c r="L12" s="191"/>
      <c r="M12" s="191" t="e">
        <f>+Zn!N10</f>
        <v>#REF!</v>
      </c>
      <c r="N12" s="209" t="e">
        <f t="shared" si="4"/>
        <v>#REF!</v>
      </c>
      <c r="O12" s="212">
        <f t="shared" si="5"/>
        <v>0</v>
      </c>
      <c r="P12" s="212">
        <f t="shared" si="6"/>
        <v>0</v>
      </c>
      <c r="Q12" s="56" t="str">
        <f t="shared" si="7"/>
        <v/>
      </c>
      <c r="R12" s="195">
        <f>+Zn!P10</f>
        <v>0</v>
      </c>
      <c r="S12" s="195" t="e">
        <f>+Zn!Q10</f>
        <v>#REF!</v>
      </c>
      <c r="T12" s="196"/>
      <c r="U12" s="191" t="e">
        <f>+Zn!T10</f>
        <v>#REF!</v>
      </c>
      <c r="V12" s="209" t="e">
        <f t="shared" si="8"/>
        <v>#REF!</v>
      </c>
      <c r="W12" s="193">
        <f t="shared" si="9"/>
        <v>0</v>
      </c>
      <c r="X12" s="193">
        <f t="shared" si="10"/>
        <v>0</v>
      </c>
      <c r="Y12" s="56" t="str">
        <f t="shared" si="11"/>
        <v/>
      </c>
      <c r="Z12" s="213">
        <f>+Zn!AN10</f>
        <v>0</v>
      </c>
      <c r="AA12" s="213" t="e">
        <f>+Zn!AO10</f>
        <v>#REF!</v>
      </c>
      <c r="AB12" s="196"/>
      <c r="AC12" s="191" t="e">
        <f>+Zn!AR10</f>
        <v>#REF!</v>
      </c>
      <c r="AD12" s="209" t="e">
        <f t="shared" si="12"/>
        <v>#REF!</v>
      </c>
      <c r="AE12" s="207">
        <f t="shared" si="13"/>
        <v>0</v>
      </c>
      <c r="AF12" s="207" t="e">
        <f t="shared" si="14"/>
        <v>#REF!</v>
      </c>
      <c r="AG12" s="56" t="str">
        <f t="shared" si="15"/>
        <v/>
      </c>
      <c r="AH12" s="197">
        <f>+Zn!V10</f>
        <v>0</v>
      </c>
      <c r="AI12" s="197" t="e">
        <f>+Zn!W10</f>
        <v>#REF!</v>
      </c>
      <c r="AJ12" s="192"/>
      <c r="AK12" s="191" t="e">
        <f>+Zn!Z10</f>
        <v>#REF!</v>
      </c>
      <c r="AL12" s="208" t="e">
        <f t="shared" si="16"/>
        <v>#REF!</v>
      </c>
      <c r="AM12" s="184">
        <f t="shared" si="17"/>
        <v>0</v>
      </c>
      <c r="AN12" s="184" t="e">
        <f t="shared" si="18"/>
        <v>#REF!</v>
      </c>
      <c r="AO12" s="56" t="str">
        <f t="shared" si="19"/>
        <v/>
      </c>
      <c r="AP12" s="197">
        <f>+Zn!AH10</f>
        <v>0</v>
      </c>
      <c r="AQ12" s="197" t="e">
        <f>+Zn!AI10</f>
        <v>#REF!</v>
      </c>
      <c r="AR12" s="196"/>
      <c r="AS12" s="191" t="e">
        <f>+Zn!AL10</f>
        <v>#REF!</v>
      </c>
      <c r="AT12" s="208" t="e">
        <f t="shared" si="20"/>
        <v>#REF!</v>
      </c>
      <c r="AU12" s="184">
        <f t="shared" si="21"/>
        <v>0</v>
      </c>
      <c r="AV12" s="184" t="e">
        <f t="shared" si="22"/>
        <v>#REF!</v>
      </c>
      <c r="AW12" s="56" t="str">
        <f t="shared" si="23"/>
        <v/>
      </c>
      <c r="AX12" s="197">
        <f>+Zn!AT10</f>
        <v>0</v>
      </c>
      <c r="AY12" s="197" t="e">
        <f>+Zn!AU10</f>
        <v>#REF!</v>
      </c>
      <c r="AZ12" s="196"/>
      <c r="BA12" s="191" t="e">
        <f>+Zn!AX10</f>
        <v>#REF!</v>
      </c>
      <c r="BB12" s="208" t="e">
        <f t="shared" si="31"/>
        <v>#REF!</v>
      </c>
      <c r="BC12" s="184">
        <f t="shared" si="24"/>
        <v>0</v>
      </c>
      <c r="BD12" s="184" t="e">
        <f t="shared" si="25"/>
        <v>#REF!</v>
      </c>
      <c r="BE12" s="56" t="str">
        <f t="shared" si="26"/>
        <v/>
      </c>
      <c r="BF12" s="197">
        <f>+Zn!AB10</f>
        <v>0</v>
      </c>
      <c r="BG12" s="214" t="e">
        <f>+Zn!AC10</f>
        <v>#REF!</v>
      </c>
      <c r="BH12" s="196"/>
      <c r="BI12" s="191" t="e">
        <f>+Zn!AF10</f>
        <v>#REF!</v>
      </c>
      <c r="BJ12" s="208" t="e">
        <f t="shared" si="27"/>
        <v>#REF!</v>
      </c>
      <c r="BK12" s="184">
        <f t="shared" si="28"/>
        <v>0</v>
      </c>
      <c r="BL12" s="184" t="e">
        <f t="shared" si="29"/>
        <v>#REF!</v>
      </c>
      <c r="BM12" s="56" t="str">
        <f t="shared" si="30"/>
        <v/>
      </c>
    </row>
    <row r="13" spans="1:71" s="43" customFormat="1" ht="14" x14ac:dyDescent="0.3">
      <c r="A13" s="53">
        <f>+Zn!B11</f>
        <v>0</v>
      </c>
      <c r="B13" s="184">
        <f>+Zn!D11</f>
        <v>0</v>
      </c>
      <c r="C13" s="71">
        <f>+Zn!E11</f>
        <v>0</v>
      </c>
      <c r="D13" s="55"/>
      <c r="E13" s="55"/>
      <c r="F13" s="58">
        <f t="shared" si="0"/>
        <v>0</v>
      </c>
      <c r="G13" s="54">
        <f t="shared" si="1"/>
        <v>0</v>
      </c>
      <c r="H13" s="54">
        <f t="shared" si="2"/>
        <v>0</v>
      </c>
      <c r="I13" s="56" t="str">
        <f t="shared" si="3"/>
        <v/>
      </c>
      <c r="J13" s="72">
        <f>+Zn!J11</f>
        <v>0</v>
      </c>
      <c r="K13" s="72">
        <f>+Zn!K11</f>
        <v>0</v>
      </c>
      <c r="L13" s="55"/>
      <c r="M13" s="55"/>
      <c r="N13" s="58">
        <f t="shared" si="4"/>
        <v>0</v>
      </c>
      <c r="O13" s="57">
        <f t="shared" si="5"/>
        <v>0</v>
      </c>
      <c r="P13" s="57">
        <f t="shared" si="6"/>
        <v>0</v>
      </c>
      <c r="Q13" s="56" t="str">
        <f t="shared" si="7"/>
        <v/>
      </c>
      <c r="R13" s="40">
        <f>+Zn!P11</f>
        <v>0</v>
      </c>
      <c r="S13" s="40">
        <f>+Zn!Q11</f>
        <v>0</v>
      </c>
      <c r="T13" s="85"/>
      <c r="U13" s="85"/>
      <c r="V13" s="58">
        <f t="shared" si="8"/>
        <v>0</v>
      </c>
      <c r="W13" s="54">
        <f t="shared" si="9"/>
        <v>0</v>
      </c>
      <c r="X13" s="54">
        <f t="shared" si="10"/>
        <v>0</v>
      </c>
      <c r="Y13" s="56" t="str">
        <f t="shared" si="11"/>
        <v/>
      </c>
      <c r="Z13" s="94">
        <f>+Zn!AN11</f>
        <v>0</v>
      </c>
      <c r="AA13" s="94">
        <f>+Zn!AO11</f>
        <v>0</v>
      </c>
      <c r="AB13" s="85"/>
      <c r="AC13" s="85"/>
      <c r="AD13" s="58">
        <f t="shared" si="12"/>
        <v>0</v>
      </c>
      <c r="AE13" s="58">
        <f t="shared" si="13"/>
        <v>0</v>
      </c>
      <c r="AF13" s="58">
        <f t="shared" si="14"/>
        <v>0</v>
      </c>
      <c r="AG13" s="56" t="str">
        <f t="shared" si="15"/>
        <v/>
      </c>
      <c r="AH13" s="41">
        <f>+Zn!V11</f>
        <v>0</v>
      </c>
      <c r="AI13" s="41">
        <f>+Zn!W11</f>
        <v>0</v>
      </c>
      <c r="AJ13" s="60"/>
      <c r="AK13" s="60"/>
      <c r="AL13" s="73">
        <f t="shared" si="16"/>
        <v>0</v>
      </c>
      <c r="AM13" s="71">
        <f t="shared" si="17"/>
        <v>0</v>
      </c>
      <c r="AN13" s="71">
        <f t="shared" si="18"/>
        <v>0</v>
      </c>
      <c r="AO13" s="56" t="str">
        <f t="shared" si="19"/>
        <v/>
      </c>
      <c r="AP13" s="41">
        <f>+Zn!AH11</f>
        <v>0</v>
      </c>
      <c r="AQ13" s="41">
        <f>+Zn!AI11</f>
        <v>0</v>
      </c>
      <c r="AR13" s="85"/>
      <c r="AS13" s="85"/>
      <c r="AT13" s="73">
        <f t="shared" si="20"/>
        <v>0</v>
      </c>
      <c r="AU13" s="71">
        <f t="shared" si="21"/>
        <v>0</v>
      </c>
      <c r="AV13" s="71">
        <f t="shared" si="22"/>
        <v>0</v>
      </c>
      <c r="AW13" s="56" t="str">
        <f t="shared" si="23"/>
        <v/>
      </c>
      <c r="AX13" s="41">
        <f>+Zn!AT11</f>
        <v>0</v>
      </c>
      <c r="AY13" s="41">
        <f>+Zn!AU11</f>
        <v>0</v>
      </c>
      <c r="AZ13" s="85"/>
      <c r="BA13" s="85"/>
      <c r="BB13" s="73">
        <f t="shared" si="31"/>
        <v>0</v>
      </c>
      <c r="BC13" s="71">
        <f t="shared" si="24"/>
        <v>0</v>
      </c>
      <c r="BD13" s="71">
        <f t="shared" si="25"/>
        <v>0</v>
      </c>
      <c r="BE13" s="56" t="str">
        <f t="shared" si="26"/>
        <v/>
      </c>
      <c r="BF13" s="41">
        <f>+Zn!AB11</f>
        <v>0</v>
      </c>
      <c r="BG13" s="61">
        <f>+Zn!AC11</f>
        <v>0</v>
      </c>
      <c r="BH13" s="85"/>
      <c r="BI13" s="85"/>
      <c r="BJ13" s="73">
        <f t="shared" si="27"/>
        <v>0</v>
      </c>
      <c r="BK13" s="71">
        <f t="shared" si="28"/>
        <v>0</v>
      </c>
      <c r="BL13" s="71">
        <f t="shared" si="29"/>
        <v>0</v>
      </c>
      <c r="BM13" s="56" t="str">
        <f t="shared" si="30"/>
        <v/>
      </c>
    </row>
    <row r="14" spans="1:71" s="43" customFormat="1" ht="14" x14ac:dyDescent="0.3">
      <c r="A14" s="53"/>
      <c r="B14" s="184"/>
      <c r="C14" s="71"/>
      <c r="D14" s="55"/>
      <c r="E14" s="55"/>
      <c r="F14" s="58"/>
      <c r="G14" s="54"/>
      <c r="H14" s="54"/>
      <c r="I14" s="56"/>
      <c r="J14" s="72"/>
      <c r="K14" s="72"/>
      <c r="L14" s="55"/>
      <c r="M14" s="55"/>
      <c r="N14" s="58"/>
      <c r="O14" s="57"/>
      <c r="P14" s="57"/>
      <c r="Q14" s="56"/>
      <c r="R14" s="40"/>
      <c r="S14" s="40"/>
      <c r="T14" s="85"/>
      <c r="U14" s="85"/>
      <c r="V14" s="58"/>
      <c r="W14" s="54"/>
      <c r="X14" s="54"/>
      <c r="Y14" s="56"/>
      <c r="Z14" s="94"/>
      <c r="AA14" s="94"/>
      <c r="AB14" s="85"/>
      <c r="AC14" s="85"/>
      <c r="AD14" s="58"/>
      <c r="AE14" s="58"/>
      <c r="AF14" s="58"/>
      <c r="AG14" s="56"/>
      <c r="AH14" s="41"/>
      <c r="AI14" s="41"/>
      <c r="AJ14" s="60"/>
      <c r="AK14" s="60"/>
      <c r="AL14" s="73"/>
      <c r="AM14" s="71"/>
      <c r="AN14" s="71"/>
      <c r="AO14" s="56"/>
      <c r="AP14" s="41"/>
      <c r="AQ14" s="41"/>
      <c r="AR14" s="85"/>
      <c r="AS14" s="85"/>
      <c r="AT14" s="73"/>
      <c r="AU14" s="71"/>
      <c r="AV14" s="71"/>
      <c r="AW14" s="56"/>
      <c r="AX14" s="41"/>
      <c r="AY14" s="41"/>
      <c r="AZ14" s="85"/>
      <c r="BA14" s="85"/>
      <c r="BB14" s="73"/>
      <c r="BC14" s="71"/>
      <c r="BD14" s="71"/>
      <c r="BE14" s="56"/>
      <c r="BF14" s="41"/>
      <c r="BG14" s="61"/>
      <c r="BH14" s="85"/>
      <c r="BI14" s="85"/>
      <c r="BJ14" s="73"/>
      <c r="BK14" s="71"/>
      <c r="BL14" s="71"/>
      <c r="BM14" s="56"/>
    </row>
    <row r="15" spans="1:71" s="43" customFormat="1" ht="14" x14ac:dyDescent="0.3">
      <c r="A15" s="53"/>
      <c r="B15" s="184"/>
      <c r="C15" s="71"/>
      <c r="D15" s="55"/>
      <c r="E15" s="55"/>
      <c r="F15" s="58"/>
      <c r="G15" s="54"/>
      <c r="H15" s="54"/>
      <c r="I15" s="56"/>
      <c r="J15" s="72"/>
      <c r="K15" s="72"/>
      <c r="L15" s="55"/>
      <c r="M15" s="55"/>
      <c r="N15" s="58"/>
      <c r="O15" s="57"/>
      <c r="P15" s="57"/>
      <c r="Q15" s="56"/>
      <c r="R15" s="40"/>
      <c r="S15" s="40"/>
      <c r="T15" s="85"/>
      <c r="U15" s="85"/>
      <c r="V15" s="58"/>
      <c r="W15" s="54"/>
      <c r="X15" s="54"/>
      <c r="Y15" s="56"/>
      <c r="Z15" s="94"/>
      <c r="AA15" s="94"/>
      <c r="AB15" s="85"/>
      <c r="AC15" s="85"/>
      <c r="AD15" s="58"/>
      <c r="AE15" s="58"/>
      <c r="AF15" s="58"/>
      <c r="AG15" s="56"/>
      <c r="AH15" s="41"/>
      <c r="AI15" s="41"/>
      <c r="AJ15" s="60"/>
      <c r="AK15" s="60"/>
      <c r="AL15" s="73"/>
      <c r="AM15" s="71"/>
      <c r="AN15" s="71"/>
      <c r="AO15" s="56"/>
      <c r="AP15" s="41"/>
      <c r="AQ15" s="41"/>
      <c r="AR15" s="85"/>
      <c r="AS15" s="85"/>
      <c r="AT15" s="73"/>
      <c r="AU15" s="71"/>
      <c r="AV15" s="71"/>
      <c r="AW15" s="56"/>
      <c r="AX15" s="41"/>
      <c r="AY15" s="41"/>
      <c r="AZ15" s="85"/>
      <c r="BA15" s="85"/>
      <c r="BB15" s="73"/>
      <c r="BC15" s="71"/>
      <c r="BD15" s="71"/>
      <c r="BE15" s="56"/>
      <c r="BF15" s="41"/>
      <c r="BG15" s="61"/>
      <c r="BH15" s="85"/>
      <c r="BI15" s="85"/>
      <c r="BJ15" s="73"/>
      <c r="BK15" s="71"/>
      <c r="BL15" s="71"/>
      <c r="BM15" s="56"/>
    </row>
    <row r="16" spans="1:71" s="43" customFormat="1" ht="14" x14ac:dyDescent="0.3">
      <c r="A16" s="53"/>
      <c r="B16" s="184"/>
      <c r="C16" s="71"/>
      <c r="D16" s="55"/>
      <c r="E16" s="55"/>
      <c r="F16" s="58"/>
      <c r="G16" s="54"/>
      <c r="H16" s="54"/>
      <c r="I16" s="56"/>
      <c r="J16" s="72"/>
      <c r="K16" s="72"/>
      <c r="L16" s="55"/>
      <c r="M16" s="55"/>
      <c r="N16" s="58"/>
      <c r="O16" s="57"/>
      <c r="P16" s="57"/>
      <c r="Q16" s="56"/>
      <c r="R16" s="40"/>
      <c r="S16" s="40"/>
      <c r="T16" s="85"/>
      <c r="U16" s="85"/>
      <c r="V16" s="58"/>
      <c r="W16" s="54"/>
      <c r="X16" s="54"/>
      <c r="Y16" s="56"/>
      <c r="Z16" s="94"/>
      <c r="AA16" s="94"/>
      <c r="AB16" s="85"/>
      <c r="AC16" s="85"/>
      <c r="AD16" s="58"/>
      <c r="AE16" s="58"/>
      <c r="AF16" s="58"/>
      <c r="AG16" s="56"/>
      <c r="AH16" s="41"/>
      <c r="AI16" s="41"/>
      <c r="AJ16" s="60"/>
      <c r="AK16" s="60"/>
      <c r="AL16" s="73"/>
      <c r="AM16" s="71"/>
      <c r="AN16" s="71"/>
      <c r="AO16" s="56"/>
      <c r="AP16" s="41"/>
      <c r="AQ16" s="41"/>
      <c r="AR16" s="85"/>
      <c r="AS16" s="85"/>
      <c r="AT16" s="73"/>
      <c r="AU16" s="71"/>
      <c r="AV16" s="71"/>
      <c r="AW16" s="56"/>
      <c r="AX16" s="41"/>
      <c r="AY16" s="41"/>
      <c r="AZ16" s="85"/>
      <c r="BA16" s="85"/>
      <c r="BB16" s="73"/>
      <c r="BC16" s="71"/>
      <c r="BD16" s="71"/>
      <c r="BE16" s="56"/>
      <c r="BF16" s="41"/>
      <c r="BG16" s="61"/>
      <c r="BH16" s="85"/>
      <c r="BI16" s="85"/>
      <c r="BJ16" s="73"/>
      <c r="BK16" s="71"/>
      <c r="BL16" s="71"/>
      <c r="BM16" s="56"/>
    </row>
    <row r="17" spans="1:65" ht="14" x14ac:dyDescent="0.3">
      <c r="A17" s="53"/>
      <c r="B17" s="184"/>
      <c r="C17" s="71"/>
      <c r="D17" s="55"/>
      <c r="E17" s="55"/>
      <c r="F17" s="58"/>
      <c r="G17" s="54"/>
      <c r="H17" s="54"/>
      <c r="I17" s="56"/>
      <c r="J17" s="72"/>
      <c r="K17" s="72"/>
      <c r="L17" s="55"/>
      <c r="M17" s="55"/>
      <c r="N17" s="58"/>
      <c r="O17" s="57"/>
      <c r="P17" s="57"/>
      <c r="Q17" s="56"/>
      <c r="R17" s="40"/>
      <c r="S17" s="40"/>
      <c r="T17" s="85"/>
      <c r="U17" s="85"/>
      <c r="V17" s="58"/>
      <c r="W17" s="54"/>
      <c r="X17" s="54"/>
      <c r="Y17" s="56"/>
      <c r="Z17" s="94"/>
      <c r="AA17" s="94"/>
      <c r="AB17" s="85"/>
      <c r="AC17" s="85"/>
      <c r="AD17" s="58"/>
      <c r="AE17" s="58"/>
      <c r="AF17" s="58"/>
      <c r="AG17" s="56"/>
      <c r="AH17" s="41"/>
      <c r="AI17" s="41"/>
      <c r="AJ17" s="60"/>
      <c r="AK17" s="60"/>
      <c r="AL17" s="73"/>
      <c r="AM17" s="71"/>
      <c r="AN17" s="71"/>
      <c r="AO17" s="56"/>
      <c r="AP17" s="41"/>
      <c r="AQ17" s="41"/>
      <c r="AR17" s="85"/>
      <c r="AS17" s="85"/>
      <c r="AT17" s="73"/>
      <c r="AU17" s="71"/>
      <c r="AV17" s="71"/>
      <c r="AW17" s="56"/>
      <c r="AX17" s="41"/>
      <c r="AY17" s="41"/>
      <c r="AZ17" s="85"/>
      <c r="BA17" s="85"/>
      <c r="BB17" s="73"/>
      <c r="BC17" s="71"/>
      <c r="BD17" s="71"/>
      <c r="BE17" s="56"/>
      <c r="BF17" s="41"/>
      <c r="BG17" s="61"/>
      <c r="BH17" s="85"/>
      <c r="BI17" s="85"/>
      <c r="BJ17" s="73"/>
      <c r="BK17" s="71"/>
      <c r="BL17" s="71"/>
      <c r="BM17" s="56"/>
    </row>
    <row r="18" spans="1:65" ht="14" x14ac:dyDescent="0.3">
      <c r="A18" s="53"/>
      <c r="B18" s="184"/>
      <c r="C18" s="71"/>
      <c r="D18" s="55"/>
      <c r="E18" s="55"/>
      <c r="F18" s="58"/>
      <c r="G18" s="54"/>
      <c r="H18" s="54"/>
      <c r="I18" s="56"/>
      <c r="J18" s="72"/>
      <c r="K18" s="72"/>
      <c r="L18" s="55"/>
      <c r="M18" s="55"/>
      <c r="N18" s="58"/>
      <c r="O18" s="57"/>
      <c r="P18" s="57"/>
      <c r="Q18" s="56"/>
      <c r="R18" s="40"/>
      <c r="S18" s="40"/>
      <c r="T18" s="85"/>
      <c r="U18" s="85"/>
      <c r="V18" s="58"/>
      <c r="W18" s="54"/>
      <c r="X18" s="54"/>
      <c r="Y18" s="56"/>
      <c r="Z18" s="94"/>
      <c r="AA18" s="94"/>
      <c r="AB18" s="85"/>
      <c r="AC18" s="85"/>
      <c r="AD18" s="58"/>
      <c r="AE18" s="58"/>
      <c r="AF18" s="58"/>
      <c r="AG18" s="56"/>
      <c r="AH18" s="41"/>
      <c r="AI18" s="41"/>
      <c r="AJ18" s="60"/>
      <c r="AK18" s="60"/>
      <c r="AL18" s="73"/>
      <c r="AM18" s="71"/>
      <c r="AN18" s="71"/>
      <c r="AO18" s="56"/>
      <c r="AP18" s="41"/>
      <c r="AQ18" s="41"/>
      <c r="AR18" s="85"/>
      <c r="AS18" s="85"/>
      <c r="AT18" s="73"/>
      <c r="AU18" s="71"/>
      <c r="AV18" s="71"/>
      <c r="AW18" s="56"/>
      <c r="AX18" s="41"/>
      <c r="AY18" s="41"/>
      <c r="AZ18" s="85"/>
      <c r="BA18" s="85"/>
      <c r="BB18" s="73"/>
      <c r="BC18" s="71"/>
      <c r="BD18" s="71"/>
      <c r="BE18" s="56"/>
      <c r="BF18" s="41"/>
      <c r="BG18" s="61"/>
      <c r="BH18" s="85"/>
      <c r="BI18" s="85"/>
      <c r="BJ18" s="73"/>
      <c r="BK18" s="71"/>
      <c r="BL18" s="71"/>
      <c r="BM18" s="56"/>
    </row>
    <row r="19" spans="1:65" s="3" customFormat="1" ht="15.75" customHeight="1" x14ac:dyDescent="0.3">
      <c r="A19" s="53"/>
      <c r="B19" s="184"/>
      <c r="C19" s="71"/>
      <c r="D19" s="55"/>
      <c r="E19" s="55"/>
      <c r="F19" s="58"/>
      <c r="G19" s="54"/>
      <c r="H19" s="54"/>
      <c r="I19" s="56"/>
      <c r="J19" s="72"/>
      <c r="K19" s="72"/>
      <c r="L19" s="55"/>
      <c r="M19" s="55"/>
      <c r="N19" s="58"/>
      <c r="O19" s="57"/>
      <c r="P19" s="57"/>
      <c r="Q19" s="56"/>
      <c r="R19" s="40"/>
      <c r="S19" s="40"/>
      <c r="T19" s="85"/>
      <c r="U19" s="85"/>
      <c r="V19" s="58"/>
      <c r="W19" s="54"/>
      <c r="X19" s="54"/>
      <c r="Y19" s="56"/>
      <c r="Z19" s="94"/>
      <c r="AA19" s="94"/>
      <c r="AB19" s="85"/>
      <c r="AC19" s="85"/>
      <c r="AD19" s="58"/>
      <c r="AE19" s="58"/>
      <c r="AF19" s="58"/>
      <c r="AG19" s="56"/>
      <c r="AH19" s="41"/>
      <c r="AI19" s="41"/>
      <c r="AJ19" s="60"/>
      <c r="AK19" s="60"/>
      <c r="AL19" s="73"/>
      <c r="AM19" s="71"/>
      <c r="AN19" s="71"/>
      <c r="AO19" s="56"/>
      <c r="AP19" s="41"/>
      <c r="AQ19" s="41"/>
      <c r="AR19" s="85"/>
      <c r="AS19" s="85"/>
      <c r="AT19" s="73"/>
      <c r="AU19" s="71"/>
      <c r="AV19" s="71"/>
      <c r="AW19" s="56"/>
      <c r="AX19" s="41"/>
      <c r="AY19" s="41"/>
      <c r="AZ19" s="85"/>
      <c r="BA19" s="85"/>
      <c r="BB19" s="73"/>
      <c r="BC19" s="71"/>
      <c r="BD19" s="71"/>
      <c r="BE19" s="56"/>
      <c r="BF19" s="41"/>
      <c r="BG19" s="61"/>
      <c r="BH19" s="85"/>
      <c r="BI19" s="85"/>
      <c r="BJ19" s="73"/>
      <c r="BK19" s="71"/>
      <c r="BL19" s="71"/>
      <c r="BM19" s="56"/>
    </row>
    <row r="20" spans="1:65" s="52" customFormat="1" ht="14" x14ac:dyDescent="0.3">
      <c r="A20" s="53"/>
      <c r="B20" s="184"/>
      <c r="C20" s="71"/>
      <c r="D20" s="55"/>
      <c r="E20" s="55"/>
      <c r="F20" s="58"/>
      <c r="G20" s="54"/>
      <c r="H20" s="54"/>
      <c r="I20" s="56"/>
      <c r="J20" s="72"/>
      <c r="K20" s="72"/>
      <c r="L20" s="55"/>
      <c r="M20" s="55"/>
      <c r="N20" s="58"/>
      <c r="O20" s="57"/>
      <c r="P20" s="57"/>
      <c r="Q20" s="56"/>
      <c r="R20" s="40"/>
      <c r="S20" s="40"/>
      <c r="T20" s="85"/>
      <c r="U20" s="85"/>
      <c r="V20" s="58"/>
      <c r="W20" s="54"/>
      <c r="X20" s="54"/>
      <c r="Y20" s="56"/>
      <c r="Z20" s="94"/>
      <c r="AA20" s="94"/>
      <c r="AB20" s="85"/>
      <c r="AC20" s="85"/>
      <c r="AD20" s="58"/>
      <c r="AE20" s="58"/>
      <c r="AF20" s="58"/>
      <c r="AG20" s="56"/>
      <c r="AH20" s="41"/>
      <c r="AI20" s="41"/>
      <c r="AJ20" s="60"/>
      <c r="AK20" s="60"/>
      <c r="AL20" s="73"/>
      <c r="AM20" s="71"/>
      <c r="AN20" s="71"/>
      <c r="AO20" s="56"/>
      <c r="AP20" s="41"/>
      <c r="AQ20" s="41"/>
      <c r="AR20" s="85"/>
      <c r="AS20" s="85"/>
      <c r="AT20" s="73"/>
      <c r="AU20" s="71"/>
      <c r="AV20" s="71"/>
      <c r="AW20" s="56"/>
      <c r="AX20" s="41"/>
      <c r="AY20" s="41"/>
      <c r="AZ20" s="85"/>
      <c r="BA20" s="85"/>
      <c r="BB20" s="73"/>
      <c r="BC20" s="71"/>
      <c r="BD20" s="71"/>
      <c r="BE20" s="56"/>
      <c r="BF20" s="41"/>
      <c r="BG20" s="61"/>
      <c r="BH20" s="85"/>
      <c r="BI20" s="85"/>
      <c r="BJ20" s="73"/>
      <c r="BK20" s="71"/>
      <c r="BL20" s="71"/>
      <c r="BM20" s="56"/>
    </row>
    <row r="21" spans="1:65" s="43" customFormat="1" ht="14" x14ac:dyDescent="0.3">
      <c r="A21" s="53"/>
      <c r="B21" s="184"/>
      <c r="C21" s="71"/>
      <c r="D21" s="55"/>
      <c r="E21" s="55"/>
      <c r="F21" s="58"/>
      <c r="G21" s="54"/>
      <c r="H21" s="54"/>
      <c r="I21" s="56"/>
      <c r="J21" s="72"/>
      <c r="K21" s="72"/>
      <c r="L21" s="55"/>
      <c r="M21" s="55"/>
      <c r="N21" s="58"/>
      <c r="O21" s="57"/>
      <c r="P21" s="57"/>
      <c r="Q21" s="56"/>
      <c r="R21" s="40"/>
      <c r="S21" s="40"/>
      <c r="T21" s="85"/>
      <c r="U21" s="85"/>
      <c r="V21" s="58"/>
      <c r="W21" s="54"/>
      <c r="X21" s="54"/>
      <c r="Y21" s="56"/>
      <c r="Z21" s="94"/>
      <c r="AA21" s="94"/>
      <c r="AB21" s="85"/>
      <c r="AC21" s="85"/>
      <c r="AD21" s="58"/>
      <c r="AE21" s="58"/>
      <c r="AF21" s="58"/>
      <c r="AG21" s="56"/>
      <c r="AH21" s="41"/>
      <c r="AI21" s="41"/>
      <c r="AJ21" s="60"/>
      <c r="AK21" s="60"/>
      <c r="AL21" s="73"/>
      <c r="AM21" s="71"/>
      <c r="AN21" s="71"/>
      <c r="AO21" s="56"/>
      <c r="AP21" s="41"/>
      <c r="AQ21" s="41"/>
      <c r="AR21" s="85"/>
      <c r="AS21" s="85"/>
      <c r="AT21" s="73"/>
      <c r="AU21" s="71"/>
      <c r="AV21" s="71"/>
      <c r="AW21" s="56"/>
      <c r="AX21" s="41"/>
      <c r="AY21" s="41"/>
      <c r="AZ21" s="85"/>
      <c r="BA21" s="85"/>
      <c r="BB21" s="73"/>
      <c r="BC21" s="71"/>
      <c r="BD21" s="71"/>
      <c r="BE21" s="56"/>
      <c r="BF21" s="41"/>
      <c r="BG21" s="61"/>
      <c r="BH21" s="85"/>
      <c r="BI21" s="85"/>
      <c r="BJ21" s="73"/>
      <c r="BK21" s="71"/>
      <c r="BL21" s="71"/>
      <c r="BM21" s="56"/>
    </row>
    <row r="22" spans="1:65" s="43" customFormat="1" ht="14" x14ac:dyDescent="0.3">
      <c r="A22" s="53"/>
      <c r="B22" s="184"/>
      <c r="C22" s="71"/>
      <c r="D22" s="55"/>
      <c r="E22" s="55"/>
      <c r="F22" s="58"/>
      <c r="G22" s="54"/>
      <c r="H22" s="54"/>
      <c r="I22" s="56"/>
      <c r="J22" s="72"/>
      <c r="K22" s="72"/>
      <c r="L22" s="55"/>
      <c r="M22" s="55"/>
      <c r="N22" s="58"/>
      <c r="O22" s="57"/>
      <c r="P22" s="57"/>
      <c r="Q22" s="56"/>
      <c r="R22" s="40"/>
      <c r="S22" s="40"/>
      <c r="T22" s="85"/>
      <c r="U22" s="85"/>
      <c r="V22" s="58"/>
      <c r="W22" s="54"/>
      <c r="X22" s="54"/>
      <c r="Y22" s="56"/>
      <c r="Z22" s="94"/>
      <c r="AA22" s="94"/>
      <c r="AB22" s="85"/>
      <c r="AC22" s="85"/>
      <c r="AD22" s="58"/>
      <c r="AE22" s="58"/>
      <c r="AF22" s="58"/>
      <c r="AG22" s="56"/>
      <c r="AH22" s="41"/>
      <c r="AI22" s="41"/>
      <c r="AJ22" s="60"/>
      <c r="AK22" s="60"/>
      <c r="AL22" s="73"/>
      <c r="AM22" s="71"/>
      <c r="AN22" s="71"/>
      <c r="AO22" s="56"/>
      <c r="AP22" s="41"/>
      <c r="AQ22" s="41"/>
      <c r="AR22" s="85"/>
      <c r="AS22" s="85"/>
      <c r="AT22" s="73"/>
      <c r="AU22" s="71"/>
      <c r="AV22" s="71"/>
      <c r="AW22" s="56"/>
      <c r="AX22" s="41"/>
      <c r="AY22" s="41"/>
      <c r="AZ22" s="85"/>
      <c r="BA22" s="85"/>
      <c r="BB22" s="73"/>
      <c r="BC22" s="71"/>
      <c r="BD22" s="71"/>
      <c r="BE22" s="56"/>
      <c r="BF22" s="41"/>
      <c r="BG22" s="61"/>
      <c r="BH22" s="85"/>
      <c r="BI22" s="85"/>
      <c r="BJ22" s="73"/>
      <c r="BK22" s="71"/>
      <c r="BL22" s="71"/>
      <c r="BM22" s="56"/>
    </row>
    <row r="23" spans="1:65" s="43" customFormat="1" ht="14" x14ac:dyDescent="0.3">
      <c r="A23" s="53"/>
      <c r="B23" s="184"/>
      <c r="C23" s="71"/>
      <c r="D23" s="55"/>
      <c r="E23" s="55"/>
      <c r="F23" s="58"/>
      <c r="G23" s="54"/>
      <c r="H23" s="54"/>
      <c r="I23" s="56"/>
      <c r="J23" s="72"/>
      <c r="K23" s="72"/>
      <c r="L23" s="55"/>
      <c r="M23" s="55"/>
      <c r="N23" s="58"/>
      <c r="O23" s="57"/>
      <c r="P23" s="57"/>
      <c r="Q23" s="56"/>
      <c r="R23" s="40"/>
      <c r="S23" s="40"/>
      <c r="T23" s="85"/>
      <c r="U23" s="85"/>
      <c r="V23" s="58"/>
      <c r="W23" s="54"/>
      <c r="X23" s="54"/>
      <c r="Y23" s="56"/>
      <c r="Z23" s="94"/>
      <c r="AA23" s="94"/>
      <c r="AB23" s="85"/>
      <c r="AC23" s="85"/>
      <c r="AD23" s="58"/>
      <c r="AE23" s="58"/>
      <c r="AF23" s="58"/>
      <c r="AG23" s="56"/>
      <c r="AH23" s="41"/>
      <c r="AI23" s="41"/>
      <c r="AJ23" s="60"/>
      <c r="AK23" s="60"/>
      <c r="AL23" s="73"/>
      <c r="AM23" s="71"/>
      <c r="AN23" s="71"/>
      <c r="AO23" s="56"/>
      <c r="AP23" s="41"/>
      <c r="AQ23" s="41"/>
      <c r="AR23" s="85"/>
      <c r="AS23" s="85"/>
      <c r="AT23" s="73"/>
      <c r="AU23" s="71"/>
      <c r="AV23" s="71"/>
      <c r="AW23" s="56"/>
      <c r="AX23" s="41"/>
      <c r="AY23" s="41"/>
      <c r="AZ23" s="85"/>
      <c r="BA23" s="85"/>
      <c r="BB23" s="73"/>
      <c r="BC23" s="71"/>
      <c r="BD23" s="71"/>
      <c r="BE23" s="56"/>
      <c r="BF23" s="41"/>
      <c r="BG23" s="61"/>
      <c r="BH23" s="85"/>
      <c r="BI23" s="85"/>
      <c r="BJ23" s="73"/>
      <c r="BK23" s="71"/>
      <c r="BL23" s="71"/>
      <c r="BM23" s="56"/>
    </row>
    <row r="24" spans="1:65" s="43" customFormat="1" ht="14" x14ac:dyDescent="0.3">
      <c r="A24" s="53"/>
      <c r="B24" s="184"/>
      <c r="C24" s="71"/>
      <c r="D24" s="55"/>
      <c r="E24" s="55"/>
      <c r="F24" s="58"/>
      <c r="G24" s="54"/>
      <c r="H24" s="54"/>
      <c r="I24" s="56"/>
      <c r="J24" s="72"/>
      <c r="K24" s="72"/>
      <c r="L24" s="55"/>
      <c r="M24" s="55"/>
      <c r="N24" s="58"/>
      <c r="O24" s="57"/>
      <c r="P24" s="57"/>
      <c r="Q24" s="56"/>
      <c r="R24" s="40"/>
      <c r="S24" s="40"/>
      <c r="T24" s="85"/>
      <c r="U24" s="85"/>
      <c r="V24" s="58"/>
      <c r="W24" s="54"/>
      <c r="X24" s="54"/>
      <c r="Y24" s="56"/>
      <c r="Z24" s="94"/>
      <c r="AA24" s="94"/>
      <c r="AB24" s="85"/>
      <c r="AC24" s="85"/>
      <c r="AD24" s="58"/>
      <c r="AE24" s="58"/>
      <c r="AF24" s="58"/>
      <c r="AG24" s="56"/>
      <c r="AH24" s="41"/>
      <c r="AI24" s="41"/>
      <c r="AJ24" s="60"/>
      <c r="AK24" s="60"/>
      <c r="AL24" s="73"/>
      <c r="AM24" s="71"/>
      <c r="AN24" s="71"/>
      <c r="AO24" s="56"/>
      <c r="AP24" s="41"/>
      <c r="AQ24" s="41"/>
      <c r="AR24" s="85"/>
      <c r="AS24" s="85"/>
      <c r="AT24" s="73"/>
      <c r="AU24" s="71"/>
      <c r="AV24" s="71"/>
      <c r="AW24" s="56"/>
      <c r="AX24" s="41"/>
      <c r="AY24" s="41"/>
      <c r="AZ24" s="85"/>
      <c r="BA24" s="85"/>
      <c r="BB24" s="73"/>
      <c r="BC24" s="71"/>
      <c r="BD24" s="71"/>
      <c r="BE24" s="56"/>
      <c r="BF24" s="41"/>
      <c r="BG24" s="61"/>
      <c r="BH24" s="85"/>
      <c r="BI24" s="85"/>
      <c r="BJ24" s="73"/>
      <c r="BK24" s="71"/>
      <c r="BL24" s="71"/>
      <c r="BM24" s="56"/>
    </row>
    <row r="25" spans="1:65" s="43" customFormat="1" ht="14" x14ac:dyDescent="0.3">
      <c r="A25" s="53"/>
      <c r="B25" s="184"/>
      <c r="C25" s="71"/>
      <c r="D25" s="55"/>
      <c r="E25" s="55"/>
      <c r="F25" s="58"/>
      <c r="G25" s="54"/>
      <c r="H25" s="54"/>
      <c r="I25" s="56"/>
      <c r="J25" s="72"/>
      <c r="K25" s="72"/>
      <c r="L25" s="55"/>
      <c r="M25" s="55"/>
      <c r="N25" s="58"/>
      <c r="O25" s="57"/>
      <c r="P25" s="57"/>
      <c r="Q25" s="56"/>
      <c r="R25" s="40"/>
      <c r="S25" s="40"/>
      <c r="T25" s="85"/>
      <c r="U25" s="85"/>
      <c r="V25" s="58"/>
      <c r="W25" s="54"/>
      <c r="X25" s="54"/>
      <c r="Y25" s="56"/>
      <c r="Z25" s="94"/>
      <c r="AA25" s="94"/>
      <c r="AB25" s="85"/>
      <c r="AC25" s="85"/>
      <c r="AD25" s="58"/>
      <c r="AE25" s="58"/>
      <c r="AF25" s="58"/>
      <c r="AG25" s="56"/>
      <c r="AH25" s="41"/>
      <c r="AI25" s="41"/>
      <c r="AJ25" s="60"/>
      <c r="AK25" s="60"/>
      <c r="AL25" s="73"/>
      <c r="AM25" s="71"/>
      <c r="AN25" s="71"/>
      <c r="AO25" s="56"/>
      <c r="AP25" s="41"/>
      <c r="AQ25" s="41"/>
      <c r="AR25" s="85"/>
      <c r="AS25" s="85"/>
      <c r="AT25" s="73"/>
      <c r="AU25" s="71"/>
      <c r="AV25" s="71"/>
      <c r="AW25" s="56"/>
      <c r="AX25" s="41"/>
      <c r="AY25" s="41"/>
      <c r="AZ25" s="85"/>
      <c r="BA25" s="85"/>
      <c r="BB25" s="73"/>
      <c r="BC25" s="71"/>
      <c r="BD25" s="71"/>
      <c r="BE25" s="56"/>
      <c r="BF25" s="41"/>
      <c r="BG25" s="61"/>
      <c r="BH25" s="85"/>
      <c r="BI25" s="85"/>
      <c r="BJ25" s="73"/>
      <c r="BK25" s="71"/>
      <c r="BL25" s="71"/>
      <c r="BM25" s="56"/>
    </row>
    <row r="26" spans="1:65" s="43" customFormat="1" ht="14" x14ac:dyDescent="0.3">
      <c r="A26" s="53"/>
      <c r="B26" s="184"/>
      <c r="C26" s="71"/>
      <c r="D26" s="55"/>
      <c r="E26" s="55"/>
      <c r="F26" s="58"/>
      <c r="G26" s="54"/>
      <c r="H26" s="54"/>
      <c r="I26" s="56"/>
      <c r="J26" s="72"/>
      <c r="K26" s="72"/>
      <c r="L26" s="55"/>
      <c r="M26" s="55"/>
      <c r="N26" s="58"/>
      <c r="O26" s="57"/>
      <c r="P26" s="57"/>
      <c r="Q26" s="56"/>
      <c r="R26" s="40"/>
      <c r="S26" s="40"/>
      <c r="T26" s="85"/>
      <c r="U26" s="85"/>
      <c r="V26" s="58"/>
      <c r="W26" s="54"/>
      <c r="X26" s="54"/>
      <c r="Y26" s="56"/>
      <c r="Z26" s="94"/>
      <c r="AA26" s="94"/>
      <c r="AB26" s="85"/>
      <c r="AC26" s="85"/>
      <c r="AD26" s="58"/>
      <c r="AE26" s="58"/>
      <c r="AF26" s="58"/>
      <c r="AG26" s="56"/>
      <c r="AH26" s="41"/>
      <c r="AI26" s="41"/>
      <c r="AJ26" s="60"/>
      <c r="AK26" s="60"/>
      <c r="AL26" s="73"/>
      <c r="AM26" s="71"/>
      <c r="AN26" s="71"/>
      <c r="AO26" s="56"/>
      <c r="AP26" s="41"/>
      <c r="AQ26" s="41"/>
      <c r="AR26" s="85"/>
      <c r="AS26" s="85"/>
      <c r="AT26" s="73"/>
      <c r="AU26" s="71"/>
      <c r="AV26" s="71"/>
      <c r="AW26" s="56"/>
      <c r="AX26" s="41"/>
      <c r="AY26" s="41"/>
      <c r="AZ26" s="85"/>
      <c r="BA26" s="85"/>
      <c r="BB26" s="73"/>
      <c r="BC26" s="71"/>
      <c r="BD26" s="71"/>
      <c r="BE26" s="56"/>
      <c r="BF26" s="41"/>
      <c r="BG26" s="61"/>
      <c r="BH26" s="85"/>
      <c r="BI26" s="85"/>
      <c r="BJ26" s="73"/>
      <c r="BK26" s="71"/>
      <c r="BL26" s="71"/>
      <c r="BM26" s="56"/>
    </row>
    <row r="27" spans="1:65" s="43" customFormat="1" ht="14" x14ac:dyDescent="0.3">
      <c r="A27" s="53">
        <f>+Zn!B25</f>
        <v>0</v>
      </c>
      <c r="B27" s="184">
        <f>+Zn!D25</f>
        <v>0</v>
      </c>
      <c r="C27" s="71">
        <f>+Zn!E25</f>
        <v>0</v>
      </c>
      <c r="D27" s="55"/>
      <c r="E27" s="55"/>
      <c r="F27" s="58">
        <f t="shared" ref="F27:F40" si="32">IF(D27=0,AVERAGE(B27,C27),IF(OR(AND(B27&lt;C27,B27&gt;D27),AND(B27&gt;C27,B27&lt;D27)),B27,IF(OR(AND(C27&lt;B27,C27&gt;D27),AND(C27&gt;B27,C27&lt;D27)),C27,D27)))</f>
        <v>0</v>
      </c>
      <c r="G27" s="54">
        <f t="shared" ref="G27:G40" si="33">IF(D27=0,0,IF(D27&gt;B27,(D27-B27),(B27-D27)))</f>
        <v>0</v>
      </c>
      <c r="H27" s="54">
        <f t="shared" ref="H27:H40" si="34">IF(D27=0,0,IF(C27&gt;D27,(C27-D27),(D27-C27)))</f>
        <v>0</v>
      </c>
      <c r="I27" s="56" t="str">
        <f t="shared" ref="I27:I40" si="35">IF(D27=0,"",IF(H27=G27,"50%",IF(H27&gt;G27,"CIEN","MMP")))</f>
        <v/>
      </c>
      <c r="J27" s="72">
        <f>+Zn!J25</f>
        <v>0</v>
      </c>
      <c r="K27" s="72">
        <f>+Zn!K25</f>
        <v>0</v>
      </c>
      <c r="L27" s="55"/>
      <c r="M27" s="55"/>
      <c r="N27" s="58">
        <f t="shared" ref="N27:N40" si="36">IF(L27=0,AVERAGE(J27,K27),IF(OR(AND(J27&lt;K27,J27&gt;L27),AND(J27&gt;K27,J27&lt;L27)),J27,IF(OR(AND(K27&lt;J27,K27&gt;L27),AND(K27&gt;J27,K27&lt;L27)),K27,L27)))</f>
        <v>0</v>
      </c>
      <c r="O27" s="57">
        <f t="shared" ref="O27:O40" si="37">IF(L27=0,0,IF(L27&gt;J27,(L27-J27),(J27-L27)))</f>
        <v>0</v>
      </c>
      <c r="P27" s="57">
        <f t="shared" ref="P27:P40" si="38">IF(L27=0,0,IF(K27&gt;L27,(K27-L27),(L27-K27)))</f>
        <v>0</v>
      </c>
      <c r="Q27" s="56" t="str">
        <f t="shared" ref="Q27:Q40" si="39">IF(L27=0,"",IF(P27=O27,"50%",IF(P27&gt;O27,"CIEN","MMP")))</f>
        <v/>
      </c>
      <c r="R27" s="40">
        <f>+Zn!P25</f>
        <v>0</v>
      </c>
      <c r="S27" s="40">
        <f>+Zn!Q25</f>
        <v>0</v>
      </c>
      <c r="T27" s="85"/>
      <c r="U27" s="85"/>
      <c r="V27" s="58">
        <f t="shared" ref="V27:V40" si="40">IF(T27=0,AVERAGE(R27,S27),IF(OR(AND(R27&lt;S27,R27&gt;T27),AND(R27&gt;S27,R27&lt;T27)),R27,IF(OR(AND(S27&lt;R27,S27&gt;T27),AND(S27&gt;R27,S27&lt;T27)),S27,T27)))</f>
        <v>0</v>
      </c>
      <c r="W27" s="54">
        <f t="shared" ref="W27:W40" si="41">IF(T27=0,0,IF(T27&gt;R27,(T27-R27),(R27-T27)))</f>
        <v>0</v>
      </c>
      <c r="X27" s="54">
        <f t="shared" ref="X27:X40" si="42">IF(T27=0,0,IF(S27&gt;T27,(S27-T27),(T27-S27)))</f>
        <v>0</v>
      </c>
      <c r="Y27" s="56" t="str">
        <f t="shared" ref="Y27:Y40" si="43">IF(T27=0,"",IF(X27=W27,"50%",IF(X27&gt;W27,"CIEN","MMP")))</f>
        <v/>
      </c>
      <c r="Z27" s="94">
        <f>+Zn!AN25</f>
        <v>0</v>
      </c>
      <c r="AA27" s="94">
        <f>+Zn!AO25</f>
        <v>0</v>
      </c>
      <c r="AB27" s="85"/>
      <c r="AC27" s="85"/>
      <c r="AD27" s="58">
        <f t="shared" ref="AD27:AD40" si="44">IF(AB27=0,AVERAGE(Z27,AA27),IF(OR(AND(Z27&lt;AA27,Z27&gt;AB27),AND(Z27&gt;AA27,Z27&lt;AB27)),Z27,IF(OR(AND(AA27&lt;Z27,AA27&gt;AB27),AND(AA27&gt;Z27,AA27&lt;AB27)),AA27,AB27)))</f>
        <v>0</v>
      </c>
      <c r="AE27" s="58">
        <f t="shared" ref="AE27:AE40" si="45">IF(Z27&gt;AB27,(Z27-AB27),(AB27-Z27))</f>
        <v>0</v>
      </c>
      <c r="AF27" s="58">
        <f t="shared" ref="AF27:AF40" si="46">IF(AA27&gt;AB27,(AA27-AB27),(AB27-AA27))</f>
        <v>0</v>
      </c>
      <c r="AG27" s="56" t="str">
        <f t="shared" ref="AG27:AG40" si="47">IF(AB27=0,"",IF(AF27=AE27,"50%",IF(AF27&gt;AE27,"CIEN","MMP")))</f>
        <v/>
      </c>
      <c r="AH27" s="41">
        <f>+Zn!V25</f>
        <v>0</v>
      </c>
      <c r="AI27" s="41">
        <f>+Zn!W25</f>
        <v>0</v>
      </c>
      <c r="AJ27" s="60"/>
      <c r="AK27" s="60"/>
      <c r="AL27" s="73">
        <f t="shared" ref="AL27:AL40" si="48">IF(AJ27=0,AVERAGE(AH27,AI27),IF(OR(AND(AH27&lt;AI27,AH27&gt;AJ27),AND(AH27&gt;AI27,AH27&lt;AJ27)),AH27,IF(OR(AND(AI27&lt;AH27,AI27&gt;AJ27),AND(AI27&gt;AH27,AI27&lt;AJ27)),AI27,AJ27)))</f>
        <v>0</v>
      </c>
      <c r="AM27" s="71">
        <f t="shared" ref="AM27:AM40" si="49">IF(AJ27&gt;AH27,(AJ27-AH27),(AH27-AJ27))</f>
        <v>0</v>
      </c>
      <c r="AN27" s="71">
        <f t="shared" ref="AN27:AN40" si="50">IF(AI27&gt;AJ27,(AI27-AJ27),(AJ27-AI27))</f>
        <v>0</v>
      </c>
      <c r="AO27" s="56" t="str">
        <f t="shared" ref="AO27:AO40" si="51">IF(AJ27=0,"",IF(AN27=AM27,"50%",IF(AN27&gt;AM27,"CIEN","MMP")))</f>
        <v/>
      </c>
      <c r="AP27" s="41">
        <f>+Zn!AH25</f>
        <v>0</v>
      </c>
      <c r="AQ27" s="41">
        <f>+Zn!AI25</f>
        <v>0</v>
      </c>
      <c r="AR27" s="85"/>
      <c r="AS27" s="85"/>
      <c r="AT27" s="73">
        <f t="shared" ref="AT27:AT40" si="52">IF(AR27=0,AVERAGE(AP27,AQ27),IF(OR(AND(AP27&lt;AQ27,AP27&gt;AR27),AND(AP27&gt;AQ27,AP27&lt;AR27)),AP27,IF(OR(AND(AQ27&lt;AP27,AQ27&gt;AR27),AND(AQ27&gt;AP27,AQ27&lt;AR27)),AQ27,AR27)))</f>
        <v>0</v>
      </c>
      <c r="AU27" s="71">
        <f t="shared" ref="AU27:AU40" si="53">IF(AR27&gt;AP27,(AR27-AP27),(AP27-AR27))</f>
        <v>0</v>
      </c>
      <c r="AV27" s="71">
        <f t="shared" ref="AV27:AV40" si="54">IF(AQ27&gt;AR27,(AQ27-AR27),(AR27-AQ27))</f>
        <v>0</v>
      </c>
      <c r="AW27" s="56" t="str">
        <f t="shared" ref="AW27:AW40" si="55">IF(AR27=0,"",IF(AV27=AU27,"50%",IF(AV27&gt;AU27,"CIEN","MMP")))</f>
        <v/>
      </c>
      <c r="AX27" s="41">
        <f>+Zn!AT25</f>
        <v>0</v>
      </c>
      <c r="AY27" s="41">
        <f>+Zn!AU25</f>
        <v>0</v>
      </c>
      <c r="AZ27" s="85"/>
      <c r="BA27" s="85"/>
      <c r="BB27" s="73">
        <f t="shared" ref="BB27:BB40" si="56">IF(AZ27=0,AVERAGE(AX27,AY27),IF(OR(AND(AX27&lt;AY27,AX27&gt;AZ27),AND(AX27&gt;AY27,AX27&lt;AZ27)),AX27,IF(OR(AND(AY27&lt;AX27,AY27&gt;AZ27),AND(AY27&gt;AX27,AY27&lt;AZ27)),AY27,AZ27)))</f>
        <v>0</v>
      </c>
      <c r="BC27" s="71">
        <f t="shared" ref="BC27:BC40" si="57">IF(AZ27&gt;AX27,(AZ27-AX27),(AX27-AZ27))</f>
        <v>0</v>
      </c>
      <c r="BD27" s="71">
        <f t="shared" ref="BD27:BD40" si="58">IF(AY27&gt;AZ27,(AY27-AZ27),(AZ27-AY27))</f>
        <v>0</v>
      </c>
      <c r="BE27" s="56" t="str">
        <f t="shared" ref="BE27:BE40" si="59">IF(AZ27=0,"",IF(BD27=BC27,"50%",IF(BD27&gt;BC27,"CIEN","MMP")))</f>
        <v/>
      </c>
      <c r="BF27" s="41">
        <f>+Zn!AB25</f>
        <v>0</v>
      </c>
      <c r="BG27" s="61">
        <f>+Zn!AC25</f>
        <v>0</v>
      </c>
      <c r="BH27" s="85"/>
      <c r="BI27" s="85"/>
      <c r="BJ27" s="73">
        <f t="shared" ref="BJ27:BJ40" si="60">IF(BH27=0,AVERAGE(BF27,BG27),IF(OR(AND(BF27&lt;BG27,BF27&gt;BH27),AND(BF27&gt;BG27,BF27&lt;BH27)),BF27,IF(OR(AND(BG27&lt;BF27,BG27&gt;BH27),AND(BG27&gt;BF27,BG27&lt;BH27)),BG27,BH27)))</f>
        <v>0</v>
      </c>
      <c r="BK27" s="71">
        <f t="shared" ref="BK27:BK40" si="61">IF(BH27&gt;BF27,(BH27-BF27),(BF27-BH27))</f>
        <v>0</v>
      </c>
      <c r="BL27" s="71">
        <f t="shared" ref="BL27:BL40" si="62">IF(BG27&gt;BH27,(BG27-BH27),(BH27-BG27))</f>
        <v>0</v>
      </c>
      <c r="BM27" s="56" t="str">
        <f t="shared" ref="BM27:BM40" si="63">IF(BH27=0,"",IF(BL27=BK27,"50%",IF(BL27&gt;BK27,"CIEN","MMP")))</f>
        <v/>
      </c>
    </row>
    <row r="28" spans="1:65" s="43" customFormat="1" ht="14" x14ac:dyDescent="0.3">
      <c r="A28" s="53">
        <f>+Zn!B26</f>
        <v>0</v>
      </c>
      <c r="B28" s="184">
        <f>+Zn!D26</f>
        <v>0</v>
      </c>
      <c r="C28" s="71">
        <f>+Zn!E26</f>
        <v>0</v>
      </c>
      <c r="D28" s="55"/>
      <c r="E28" s="55"/>
      <c r="F28" s="58">
        <f t="shared" si="32"/>
        <v>0</v>
      </c>
      <c r="G28" s="54">
        <f t="shared" si="33"/>
        <v>0</v>
      </c>
      <c r="H28" s="54">
        <f t="shared" si="34"/>
        <v>0</v>
      </c>
      <c r="I28" s="56" t="str">
        <f t="shared" si="35"/>
        <v/>
      </c>
      <c r="J28" s="72">
        <f>+Zn!J26</f>
        <v>0</v>
      </c>
      <c r="K28" s="72">
        <f>+Zn!K26</f>
        <v>0</v>
      </c>
      <c r="L28" s="55"/>
      <c r="M28" s="55"/>
      <c r="N28" s="58">
        <f t="shared" si="36"/>
        <v>0</v>
      </c>
      <c r="O28" s="57">
        <f t="shared" si="37"/>
        <v>0</v>
      </c>
      <c r="P28" s="57">
        <f t="shared" si="38"/>
        <v>0</v>
      </c>
      <c r="Q28" s="56" t="str">
        <f t="shared" si="39"/>
        <v/>
      </c>
      <c r="R28" s="40">
        <f>+Zn!P26</f>
        <v>0</v>
      </c>
      <c r="S28" s="40">
        <f>+Zn!Q26</f>
        <v>0</v>
      </c>
      <c r="T28" s="85"/>
      <c r="U28" s="85"/>
      <c r="V28" s="58">
        <f t="shared" si="40"/>
        <v>0</v>
      </c>
      <c r="W28" s="54">
        <f t="shared" si="41"/>
        <v>0</v>
      </c>
      <c r="X28" s="54">
        <f t="shared" si="42"/>
        <v>0</v>
      </c>
      <c r="Y28" s="56" t="str">
        <f t="shared" si="43"/>
        <v/>
      </c>
      <c r="Z28" s="94">
        <f>+Zn!AN26</f>
        <v>0</v>
      </c>
      <c r="AA28" s="94">
        <f>+Zn!AO26</f>
        <v>0</v>
      </c>
      <c r="AB28" s="85"/>
      <c r="AC28" s="85"/>
      <c r="AD28" s="58">
        <f t="shared" si="44"/>
        <v>0</v>
      </c>
      <c r="AE28" s="58">
        <f t="shared" si="45"/>
        <v>0</v>
      </c>
      <c r="AF28" s="58">
        <f t="shared" si="46"/>
        <v>0</v>
      </c>
      <c r="AG28" s="56" t="str">
        <f t="shared" si="47"/>
        <v/>
      </c>
      <c r="AH28" s="41">
        <f>+Zn!V26</f>
        <v>0</v>
      </c>
      <c r="AI28" s="41">
        <f>+Zn!W26</f>
        <v>0</v>
      </c>
      <c r="AJ28" s="60"/>
      <c r="AK28" s="60"/>
      <c r="AL28" s="73">
        <f t="shared" si="48"/>
        <v>0</v>
      </c>
      <c r="AM28" s="71">
        <f t="shared" si="49"/>
        <v>0</v>
      </c>
      <c r="AN28" s="71">
        <f t="shared" si="50"/>
        <v>0</v>
      </c>
      <c r="AO28" s="56" t="str">
        <f t="shared" si="51"/>
        <v/>
      </c>
      <c r="AP28" s="41">
        <f>+Zn!AH26</f>
        <v>0</v>
      </c>
      <c r="AQ28" s="41">
        <f>+Zn!AI26</f>
        <v>0</v>
      </c>
      <c r="AR28" s="85"/>
      <c r="AS28" s="85"/>
      <c r="AT28" s="73">
        <f t="shared" si="52"/>
        <v>0</v>
      </c>
      <c r="AU28" s="71">
        <f t="shared" si="53"/>
        <v>0</v>
      </c>
      <c r="AV28" s="71">
        <f t="shared" si="54"/>
        <v>0</v>
      </c>
      <c r="AW28" s="56" t="str">
        <f t="shared" si="55"/>
        <v/>
      </c>
      <c r="AX28" s="41">
        <f>+Zn!AT26</f>
        <v>0</v>
      </c>
      <c r="AY28" s="41">
        <f>+Zn!AU26</f>
        <v>0</v>
      </c>
      <c r="AZ28" s="85"/>
      <c r="BA28" s="85"/>
      <c r="BB28" s="73">
        <f t="shared" si="56"/>
        <v>0</v>
      </c>
      <c r="BC28" s="71">
        <f t="shared" si="57"/>
        <v>0</v>
      </c>
      <c r="BD28" s="71">
        <f t="shared" si="58"/>
        <v>0</v>
      </c>
      <c r="BE28" s="56" t="str">
        <f t="shared" si="59"/>
        <v/>
      </c>
      <c r="BF28" s="41">
        <f>+Zn!AB26</f>
        <v>0</v>
      </c>
      <c r="BG28" s="61">
        <f>+Zn!AC26</f>
        <v>0</v>
      </c>
      <c r="BH28" s="85"/>
      <c r="BI28" s="85"/>
      <c r="BJ28" s="73">
        <f t="shared" si="60"/>
        <v>0</v>
      </c>
      <c r="BK28" s="71">
        <f t="shared" si="61"/>
        <v>0</v>
      </c>
      <c r="BL28" s="71">
        <f t="shared" si="62"/>
        <v>0</v>
      </c>
      <c r="BM28" s="56" t="str">
        <f t="shared" si="63"/>
        <v/>
      </c>
    </row>
    <row r="29" spans="1:65" s="43" customFormat="1" ht="14" x14ac:dyDescent="0.3">
      <c r="A29" s="53">
        <f>+Zn!B27</f>
        <v>0</v>
      </c>
      <c r="B29" s="184">
        <f>+Zn!D27</f>
        <v>0</v>
      </c>
      <c r="C29" s="71">
        <f>+Zn!E27</f>
        <v>0</v>
      </c>
      <c r="D29" s="55"/>
      <c r="E29" s="55"/>
      <c r="F29" s="58">
        <f t="shared" si="32"/>
        <v>0</v>
      </c>
      <c r="G29" s="54">
        <f t="shared" si="33"/>
        <v>0</v>
      </c>
      <c r="H29" s="54">
        <f t="shared" si="34"/>
        <v>0</v>
      </c>
      <c r="I29" s="56" t="str">
        <f t="shared" si="35"/>
        <v/>
      </c>
      <c r="J29" s="72">
        <f>+Zn!J27</f>
        <v>0</v>
      </c>
      <c r="K29" s="72">
        <f>+Zn!K27</f>
        <v>0</v>
      </c>
      <c r="L29" s="55"/>
      <c r="M29" s="55"/>
      <c r="N29" s="58">
        <f t="shared" si="36"/>
        <v>0</v>
      </c>
      <c r="O29" s="57">
        <f t="shared" si="37"/>
        <v>0</v>
      </c>
      <c r="P29" s="57">
        <f t="shared" si="38"/>
        <v>0</v>
      </c>
      <c r="Q29" s="56" t="str">
        <f t="shared" si="39"/>
        <v/>
      </c>
      <c r="R29" s="40">
        <f>+Zn!P27</f>
        <v>0</v>
      </c>
      <c r="S29" s="40">
        <f>+Zn!Q27</f>
        <v>0</v>
      </c>
      <c r="T29" s="85"/>
      <c r="U29" s="85"/>
      <c r="V29" s="58">
        <f t="shared" si="40"/>
        <v>0</v>
      </c>
      <c r="W29" s="54">
        <f t="shared" si="41"/>
        <v>0</v>
      </c>
      <c r="X29" s="54">
        <f t="shared" si="42"/>
        <v>0</v>
      </c>
      <c r="Y29" s="56" t="str">
        <f t="shared" si="43"/>
        <v/>
      </c>
      <c r="Z29" s="94">
        <f>+Zn!AN27</f>
        <v>0</v>
      </c>
      <c r="AA29" s="94">
        <f>+Zn!AO27</f>
        <v>0</v>
      </c>
      <c r="AB29" s="85"/>
      <c r="AC29" s="85"/>
      <c r="AD29" s="58">
        <f t="shared" si="44"/>
        <v>0</v>
      </c>
      <c r="AE29" s="58">
        <f t="shared" si="45"/>
        <v>0</v>
      </c>
      <c r="AF29" s="58">
        <f t="shared" si="46"/>
        <v>0</v>
      </c>
      <c r="AG29" s="56" t="str">
        <f t="shared" si="47"/>
        <v/>
      </c>
      <c r="AH29" s="41">
        <f>+Zn!V27</f>
        <v>0</v>
      </c>
      <c r="AI29" s="41">
        <f>+Zn!W27</f>
        <v>0</v>
      </c>
      <c r="AJ29" s="60"/>
      <c r="AK29" s="60"/>
      <c r="AL29" s="73">
        <f t="shared" si="48"/>
        <v>0</v>
      </c>
      <c r="AM29" s="71">
        <f t="shared" si="49"/>
        <v>0</v>
      </c>
      <c r="AN29" s="71">
        <f t="shared" si="50"/>
        <v>0</v>
      </c>
      <c r="AO29" s="56" t="str">
        <f t="shared" si="51"/>
        <v/>
      </c>
      <c r="AP29" s="41">
        <f>+Zn!AH27</f>
        <v>0</v>
      </c>
      <c r="AQ29" s="41">
        <f>+Zn!AI27</f>
        <v>0</v>
      </c>
      <c r="AR29" s="85"/>
      <c r="AS29" s="85"/>
      <c r="AT29" s="73">
        <f t="shared" si="52"/>
        <v>0</v>
      </c>
      <c r="AU29" s="71">
        <f t="shared" si="53"/>
        <v>0</v>
      </c>
      <c r="AV29" s="71">
        <f t="shared" si="54"/>
        <v>0</v>
      </c>
      <c r="AW29" s="56" t="str">
        <f t="shared" si="55"/>
        <v/>
      </c>
      <c r="AX29" s="41">
        <f>+Zn!AT27</f>
        <v>0</v>
      </c>
      <c r="AY29" s="41">
        <f>+Zn!AU27</f>
        <v>0</v>
      </c>
      <c r="AZ29" s="85"/>
      <c r="BA29" s="85"/>
      <c r="BB29" s="73">
        <f t="shared" si="56"/>
        <v>0</v>
      </c>
      <c r="BC29" s="71">
        <f t="shared" si="57"/>
        <v>0</v>
      </c>
      <c r="BD29" s="71">
        <f t="shared" si="58"/>
        <v>0</v>
      </c>
      <c r="BE29" s="56" t="str">
        <f t="shared" si="59"/>
        <v/>
      </c>
      <c r="BF29" s="41">
        <f>+Zn!AB27</f>
        <v>0</v>
      </c>
      <c r="BG29" s="61">
        <f>+Zn!AC27</f>
        <v>0</v>
      </c>
      <c r="BH29" s="85"/>
      <c r="BI29" s="85"/>
      <c r="BJ29" s="73">
        <f t="shared" si="60"/>
        <v>0</v>
      </c>
      <c r="BK29" s="71">
        <f t="shared" si="61"/>
        <v>0</v>
      </c>
      <c r="BL29" s="71">
        <f t="shared" si="62"/>
        <v>0</v>
      </c>
      <c r="BM29" s="56" t="str">
        <f t="shared" si="63"/>
        <v/>
      </c>
    </row>
    <row r="30" spans="1:65" s="43" customFormat="1" ht="14" x14ac:dyDescent="0.3">
      <c r="A30" s="53">
        <f>+Zn!B28</f>
        <v>0</v>
      </c>
      <c r="B30" s="184">
        <f>+Zn!D28</f>
        <v>0</v>
      </c>
      <c r="C30" s="71">
        <f>+Zn!E28</f>
        <v>0</v>
      </c>
      <c r="D30" s="55"/>
      <c r="E30" s="55"/>
      <c r="F30" s="58">
        <f t="shared" si="32"/>
        <v>0</v>
      </c>
      <c r="G30" s="54">
        <f t="shared" si="33"/>
        <v>0</v>
      </c>
      <c r="H30" s="54">
        <f t="shared" si="34"/>
        <v>0</v>
      </c>
      <c r="I30" s="56" t="str">
        <f t="shared" si="35"/>
        <v/>
      </c>
      <c r="J30" s="72">
        <f>+Zn!J28</f>
        <v>0</v>
      </c>
      <c r="K30" s="72">
        <f>+Zn!K28</f>
        <v>0</v>
      </c>
      <c r="L30" s="55"/>
      <c r="M30" s="55"/>
      <c r="N30" s="58">
        <f t="shared" si="36"/>
        <v>0</v>
      </c>
      <c r="O30" s="57">
        <f t="shared" si="37"/>
        <v>0</v>
      </c>
      <c r="P30" s="57">
        <f t="shared" si="38"/>
        <v>0</v>
      </c>
      <c r="Q30" s="56" t="str">
        <f t="shared" si="39"/>
        <v/>
      </c>
      <c r="R30" s="40">
        <f>+Zn!P28</f>
        <v>0</v>
      </c>
      <c r="S30" s="40">
        <f>+Zn!Q28</f>
        <v>0</v>
      </c>
      <c r="T30" s="85"/>
      <c r="U30" s="85"/>
      <c r="V30" s="58">
        <f t="shared" si="40"/>
        <v>0</v>
      </c>
      <c r="W30" s="54">
        <f t="shared" si="41"/>
        <v>0</v>
      </c>
      <c r="X30" s="54">
        <f t="shared" si="42"/>
        <v>0</v>
      </c>
      <c r="Y30" s="56" t="str">
        <f t="shared" si="43"/>
        <v/>
      </c>
      <c r="Z30" s="94">
        <f>+Zn!AN28</f>
        <v>0</v>
      </c>
      <c r="AA30" s="94">
        <f>+Zn!AO28</f>
        <v>0</v>
      </c>
      <c r="AB30" s="85"/>
      <c r="AC30" s="85"/>
      <c r="AD30" s="58">
        <f t="shared" si="44"/>
        <v>0</v>
      </c>
      <c r="AE30" s="58">
        <f t="shared" si="45"/>
        <v>0</v>
      </c>
      <c r="AF30" s="58">
        <f t="shared" si="46"/>
        <v>0</v>
      </c>
      <c r="AG30" s="56" t="str">
        <f t="shared" si="47"/>
        <v/>
      </c>
      <c r="AH30" s="41">
        <f>+Zn!V28</f>
        <v>0</v>
      </c>
      <c r="AI30" s="41">
        <f>+Zn!W28</f>
        <v>0</v>
      </c>
      <c r="AJ30" s="60"/>
      <c r="AK30" s="60"/>
      <c r="AL30" s="73">
        <f t="shared" si="48"/>
        <v>0</v>
      </c>
      <c r="AM30" s="71">
        <f t="shared" si="49"/>
        <v>0</v>
      </c>
      <c r="AN30" s="71">
        <f t="shared" si="50"/>
        <v>0</v>
      </c>
      <c r="AO30" s="56" t="str">
        <f t="shared" si="51"/>
        <v/>
      </c>
      <c r="AP30" s="41">
        <f>+Zn!AH28</f>
        <v>0</v>
      </c>
      <c r="AQ30" s="41">
        <f>+Zn!AI28</f>
        <v>0</v>
      </c>
      <c r="AR30" s="85"/>
      <c r="AS30" s="85"/>
      <c r="AT30" s="73">
        <f t="shared" si="52"/>
        <v>0</v>
      </c>
      <c r="AU30" s="71">
        <f t="shared" si="53"/>
        <v>0</v>
      </c>
      <c r="AV30" s="71">
        <f t="shared" si="54"/>
        <v>0</v>
      </c>
      <c r="AW30" s="56" t="str">
        <f t="shared" si="55"/>
        <v/>
      </c>
      <c r="AX30" s="41">
        <f>+Zn!AT28</f>
        <v>0</v>
      </c>
      <c r="AY30" s="41">
        <f>+Zn!AU28</f>
        <v>0</v>
      </c>
      <c r="AZ30" s="85"/>
      <c r="BA30" s="85"/>
      <c r="BB30" s="73">
        <f t="shared" si="56"/>
        <v>0</v>
      </c>
      <c r="BC30" s="71">
        <f t="shared" si="57"/>
        <v>0</v>
      </c>
      <c r="BD30" s="71">
        <f t="shared" si="58"/>
        <v>0</v>
      </c>
      <c r="BE30" s="56" t="str">
        <f t="shared" si="59"/>
        <v/>
      </c>
      <c r="BF30" s="41">
        <f>+Zn!AB28</f>
        <v>0</v>
      </c>
      <c r="BG30" s="61">
        <f>+Zn!AC28</f>
        <v>0</v>
      </c>
      <c r="BH30" s="85"/>
      <c r="BI30" s="85"/>
      <c r="BJ30" s="73">
        <f t="shared" si="60"/>
        <v>0</v>
      </c>
      <c r="BK30" s="71">
        <f t="shared" si="61"/>
        <v>0</v>
      </c>
      <c r="BL30" s="71">
        <f t="shared" si="62"/>
        <v>0</v>
      </c>
      <c r="BM30" s="56" t="str">
        <f t="shared" si="63"/>
        <v/>
      </c>
    </row>
    <row r="31" spans="1:65" s="43" customFormat="1" ht="14" x14ac:dyDescent="0.3">
      <c r="A31" s="53">
        <f>+Zn!B29</f>
        <v>0</v>
      </c>
      <c r="B31" s="184">
        <f>+Zn!D29</f>
        <v>0</v>
      </c>
      <c r="C31" s="71">
        <f>+Zn!E29</f>
        <v>0</v>
      </c>
      <c r="D31" s="55"/>
      <c r="E31" s="55"/>
      <c r="F31" s="58">
        <f t="shared" si="32"/>
        <v>0</v>
      </c>
      <c r="G31" s="54">
        <f t="shared" si="33"/>
        <v>0</v>
      </c>
      <c r="H31" s="54">
        <f t="shared" si="34"/>
        <v>0</v>
      </c>
      <c r="I31" s="56" t="str">
        <f t="shared" si="35"/>
        <v/>
      </c>
      <c r="J31" s="72">
        <f>+Zn!J29</f>
        <v>0</v>
      </c>
      <c r="K31" s="72">
        <f>+Zn!K29</f>
        <v>0</v>
      </c>
      <c r="L31" s="55"/>
      <c r="M31" s="55"/>
      <c r="N31" s="58">
        <f t="shared" si="36"/>
        <v>0</v>
      </c>
      <c r="O31" s="57">
        <f t="shared" si="37"/>
        <v>0</v>
      </c>
      <c r="P31" s="57">
        <f t="shared" si="38"/>
        <v>0</v>
      </c>
      <c r="Q31" s="56" t="str">
        <f t="shared" si="39"/>
        <v/>
      </c>
      <c r="R31" s="40">
        <f>+Zn!P29</f>
        <v>0</v>
      </c>
      <c r="S31" s="40">
        <f>+Zn!Q29</f>
        <v>0</v>
      </c>
      <c r="T31" s="85"/>
      <c r="U31" s="85"/>
      <c r="V31" s="58">
        <f t="shared" si="40"/>
        <v>0</v>
      </c>
      <c r="W31" s="54">
        <f t="shared" si="41"/>
        <v>0</v>
      </c>
      <c r="X31" s="54">
        <f t="shared" si="42"/>
        <v>0</v>
      </c>
      <c r="Y31" s="56" t="str">
        <f t="shared" si="43"/>
        <v/>
      </c>
      <c r="Z31" s="94">
        <f>+Zn!AN29</f>
        <v>0</v>
      </c>
      <c r="AA31" s="94">
        <f>+Zn!AO29</f>
        <v>0</v>
      </c>
      <c r="AB31" s="85"/>
      <c r="AC31" s="85"/>
      <c r="AD31" s="58">
        <f t="shared" si="44"/>
        <v>0</v>
      </c>
      <c r="AE31" s="58">
        <f t="shared" si="45"/>
        <v>0</v>
      </c>
      <c r="AF31" s="58">
        <f t="shared" si="46"/>
        <v>0</v>
      </c>
      <c r="AG31" s="56" t="str">
        <f t="shared" si="47"/>
        <v/>
      </c>
      <c r="AH31" s="41">
        <f>+Zn!V29</f>
        <v>0</v>
      </c>
      <c r="AI31" s="41">
        <f>+Zn!W29</f>
        <v>0</v>
      </c>
      <c r="AJ31" s="60"/>
      <c r="AK31" s="60"/>
      <c r="AL31" s="73">
        <f t="shared" si="48"/>
        <v>0</v>
      </c>
      <c r="AM31" s="71">
        <f t="shared" si="49"/>
        <v>0</v>
      </c>
      <c r="AN31" s="71">
        <f t="shared" si="50"/>
        <v>0</v>
      </c>
      <c r="AO31" s="56" t="str">
        <f t="shared" si="51"/>
        <v/>
      </c>
      <c r="AP31" s="41">
        <f>+Zn!AH29</f>
        <v>0</v>
      </c>
      <c r="AQ31" s="41">
        <f>+Zn!AI29</f>
        <v>0</v>
      </c>
      <c r="AR31" s="85"/>
      <c r="AS31" s="85"/>
      <c r="AT31" s="73">
        <f t="shared" si="52"/>
        <v>0</v>
      </c>
      <c r="AU31" s="71">
        <f t="shared" si="53"/>
        <v>0</v>
      </c>
      <c r="AV31" s="71">
        <f t="shared" si="54"/>
        <v>0</v>
      </c>
      <c r="AW31" s="56" t="str">
        <f t="shared" si="55"/>
        <v/>
      </c>
      <c r="AX31" s="41">
        <f>+Zn!AT29</f>
        <v>0</v>
      </c>
      <c r="AY31" s="41">
        <f>+Zn!AU29</f>
        <v>0</v>
      </c>
      <c r="AZ31" s="85"/>
      <c r="BA31" s="85"/>
      <c r="BB31" s="73">
        <f t="shared" si="56"/>
        <v>0</v>
      </c>
      <c r="BC31" s="71">
        <f t="shared" si="57"/>
        <v>0</v>
      </c>
      <c r="BD31" s="71">
        <f t="shared" si="58"/>
        <v>0</v>
      </c>
      <c r="BE31" s="56" t="str">
        <f t="shared" si="59"/>
        <v/>
      </c>
      <c r="BF31" s="41">
        <f>+Zn!AB29</f>
        <v>0</v>
      </c>
      <c r="BG31" s="61">
        <f>+Zn!AC29</f>
        <v>0</v>
      </c>
      <c r="BH31" s="85"/>
      <c r="BI31" s="85"/>
      <c r="BJ31" s="73">
        <f t="shared" si="60"/>
        <v>0</v>
      </c>
      <c r="BK31" s="71">
        <f t="shared" si="61"/>
        <v>0</v>
      </c>
      <c r="BL31" s="71">
        <f t="shared" si="62"/>
        <v>0</v>
      </c>
      <c r="BM31" s="56" t="str">
        <f t="shared" si="63"/>
        <v/>
      </c>
    </row>
    <row r="32" spans="1:65" s="43" customFormat="1" ht="14" x14ac:dyDescent="0.3">
      <c r="A32" s="53">
        <f>+Zn!B30</f>
        <v>0</v>
      </c>
      <c r="B32" s="184">
        <f>+Zn!D30</f>
        <v>0</v>
      </c>
      <c r="C32" s="71">
        <f>+Zn!E30</f>
        <v>0</v>
      </c>
      <c r="D32" s="55"/>
      <c r="E32" s="55"/>
      <c r="F32" s="58">
        <f t="shared" si="32"/>
        <v>0</v>
      </c>
      <c r="G32" s="54">
        <f t="shared" si="33"/>
        <v>0</v>
      </c>
      <c r="H32" s="54">
        <f t="shared" si="34"/>
        <v>0</v>
      </c>
      <c r="I32" s="56" t="str">
        <f t="shared" si="35"/>
        <v/>
      </c>
      <c r="J32" s="72">
        <f>+Zn!J30</f>
        <v>0</v>
      </c>
      <c r="K32" s="72">
        <f>+Zn!K30</f>
        <v>0</v>
      </c>
      <c r="L32" s="55"/>
      <c r="M32" s="55"/>
      <c r="N32" s="58">
        <f t="shared" si="36"/>
        <v>0</v>
      </c>
      <c r="O32" s="57">
        <f t="shared" si="37"/>
        <v>0</v>
      </c>
      <c r="P32" s="57">
        <f t="shared" si="38"/>
        <v>0</v>
      </c>
      <c r="Q32" s="56" t="str">
        <f t="shared" si="39"/>
        <v/>
      </c>
      <c r="R32" s="40">
        <f>+Zn!P30</f>
        <v>0</v>
      </c>
      <c r="S32" s="40">
        <f>+Zn!Q30</f>
        <v>0</v>
      </c>
      <c r="T32" s="85"/>
      <c r="U32" s="85"/>
      <c r="V32" s="58">
        <f t="shared" si="40"/>
        <v>0</v>
      </c>
      <c r="W32" s="54">
        <f t="shared" si="41"/>
        <v>0</v>
      </c>
      <c r="X32" s="54">
        <f t="shared" si="42"/>
        <v>0</v>
      </c>
      <c r="Y32" s="56" t="str">
        <f t="shared" si="43"/>
        <v/>
      </c>
      <c r="Z32" s="94">
        <f>+Zn!AN30</f>
        <v>0</v>
      </c>
      <c r="AA32" s="94">
        <f>+Zn!AO30</f>
        <v>0</v>
      </c>
      <c r="AB32" s="85"/>
      <c r="AC32" s="85"/>
      <c r="AD32" s="58">
        <f t="shared" si="44"/>
        <v>0</v>
      </c>
      <c r="AE32" s="58">
        <f t="shared" si="45"/>
        <v>0</v>
      </c>
      <c r="AF32" s="58">
        <f t="shared" si="46"/>
        <v>0</v>
      </c>
      <c r="AG32" s="56" t="str">
        <f t="shared" si="47"/>
        <v/>
      </c>
      <c r="AH32" s="41">
        <f>+Zn!V30</f>
        <v>0</v>
      </c>
      <c r="AI32" s="41">
        <f>+Zn!W30</f>
        <v>0</v>
      </c>
      <c r="AJ32" s="60"/>
      <c r="AK32" s="60"/>
      <c r="AL32" s="73">
        <f t="shared" si="48"/>
        <v>0</v>
      </c>
      <c r="AM32" s="71">
        <f t="shared" si="49"/>
        <v>0</v>
      </c>
      <c r="AN32" s="71">
        <f t="shared" si="50"/>
        <v>0</v>
      </c>
      <c r="AO32" s="56" t="str">
        <f t="shared" si="51"/>
        <v/>
      </c>
      <c r="AP32" s="41">
        <f>+Zn!AH30</f>
        <v>0</v>
      </c>
      <c r="AQ32" s="41">
        <f>+Zn!AI30</f>
        <v>0</v>
      </c>
      <c r="AR32" s="85"/>
      <c r="AS32" s="85"/>
      <c r="AT32" s="73">
        <f t="shared" si="52"/>
        <v>0</v>
      </c>
      <c r="AU32" s="71">
        <f t="shared" si="53"/>
        <v>0</v>
      </c>
      <c r="AV32" s="71">
        <f t="shared" si="54"/>
        <v>0</v>
      </c>
      <c r="AW32" s="56" t="str">
        <f t="shared" si="55"/>
        <v/>
      </c>
      <c r="AX32" s="41">
        <f>+Zn!AT30</f>
        <v>0</v>
      </c>
      <c r="AY32" s="41">
        <f>+Zn!AU30</f>
        <v>0</v>
      </c>
      <c r="AZ32" s="85"/>
      <c r="BA32" s="85"/>
      <c r="BB32" s="73">
        <f t="shared" si="56"/>
        <v>0</v>
      </c>
      <c r="BC32" s="71">
        <f t="shared" si="57"/>
        <v>0</v>
      </c>
      <c r="BD32" s="71">
        <f t="shared" si="58"/>
        <v>0</v>
      </c>
      <c r="BE32" s="56" t="str">
        <f t="shared" si="59"/>
        <v/>
      </c>
      <c r="BF32" s="41">
        <f>+Zn!AB30</f>
        <v>0</v>
      </c>
      <c r="BG32" s="61">
        <f>+Zn!AC30</f>
        <v>0</v>
      </c>
      <c r="BH32" s="85"/>
      <c r="BI32" s="85"/>
      <c r="BJ32" s="73">
        <f t="shared" si="60"/>
        <v>0</v>
      </c>
      <c r="BK32" s="71">
        <f t="shared" si="61"/>
        <v>0</v>
      </c>
      <c r="BL32" s="71">
        <f t="shared" si="62"/>
        <v>0</v>
      </c>
      <c r="BM32" s="56" t="str">
        <f t="shared" si="63"/>
        <v/>
      </c>
    </row>
    <row r="33" spans="1:65" s="43" customFormat="1" ht="14" x14ac:dyDescent="0.3">
      <c r="A33" s="53">
        <f>+Zn!B31</f>
        <v>0</v>
      </c>
      <c r="B33" s="184">
        <f>+Zn!D31</f>
        <v>0</v>
      </c>
      <c r="C33" s="71">
        <f>+Zn!E31</f>
        <v>0</v>
      </c>
      <c r="D33" s="55"/>
      <c r="E33" s="55"/>
      <c r="F33" s="58">
        <f t="shared" si="32"/>
        <v>0</v>
      </c>
      <c r="G33" s="54">
        <f t="shared" si="33"/>
        <v>0</v>
      </c>
      <c r="H33" s="54">
        <f t="shared" si="34"/>
        <v>0</v>
      </c>
      <c r="I33" s="56" t="str">
        <f t="shared" si="35"/>
        <v/>
      </c>
      <c r="J33" s="72">
        <f>+Zn!J31</f>
        <v>0</v>
      </c>
      <c r="K33" s="72">
        <f>+Zn!K31</f>
        <v>0</v>
      </c>
      <c r="L33" s="55"/>
      <c r="M33" s="55"/>
      <c r="N33" s="58">
        <f t="shared" si="36"/>
        <v>0</v>
      </c>
      <c r="O33" s="57">
        <f t="shared" si="37"/>
        <v>0</v>
      </c>
      <c r="P33" s="57">
        <f t="shared" si="38"/>
        <v>0</v>
      </c>
      <c r="Q33" s="56" t="str">
        <f t="shared" si="39"/>
        <v/>
      </c>
      <c r="R33" s="40">
        <f>+Zn!P31</f>
        <v>0</v>
      </c>
      <c r="S33" s="40">
        <f>+Zn!Q31</f>
        <v>0</v>
      </c>
      <c r="T33" s="85"/>
      <c r="U33" s="85"/>
      <c r="V33" s="58">
        <f t="shared" si="40"/>
        <v>0</v>
      </c>
      <c r="W33" s="54">
        <f t="shared" si="41"/>
        <v>0</v>
      </c>
      <c r="X33" s="54">
        <f t="shared" si="42"/>
        <v>0</v>
      </c>
      <c r="Y33" s="56" t="str">
        <f t="shared" si="43"/>
        <v/>
      </c>
      <c r="Z33" s="94">
        <f>+Zn!AN31</f>
        <v>0</v>
      </c>
      <c r="AA33" s="94">
        <f>+Zn!AO31</f>
        <v>0</v>
      </c>
      <c r="AB33" s="85"/>
      <c r="AC33" s="85"/>
      <c r="AD33" s="58">
        <f t="shared" si="44"/>
        <v>0</v>
      </c>
      <c r="AE33" s="58">
        <f t="shared" si="45"/>
        <v>0</v>
      </c>
      <c r="AF33" s="58">
        <f t="shared" si="46"/>
        <v>0</v>
      </c>
      <c r="AG33" s="56" t="str">
        <f t="shared" si="47"/>
        <v/>
      </c>
      <c r="AH33" s="41">
        <f>+Zn!V31</f>
        <v>0</v>
      </c>
      <c r="AI33" s="41">
        <f>+Zn!W31</f>
        <v>0</v>
      </c>
      <c r="AJ33" s="60"/>
      <c r="AK33" s="60"/>
      <c r="AL33" s="73">
        <f t="shared" si="48"/>
        <v>0</v>
      </c>
      <c r="AM33" s="71">
        <f t="shared" si="49"/>
        <v>0</v>
      </c>
      <c r="AN33" s="71">
        <f t="shared" si="50"/>
        <v>0</v>
      </c>
      <c r="AO33" s="56" t="str">
        <f t="shared" si="51"/>
        <v/>
      </c>
      <c r="AP33" s="41">
        <f>+Zn!AH31</f>
        <v>0</v>
      </c>
      <c r="AQ33" s="41">
        <f>+Zn!AI31</f>
        <v>0</v>
      </c>
      <c r="AR33" s="85"/>
      <c r="AS33" s="85"/>
      <c r="AT33" s="73">
        <f t="shared" si="52"/>
        <v>0</v>
      </c>
      <c r="AU33" s="71">
        <f t="shared" si="53"/>
        <v>0</v>
      </c>
      <c r="AV33" s="71">
        <f t="shared" si="54"/>
        <v>0</v>
      </c>
      <c r="AW33" s="56" t="str">
        <f t="shared" si="55"/>
        <v/>
      </c>
      <c r="AX33" s="41">
        <f>+Zn!AT31</f>
        <v>0</v>
      </c>
      <c r="AY33" s="41">
        <f>+Zn!AU31</f>
        <v>0</v>
      </c>
      <c r="AZ33" s="85"/>
      <c r="BA33" s="85"/>
      <c r="BB33" s="73">
        <f t="shared" si="56"/>
        <v>0</v>
      </c>
      <c r="BC33" s="71">
        <f t="shared" si="57"/>
        <v>0</v>
      </c>
      <c r="BD33" s="71">
        <f t="shared" si="58"/>
        <v>0</v>
      </c>
      <c r="BE33" s="56" t="str">
        <f t="shared" si="59"/>
        <v/>
      </c>
      <c r="BF33" s="41">
        <f>+Zn!AB31</f>
        <v>0</v>
      </c>
      <c r="BG33" s="61">
        <f>+Zn!AC31</f>
        <v>0</v>
      </c>
      <c r="BH33" s="85"/>
      <c r="BI33" s="85"/>
      <c r="BJ33" s="73">
        <f t="shared" si="60"/>
        <v>0</v>
      </c>
      <c r="BK33" s="71">
        <f t="shared" si="61"/>
        <v>0</v>
      </c>
      <c r="BL33" s="71">
        <f t="shared" si="62"/>
        <v>0</v>
      </c>
      <c r="BM33" s="56" t="str">
        <f t="shared" si="63"/>
        <v/>
      </c>
    </row>
    <row r="34" spans="1:65" s="43" customFormat="1" ht="14" x14ac:dyDescent="0.3">
      <c r="A34" s="53">
        <f>+Zn!B32</f>
        <v>0</v>
      </c>
      <c r="B34" s="184">
        <f>+Zn!D32</f>
        <v>0</v>
      </c>
      <c r="C34" s="71">
        <f>+Zn!E32</f>
        <v>0</v>
      </c>
      <c r="D34" s="55"/>
      <c r="E34" s="55"/>
      <c r="F34" s="58">
        <f t="shared" si="32"/>
        <v>0</v>
      </c>
      <c r="G34" s="54">
        <f t="shared" si="33"/>
        <v>0</v>
      </c>
      <c r="H34" s="54">
        <f t="shared" si="34"/>
        <v>0</v>
      </c>
      <c r="I34" s="56" t="str">
        <f t="shared" si="35"/>
        <v/>
      </c>
      <c r="J34" s="72">
        <f>+Zn!J32</f>
        <v>0</v>
      </c>
      <c r="K34" s="72">
        <f>+Zn!K32</f>
        <v>0</v>
      </c>
      <c r="L34" s="55"/>
      <c r="M34" s="55"/>
      <c r="N34" s="58">
        <f t="shared" si="36"/>
        <v>0</v>
      </c>
      <c r="O34" s="57">
        <f t="shared" si="37"/>
        <v>0</v>
      </c>
      <c r="P34" s="57">
        <f t="shared" si="38"/>
        <v>0</v>
      </c>
      <c r="Q34" s="56" t="str">
        <f t="shared" si="39"/>
        <v/>
      </c>
      <c r="R34" s="40">
        <f>+Zn!P32</f>
        <v>0</v>
      </c>
      <c r="S34" s="40">
        <f>+Zn!Q32</f>
        <v>0</v>
      </c>
      <c r="T34" s="85"/>
      <c r="U34" s="85"/>
      <c r="V34" s="58">
        <f t="shared" si="40"/>
        <v>0</v>
      </c>
      <c r="W34" s="54">
        <f t="shared" si="41"/>
        <v>0</v>
      </c>
      <c r="X34" s="54">
        <f t="shared" si="42"/>
        <v>0</v>
      </c>
      <c r="Y34" s="56" t="str">
        <f t="shared" si="43"/>
        <v/>
      </c>
      <c r="Z34" s="94">
        <f>+Zn!AN32</f>
        <v>0</v>
      </c>
      <c r="AA34" s="94">
        <f>+Zn!AO32</f>
        <v>0</v>
      </c>
      <c r="AB34" s="85"/>
      <c r="AC34" s="85"/>
      <c r="AD34" s="58">
        <f t="shared" si="44"/>
        <v>0</v>
      </c>
      <c r="AE34" s="58">
        <f t="shared" si="45"/>
        <v>0</v>
      </c>
      <c r="AF34" s="58">
        <f t="shared" si="46"/>
        <v>0</v>
      </c>
      <c r="AG34" s="56" t="str">
        <f t="shared" si="47"/>
        <v/>
      </c>
      <c r="AH34" s="41">
        <f>+Zn!V32</f>
        <v>0</v>
      </c>
      <c r="AI34" s="41">
        <f>+Zn!W32</f>
        <v>0</v>
      </c>
      <c r="AJ34" s="60"/>
      <c r="AK34" s="60"/>
      <c r="AL34" s="73">
        <f t="shared" si="48"/>
        <v>0</v>
      </c>
      <c r="AM34" s="71">
        <f t="shared" si="49"/>
        <v>0</v>
      </c>
      <c r="AN34" s="71">
        <f t="shared" si="50"/>
        <v>0</v>
      </c>
      <c r="AO34" s="56" t="str">
        <f t="shared" si="51"/>
        <v/>
      </c>
      <c r="AP34" s="41">
        <f>+Zn!AH32</f>
        <v>0</v>
      </c>
      <c r="AQ34" s="41">
        <f>+Zn!AI32</f>
        <v>0</v>
      </c>
      <c r="AR34" s="85"/>
      <c r="AS34" s="85"/>
      <c r="AT34" s="73">
        <f t="shared" si="52"/>
        <v>0</v>
      </c>
      <c r="AU34" s="71">
        <f t="shared" si="53"/>
        <v>0</v>
      </c>
      <c r="AV34" s="71">
        <f t="shared" si="54"/>
        <v>0</v>
      </c>
      <c r="AW34" s="56" t="str">
        <f t="shared" si="55"/>
        <v/>
      </c>
      <c r="AX34" s="41">
        <f>+Zn!AT32</f>
        <v>0</v>
      </c>
      <c r="AY34" s="41">
        <f>+Zn!AU32</f>
        <v>0</v>
      </c>
      <c r="AZ34" s="85"/>
      <c r="BA34" s="85"/>
      <c r="BB34" s="73">
        <f t="shared" si="56"/>
        <v>0</v>
      </c>
      <c r="BC34" s="71">
        <f t="shared" si="57"/>
        <v>0</v>
      </c>
      <c r="BD34" s="71">
        <f t="shared" si="58"/>
        <v>0</v>
      </c>
      <c r="BE34" s="56" t="str">
        <f t="shared" si="59"/>
        <v/>
      </c>
      <c r="BF34" s="41">
        <f>+Zn!AB32</f>
        <v>0</v>
      </c>
      <c r="BG34" s="61">
        <f>+Zn!AC32</f>
        <v>0</v>
      </c>
      <c r="BH34" s="85"/>
      <c r="BI34" s="85"/>
      <c r="BJ34" s="73">
        <f t="shared" si="60"/>
        <v>0</v>
      </c>
      <c r="BK34" s="71">
        <f t="shared" si="61"/>
        <v>0</v>
      </c>
      <c r="BL34" s="71">
        <f t="shared" si="62"/>
        <v>0</v>
      </c>
      <c r="BM34" s="56" t="str">
        <f t="shared" si="63"/>
        <v/>
      </c>
    </row>
    <row r="35" spans="1:65" ht="14" x14ac:dyDescent="0.3">
      <c r="A35" s="53">
        <f>+Zn!B33</f>
        <v>0</v>
      </c>
      <c r="B35" s="184">
        <f>+Zn!D33</f>
        <v>0</v>
      </c>
      <c r="C35" s="71">
        <f>+Zn!E33</f>
        <v>0</v>
      </c>
      <c r="D35" s="55"/>
      <c r="E35" s="55"/>
      <c r="F35" s="58">
        <f t="shared" si="32"/>
        <v>0</v>
      </c>
      <c r="G35" s="54">
        <f t="shared" si="33"/>
        <v>0</v>
      </c>
      <c r="H35" s="54">
        <f t="shared" si="34"/>
        <v>0</v>
      </c>
      <c r="I35" s="56" t="str">
        <f t="shared" si="35"/>
        <v/>
      </c>
      <c r="J35" s="72">
        <f>+Zn!J33</f>
        <v>0</v>
      </c>
      <c r="K35" s="72">
        <f>+Zn!K33</f>
        <v>0</v>
      </c>
      <c r="L35" s="55"/>
      <c r="M35" s="55"/>
      <c r="N35" s="58">
        <f t="shared" si="36"/>
        <v>0</v>
      </c>
      <c r="O35" s="57">
        <f t="shared" si="37"/>
        <v>0</v>
      </c>
      <c r="P35" s="57">
        <f t="shared" si="38"/>
        <v>0</v>
      </c>
      <c r="Q35" s="56" t="str">
        <f t="shared" si="39"/>
        <v/>
      </c>
      <c r="R35" s="40">
        <f>+Zn!P33</f>
        <v>0</v>
      </c>
      <c r="S35" s="40">
        <f>+Zn!Q33</f>
        <v>0</v>
      </c>
      <c r="T35" s="85"/>
      <c r="U35" s="85"/>
      <c r="V35" s="58">
        <f t="shared" si="40"/>
        <v>0</v>
      </c>
      <c r="W35" s="54">
        <f t="shared" si="41"/>
        <v>0</v>
      </c>
      <c r="X35" s="54">
        <f t="shared" si="42"/>
        <v>0</v>
      </c>
      <c r="Y35" s="56" t="str">
        <f t="shared" si="43"/>
        <v/>
      </c>
      <c r="Z35" s="94">
        <f>+Zn!AN33</f>
        <v>0</v>
      </c>
      <c r="AA35" s="94">
        <f>+Zn!AO33</f>
        <v>0</v>
      </c>
      <c r="AB35" s="85"/>
      <c r="AC35" s="85"/>
      <c r="AD35" s="58">
        <f t="shared" si="44"/>
        <v>0</v>
      </c>
      <c r="AE35" s="58">
        <f t="shared" si="45"/>
        <v>0</v>
      </c>
      <c r="AF35" s="58">
        <f t="shared" si="46"/>
        <v>0</v>
      </c>
      <c r="AG35" s="56" t="str">
        <f t="shared" si="47"/>
        <v/>
      </c>
      <c r="AH35" s="41">
        <f>+Zn!V33</f>
        <v>0</v>
      </c>
      <c r="AI35" s="41">
        <f>+Zn!W33</f>
        <v>0</v>
      </c>
      <c r="AJ35" s="60"/>
      <c r="AK35" s="60"/>
      <c r="AL35" s="73">
        <f t="shared" si="48"/>
        <v>0</v>
      </c>
      <c r="AM35" s="71">
        <f t="shared" si="49"/>
        <v>0</v>
      </c>
      <c r="AN35" s="71">
        <f t="shared" si="50"/>
        <v>0</v>
      </c>
      <c r="AO35" s="56" t="str">
        <f t="shared" si="51"/>
        <v/>
      </c>
      <c r="AP35" s="41">
        <f>+Zn!AH33</f>
        <v>0</v>
      </c>
      <c r="AQ35" s="41">
        <f>+Zn!AI33</f>
        <v>0</v>
      </c>
      <c r="AR35" s="85"/>
      <c r="AS35" s="85"/>
      <c r="AT35" s="73">
        <f t="shared" si="52"/>
        <v>0</v>
      </c>
      <c r="AU35" s="71">
        <f t="shared" si="53"/>
        <v>0</v>
      </c>
      <c r="AV35" s="71">
        <f t="shared" si="54"/>
        <v>0</v>
      </c>
      <c r="AW35" s="56" t="str">
        <f t="shared" si="55"/>
        <v/>
      </c>
      <c r="AX35" s="41">
        <f>+Zn!AT33</f>
        <v>0</v>
      </c>
      <c r="AY35" s="41">
        <f>+Zn!AU33</f>
        <v>0</v>
      </c>
      <c r="AZ35" s="85"/>
      <c r="BA35" s="85"/>
      <c r="BB35" s="73">
        <f t="shared" si="56"/>
        <v>0</v>
      </c>
      <c r="BC35" s="71">
        <f t="shared" si="57"/>
        <v>0</v>
      </c>
      <c r="BD35" s="71">
        <f t="shared" si="58"/>
        <v>0</v>
      </c>
      <c r="BE35" s="56" t="str">
        <f t="shared" si="59"/>
        <v/>
      </c>
      <c r="BF35" s="41">
        <f>+Zn!AB33</f>
        <v>0</v>
      </c>
      <c r="BG35" s="61">
        <f>+Zn!AC33</f>
        <v>0</v>
      </c>
      <c r="BH35" s="85"/>
      <c r="BI35" s="85"/>
      <c r="BJ35" s="73">
        <f t="shared" si="60"/>
        <v>0</v>
      </c>
      <c r="BK35" s="71">
        <f t="shared" si="61"/>
        <v>0</v>
      </c>
      <c r="BL35" s="71">
        <f t="shared" si="62"/>
        <v>0</v>
      </c>
      <c r="BM35" s="56" t="str">
        <f t="shared" si="63"/>
        <v/>
      </c>
    </row>
    <row r="36" spans="1:65" ht="14" x14ac:dyDescent="0.3">
      <c r="A36" s="53">
        <f>+Zn!B34</f>
        <v>0</v>
      </c>
      <c r="B36" s="184">
        <f>+Zn!D34</f>
        <v>0</v>
      </c>
      <c r="C36" s="71">
        <f>+Zn!E34</f>
        <v>0</v>
      </c>
      <c r="D36" s="55"/>
      <c r="E36" s="55"/>
      <c r="F36" s="58">
        <f t="shared" si="32"/>
        <v>0</v>
      </c>
      <c r="G36" s="54">
        <f t="shared" si="33"/>
        <v>0</v>
      </c>
      <c r="H36" s="54">
        <f t="shared" si="34"/>
        <v>0</v>
      </c>
      <c r="I36" s="56" t="str">
        <f t="shared" si="35"/>
        <v/>
      </c>
      <c r="J36" s="72">
        <f>+Zn!J34</f>
        <v>0</v>
      </c>
      <c r="K36" s="72">
        <f>+Zn!K34</f>
        <v>0</v>
      </c>
      <c r="L36" s="55"/>
      <c r="M36" s="55"/>
      <c r="N36" s="58">
        <f t="shared" si="36"/>
        <v>0</v>
      </c>
      <c r="O36" s="57">
        <f t="shared" si="37"/>
        <v>0</v>
      </c>
      <c r="P36" s="57">
        <f t="shared" si="38"/>
        <v>0</v>
      </c>
      <c r="Q36" s="56" t="str">
        <f t="shared" si="39"/>
        <v/>
      </c>
      <c r="R36" s="40">
        <f>+Zn!P34</f>
        <v>0</v>
      </c>
      <c r="S36" s="40">
        <f>+Zn!Q34</f>
        <v>0</v>
      </c>
      <c r="T36" s="85"/>
      <c r="U36" s="85"/>
      <c r="V36" s="58">
        <f t="shared" si="40"/>
        <v>0</v>
      </c>
      <c r="W36" s="54">
        <f t="shared" si="41"/>
        <v>0</v>
      </c>
      <c r="X36" s="54">
        <f t="shared" si="42"/>
        <v>0</v>
      </c>
      <c r="Y36" s="56" t="str">
        <f t="shared" si="43"/>
        <v/>
      </c>
      <c r="Z36" s="94">
        <f>+Zn!AN34</f>
        <v>0</v>
      </c>
      <c r="AA36" s="94">
        <f>+Zn!AO34</f>
        <v>0</v>
      </c>
      <c r="AB36" s="85"/>
      <c r="AC36" s="85"/>
      <c r="AD36" s="58">
        <f t="shared" si="44"/>
        <v>0</v>
      </c>
      <c r="AE36" s="58">
        <f t="shared" si="45"/>
        <v>0</v>
      </c>
      <c r="AF36" s="58">
        <f t="shared" si="46"/>
        <v>0</v>
      </c>
      <c r="AG36" s="56" t="str">
        <f t="shared" si="47"/>
        <v/>
      </c>
      <c r="AH36" s="41">
        <f>+Zn!V34</f>
        <v>0</v>
      </c>
      <c r="AI36" s="41">
        <f>+Zn!W34</f>
        <v>0</v>
      </c>
      <c r="AJ36" s="60"/>
      <c r="AK36" s="60"/>
      <c r="AL36" s="73">
        <f t="shared" si="48"/>
        <v>0</v>
      </c>
      <c r="AM36" s="71">
        <f t="shared" si="49"/>
        <v>0</v>
      </c>
      <c r="AN36" s="71">
        <f t="shared" si="50"/>
        <v>0</v>
      </c>
      <c r="AO36" s="56" t="str">
        <f t="shared" si="51"/>
        <v/>
      </c>
      <c r="AP36" s="41">
        <f>+Zn!AH34</f>
        <v>0</v>
      </c>
      <c r="AQ36" s="41">
        <f>+Zn!AI34</f>
        <v>0</v>
      </c>
      <c r="AR36" s="85"/>
      <c r="AS36" s="85"/>
      <c r="AT36" s="73">
        <f t="shared" si="52"/>
        <v>0</v>
      </c>
      <c r="AU36" s="71">
        <f t="shared" si="53"/>
        <v>0</v>
      </c>
      <c r="AV36" s="71">
        <f t="shared" si="54"/>
        <v>0</v>
      </c>
      <c r="AW36" s="56" t="str">
        <f t="shared" si="55"/>
        <v/>
      </c>
      <c r="AX36" s="41">
        <f>+Zn!AT34</f>
        <v>0</v>
      </c>
      <c r="AY36" s="41">
        <f>+Zn!AU34</f>
        <v>0</v>
      </c>
      <c r="AZ36" s="85"/>
      <c r="BA36" s="85"/>
      <c r="BB36" s="73">
        <f t="shared" si="56"/>
        <v>0</v>
      </c>
      <c r="BC36" s="71">
        <f t="shared" si="57"/>
        <v>0</v>
      </c>
      <c r="BD36" s="71">
        <f t="shared" si="58"/>
        <v>0</v>
      </c>
      <c r="BE36" s="56" t="str">
        <f t="shared" si="59"/>
        <v/>
      </c>
      <c r="BF36" s="41">
        <f>+Zn!AB34</f>
        <v>0</v>
      </c>
      <c r="BG36" s="61">
        <f>+Zn!AC34</f>
        <v>0</v>
      </c>
      <c r="BH36" s="85"/>
      <c r="BI36" s="85"/>
      <c r="BJ36" s="73">
        <f t="shared" si="60"/>
        <v>0</v>
      </c>
      <c r="BK36" s="71">
        <f t="shared" si="61"/>
        <v>0</v>
      </c>
      <c r="BL36" s="71">
        <f t="shared" si="62"/>
        <v>0</v>
      </c>
      <c r="BM36" s="56" t="str">
        <f t="shared" si="63"/>
        <v/>
      </c>
    </row>
    <row r="37" spans="1:65" ht="14" x14ac:dyDescent="0.3">
      <c r="A37" s="53">
        <f>+Zn!B35</f>
        <v>0</v>
      </c>
      <c r="B37" s="184">
        <f>+Zn!D35</f>
        <v>0</v>
      </c>
      <c r="C37" s="71">
        <f>+Zn!E35</f>
        <v>0</v>
      </c>
      <c r="D37" s="55"/>
      <c r="E37" s="55"/>
      <c r="F37" s="58">
        <f t="shared" si="32"/>
        <v>0</v>
      </c>
      <c r="G37" s="54">
        <f t="shared" si="33"/>
        <v>0</v>
      </c>
      <c r="H37" s="54">
        <f t="shared" si="34"/>
        <v>0</v>
      </c>
      <c r="I37" s="56" t="str">
        <f t="shared" si="35"/>
        <v/>
      </c>
      <c r="J37" s="72">
        <f>+Zn!J35</f>
        <v>0</v>
      </c>
      <c r="K37" s="72">
        <f>+Zn!K35</f>
        <v>0</v>
      </c>
      <c r="L37" s="55"/>
      <c r="M37" s="55"/>
      <c r="N37" s="58">
        <f t="shared" si="36"/>
        <v>0</v>
      </c>
      <c r="O37" s="57">
        <f t="shared" si="37"/>
        <v>0</v>
      </c>
      <c r="P37" s="57">
        <f t="shared" si="38"/>
        <v>0</v>
      </c>
      <c r="Q37" s="56" t="str">
        <f t="shared" si="39"/>
        <v/>
      </c>
      <c r="R37" s="40">
        <f>+Zn!P35</f>
        <v>0</v>
      </c>
      <c r="S37" s="40">
        <f>+Zn!Q35</f>
        <v>0</v>
      </c>
      <c r="T37" s="85"/>
      <c r="U37" s="85"/>
      <c r="V37" s="58">
        <f t="shared" si="40"/>
        <v>0</v>
      </c>
      <c r="W37" s="54">
        <f t="shared" si="41"/>
        <v>0</v>
      </c>
      <c r="X37" s="54">
        <f t="shared" si="42"/>
        <v>0</v>
      </c>
      <c r="Y37" s="56" t="str">
        <f t="shared" si="43"/>
        <v/>
      </c>
      <c r="Z37" s="94">
        <f>+Zn!AN35</f>
        <v>0</v>
      </c>
      <c r="AA37" s="94">
        <f>+Zn!AO35</f>
        <v>0</v>
      </c>
      <c r="AB37" s="85"/>
      <c r="AC37" s="85"/>
      <c r="AD37" s="58">
        <f t="shared" si="44"/>
        <v>0</v>
      </c>
      <c r="AE37" s="58">
        <f t="shared" si="45"/>
        <v>0</v>
      </c>
      <c r="AF37" s="58">
        <f t="shared" si="46"/>
        <v>0</v>
      </c>
      <c r="AG37" s="56" t="str">
        <f t="shared" si="47"/>
        <v/>
      </c>
      <c r="AH37" s="41">
        <f>+Zn!V35</f>
        <v>0</v>
      </c>
      <c r="AI37" s="41">
        <f>+Zn!W35</f>
        <v>0</v>
      </c>
      <c r="AJ37" s="60"/>
      <c r="AK37" s="60"/>
      <c r="AL37" s="73">
        <f t="shared" si="48"/>
        <v>0</v>
      </c>
      <c r="AM37" s="71">
        <f t="shared" si="49"/>
        <v>0</v>
      </c>
      <c r="AN37" s="71">
        <f t="shared" si="50"/>
        <v>0</v>
      </c>
      <c r="AO37" s="56" t="str">
        <f t="shared" si="51"/>
        <v/>
      </c>
      <c r="AP37" s="41">
        <f>+Zn!AH35</f>
        <v>0</v>
      </c>
      <c r="AQ37" s="41">
        <f>+Zn!AI35</f>
        <v>0</v>
      </c>
      <c r="AR37" s="85"/>
      <c r="AS37" s="85"/>
      <c r="AT37" s="73">
        <f t="shared" si="52"/>
        <v>0</v>
      </c>
      <c r="AU37" s="71">
        <f t="shared" si="53"/>
        <v>0</v>
      </c>
      <c r="AV37" s="71">
        <f t="shared" si="54"/>
        <v>0</v>
      </c>
      <c r="AW37" s="56" t="str">
        <f t="shared" si="55"/>
        <v/>
      </c>
      <c r="AX37" s="41">
        <f>+Zn!AT35</f>
        <v>0</v>
      </c>
      <c r="AY37" s="41">
        <f>+Zn!AU35</f>
        <v>0</v>
      </c>
      <c r="AZ37" s="85"/>
      <c r="BA37" s="85"/>
      <c r="BB37" s="73">
        <f t="shared" si="56"/>
        <v>0</v>
      </c>
      <c r="BC37" s="71">
        <f t="shared" si="57"/>
        <v>0</v>
      </c>
      <c r="BD37" s="71">
        <f t="shared" si="58"/>
        <v>0</v>
      </c>
      <c r="BE37" s="56" t="str">
        <f t="shared" si="59"/>
        <v/>
      </c>
      <c r="BF37" s="41">
        <f>+Zn!AB35</f>
        <v>0</v>
      </c>
      <c r="BG37" s="61">
        <f>+Zn!AC35</f>
        <v>0</v>
      </c>
      <c r="BH37" s="85"/>
      <c r="BI37" s="85"/>
      <c r="BJ37" s="73">
        <f t="shared" si="60"/>
        <v>0</v>
      </c>
      <c r="BK37" s="71">
        <f t="shared" si="61"/>
        <v>0</v>
      </c>
      <c r="BL37" s="71">
        <f t="shared" si="62"/>
        <v>0</v>
      </c>
      <c r="BM37" s="56" t="str">
        <f t="shared" si="63"/>
        <v/>
      </c>
    </row>
    <row r="38" spans="1:65" ht="14" x14ac:dyDescent="0.3">
      <c r="A38" s="53">
        <f>+Zn!B36</f>
        <v>0</v>
      </c>
      <c r="B38" s="184">
        <f>+Zn!D36</f>
        <v>0</v>
      </c>
      <c r="C38" s="71">
        <f>+Zn!E36</f>
        <v>0</v>
      </c>
      <c r="D38" s="55"/>
      <c r="E38" s="55"/>
      <c r="F38" s="58">
        <f t="shared" si="32"/>
        <v>0</v>
      </c>
      <c r="G38" s="54">
        <f t="shared" si="33"/>
        <v>0</v>
      </c>
      <c r="H38" s="54">
        <f t="shared" si="34"/>
        <v>0</v>
      </c>
      <c r="I38" s="56" t="str">
        <f t="shared" si="35"/>
        <v/>
      </c>
      <c r="J38" s="72">
        <f>+Zn!J36</f>
        <v>0</v>
      </c>
      <c r="K38" s="72">
        <f>+Zn!K36</f>
        <v>0</v>
      </c>
      <c r="L38" s="55"/>
      <c r="M38" s="55"/>
      <c r="N38" s="58">
        <f t="shared" si="36"/>
        <v>0</v>
      </c>
      <c r="O38" s="57">
        <f t="shared" si="37"/>
        <v>0</v>
      </c>
      <c r="P38" s="57">
        <f t="shared" si="38"/>
        <v>0</v>
      </c>
      <c r="Q38" s="56" t="str">
        <f t="shared" si="39"/>
        <v/>
      </c>
      <c r="R38" s="40">
        <f>+Zn!P36</f>
        <v>0</v>
      </c>
      <c r="S38" s="40">
        <f>+Zn!Q36</f>
        <v>0</v>
      </c>
      <c r="T38" s="85"/>
      <c r="U38" s="85"/>
      <c r="V38" s="58">
        <f t="shared" si="40"/>
        <v>0</v>
      </c>
      <c r="W38" s="54">
        <f t="shared" si="41"/>
        <v>0</v>
      </c>
      <c r="X38" s="54">
        <f t="shared" si="42"/>
        <v>0</v>
      </c>
      <c r="Y38" s="56" t="str">
        <f t="shared" si="43"/>
        <v/>
      </c>
      <c r="Z38" s="94">
        <f>+Zn!AN36</f>
        <v>0</v>
      </c>
      <c r="AA38" s="94">
        <f>+Zn!AO36</f>
        <v>0</v>
      </c>
      <c r="AB38" s="85"/>
      <c r="AC38" s="85"/>
      <c r="AD38" s="58">
        <f t="shared" si="44"/>
        <v>0</v>
      </c>
      <c r="AE38" s="58">
        <f t="shared" si="45"/>
        <v>0</v>
      </c>
      <c r="AF38" s="58">
        <f t="shared" si="46"/>
        <v>0</v>
      </c>
      <c r="AG38" s="56" t="str">
        <f t="shared" si="47"/>
        <v/>
      </c>
      <c r="AH38" s="41">
        <f>+Zn!V36</f>
        <v>0</v>
      </c>
      <c r="AI38" s="41">
        <f>+Zn!W36</f>
        <v>0</v>
      </c>
      <c r="AJ38" s="60"/>
      <c r="AK38" s="60"/>
      <c r="AL38" s="73">
        <f t="shared" si="48"/>
        <v>0</v>
      </c>
      <c r="AM38" s="71">
        <f t="shared" si="49"/>
        <v>0</v>
      </c>
      <c r="AN38" s="71">
        <f t="shared" si="50"/>
        <v>0</v>
      </c>
      <c r="AO38" s="56" t="str">
        <f t="shared" si="51"/>
        <v/>
      </c>
      <c r="AP38" s="41">
        <f>+Zn!AH36</f>
        <v>0</v>
      </c>
      <c r="AQ38" s="41">
        <f>+Zn!AI36</f>
        <v>0</v>
      </c>
      <c r="AR38" s="85"/>
      <c r="AS38" s="85"/>
      <c r="AT38" s="73">
        <f t="shared" si="52"/>
        <v>0</v>
      </c>
      <c r="AU38" s="71">
        <f t="shared" si="53"/>
        <v>0</v>
      </c>
      <c r="AV38" s="71">
        <f t="shared" si="54"/>
        <v>0</v>
      </c>
      <c r="AW38" s="56" t="str">
        <f t="shared" si="55"/>
        <v/>
      </c>
      <c r="AX38" s="41">
        <f>+Zn!AT36</f>
        <v>0</v>
      </c>
      <c r="AY38" s="41">
        <f>+Zn!AU36</f>
        <v>0</v>
      </c>
      <c r="AZ38" s="85"/>
      <c r="BA38" s="85"/>
      <c r="BB38" s="73">
        <f t="shared" si="56"/>
        <v>0</v>
      </c>
      <c r="BC38" s="71">
        <f t="shared" si="57"/>
        <v>0</v>
      </c>
      <c r="BD38" s="71">
        <f t="shared" si="58"/>
        <v>0</v>
      </c>
      <c r="BE38" s="56" t="str">
        <f t="shared" si="59"/>
        <v/>
      </c>
      <c r="BF38" s="41">
        <f>+Zn!AB36</f>
        <v>0</v>
      </c>
      <c r="BG38" s="61">
        <f>+Zn!AC36</f>
        <v>0</v>
      </c>
      <c r="BH38" s="85"/>
      <c r="BI38" s="85"/>
      <c r="BJ38" s="73">
        <f t="shared" si="60"/>
        <v>0</v>
      </c>
      <c r="BK38" s="71">
        <f t="shared" si="61"/>
        <v>0</v>
      </c>
      <c r="BL38" s="71">
        <f t="shared" si="62"/>
        <v>0</v>
      </c>
      <c r="BM38" s="56" t="str">
        <f t="shared" si="63"/>
        <v/>
      </c>
    </row>
    <row r="39" spans="1:65" ht="14" x14ac:dyDescent="0.3">
      <c r="A39" s="53">
        <f>+Zn!B37</f>
        <v>0</v>
      </c>
      <c r="B39" s="184">
        <f>+Zn!D37</f>
        <v>0</v>
      </c>
      <c r="C39" s="71">
        <f>+Zn!E37</f>
        <v>0</v>
      </c>
      <c r="D39" s="55"/>
      <c r="E39" s="55"/>
      <c r="F39" s="58">
        <f t="shared" si="32"/>
        <v>0</v>
      </c>
      <c r="G39" s="54">
        <f t="shared" si="33"/>
        <v>0</v>
      </c>
      <c r="H39" s="54">
        <f t="shared" si="34"/>
        <v>0</v>
      </c>
      <c r="I39" s="56" t="str">
        <f t="shared" si="35"/>
        <v/>
      </c>
      <c r="J39" s="72">
        <f>+Zn!J37</f>
        <v>0</v>
      </c>
      <c r="K39" s="72">
        <f>+Zn!K37</f>
        <v>0</v>
      </c>
      <c r="L39" s="55"/>
      <c r="M39" s="55"/>
      <c r="N39" s="58">
        <f t="shared" si="36"/>
        <v>0</v>
      </c>
      <c r="O39" s="57">
        <f t="shared" si="37"/>
        <v>0</v>
      </c>
      <c r="P39" s="57">
        <f t="shared" si="38"/>
        <v>0</v>
      </c>
      <c r="Q39" s="56" t="str">
        <f t="shared" si="39"/>
        <v/>
      </c>
      <c r="R39" s="40">
        <f>+Zn!P37</f>
        <v>0</v>
      </c>
      <c r="S39" s="40">
        <f>+Zn!Q37</f>
        <v>0</v>
      </c>
      <c r="T39" s="85"/>
      <c r="U39" s="85"/>
      <c r="V39" s="58">
        <f t="shared" si="40"/>
        <v>0</v>
      </c>
      <c r="W39" s="54">
        <f t="shared" si="41"/>
        <v>0</v>
      </c>
      <c r="X39" s="54">
        <f t="shared" si="42"/>
        <v>0</v>
      </c>
      <c r="Y39" s="56" t="str">
        <f t="shared" si="43"/>
        <v/>
      </c>
      <c r="Z39" s="94">
        <f>+Zn!AN37</f>
        <v>0</v>
      </c>
      <c r="AA39" s="94">
        <f>+Zn!AO37</f>
        <v>0</v>
      </c>
      <c r="AB39" s="85"/>
      <c r="AC39" s="85"/>
      <c r="AD39" s="58">
        <f t="shared" si="44"/>
        <v>0</v>
      </c>
      <c r="AE39" s="58">
        <f t="shared" si="45"/>
        <v>0</v>
      </c>
      <c r="AF39" s="58">
        <f t="shared" si="46"/>
        <v>0</v>
      </c>
      <c r="AG39" s="56" t="str">
        <f t="shared" si="47"/>
        <v/>
      </c>
      <c r="AH39" s="41">
        <f>+Zn!V37</f>
        <v>0</v>
      </c>
      <c r="AI39" s="41">
        <f>+Zn!W37</f>
        <v>0</v>
      </c>
      <c r="AJ39" s="60"/>
      <c r="AK39" s="60"/>
      <c r="AL39" s="73">
        <f t="shared" si="48"/>
        <v>0</v>
      </c>
      <c r="AM39" s="71">
        <f t="shared" si="49"/>
        <v>0</v>
      </c>
      <c r="AN39" s="71">
        <f t="shared" si="50"/>
        <v>0</v>
      </c>
      <c r="AO39" s="56" t="str">
        <f t="shared" si="51"/>
        <v/>
      </c>
      <c r="AP39" s="41">
        <f>+Zn!AH37</f>
        <v>0</v>
      </c>
      <c r="AQ39" s="41">
        <f>+Zn!AI37</f>
        <v>0</v>
      </c>
      <c r="AR39" s="85"/>
      <c r="AS39" s="85"/>
      <c r="AT39" s="73">
        <f t="shared" si="52"/>
        <v>0</v>
      </c>
      <c r="AU39" s="71">
        <f t="shared" si="53"/>
        <v>0</v>
      </c>
      <c r="AV39" s="71">
        <f t="shared" si="54"/>
        <v>0</v>
      </c>
      <c r="AW39" s="56" t="str">
        <f t="shared" si="55"/>
        <v/>
      </c>
      <c r="AX39" s="41">
        <f>+Zn!AT37</f>
        <v>0</v>
      </c>
      <c r="AY39" s="41">
        <f>+Zn!AU37</f>
        <v>0</v>
      </c>
      <c r="AZ39" s="85"/>
      <c r="BA39" s="85"/>
      <c r="BB39" s="73">
        <f t="shared" si="56"/>
        <v>0</v>
      </c>
      <c r="BC39" s="71">
        <f t="shared" si="57"/>
        <v>0</v>
      </c>
      <c r="BD39" s="71">
        <f t="shared" si="58"/>
        <v>0</v>
      </c>
      <c r="BE39" s="56" t="str">
        <f t="shared" si="59"/>
        <v/>
      </c>
      <c r="BF39" s="41">
        <f>+Zn!AB37</f>
        <v>0</v>
      </c>
      <c r="BG39" s="61">
        <f>+Zn!AC37</f>
        <v>0</v>
      </c>
      <c r="BH39" s="85"/>
      <c r="BI39" s="85"/>
      <c r="BJ39" s="73">
        <f t="shared" si="60"/>
        <v>0</v>
      </c>
      <c r="BK39" s="71">
        <f t="shared" si="61"/>
        <v>0</v>
      </c>
      <c r="BL39" s="71">
        <f t="shared" si="62"/>
        <v>0</v>
      </c>
      <c r="BM39" s="56" t="str">
        <f t="shared" si="63"/>
        <v/>
      </c>
    </row>
    <row r="40" spans="1:65" ht="14" x14ac:dyDescent="0.3">
      <c r="A40" s="53">
        <f>+Zn!B38</f>
        <v>0</v>
      </c>
      <c r="B40" s="184">
        <f>+Zn!D38</f>
        <v>0</v>
      </c>
      <c r="C40" s="71">
        <f>+Zn!E38</f>
        <v>0</v>
      </c>
      <c r="D40" s="55"/>
      <c r="E40" s="55"/>
      <c r="F40" s="58">
        <f t="shared" si="32"/>
        <v>0</v>
      </c>
      <c r="G40" s="54">
        <f t="shared" si="33"/>
        <v>0</v>
      </c>
      <c r="H40" s="54">
        <f t="shared" si="34"/>
        <v>0</v>
      </c>
      <c r="I40" s="56" t="str">
        <f t="shared" si="35"/>
        <v/>
      </c>
      <c r="J40" s="72">
        <f>+Zn!J38</f>
        <v>0</v>
      </c>
      <c r="K40" s="72">
        <f>+Zn!K38</f>
        <v>0</v>
      </c>
      <c r="L40" s="55"/>
      <c r="M40" s="55"/>
      <c r="N40" s="58">
        <f t="shared" si="36"/>
        <v>0</v>
      </c>
      <c r="O40" s="57">
        <f t="shared" si="37"/>
        <v>0</v>
      </c>
      <c r="P40" s="57">
        <f t="shared" si="38"/>
        <v>0</v>
      </c>
      <c r="Q40" s="56" t="str">
        <f t="shared" si="39"/>
        <v/>
      </c>
      <c r="R40" s="40">
        <f>+Zn!P38</f>
        <v>0</v>
      </c>
      <c r="S40" s="40">
        <f>+Zn!Q38</f>
        <v>0</v>
      </c>
      <c r="T40" s="85"/>
      <c r="U40" s="85"/>
      <c r="V40" s="58">
        <f t="shared" si="40"/>
        <v>0</v>
      </c>
      <c r="W40" s="54">
        <f t="shared" si="41"/>
        <v>0</v>
      </c>
      <c r="X40" s="54">
        <f t="shared" si="42"/>
        <v>0</v>
      </c>
      <c r="Y40" s="56" t="str">
        <f t="shared" si="43"/>
        <v/>
      </c>
      <c r="Z40" s="94">
        <f>+Zn!AN38</f>
        <v>0</v>
      </c>
      <c r="AA40" s="94">
        <f>+Zn!AO38</f>
        <v>0</v>
      </c>
      <c r="AB40" s="85"/>
      <c r="AC40" s="85"/>
      <c r="AD40" s="58">
        <f t="shared" si="44"/>
        <v>0</v>
      </c>
      <c r="AE40" s="58">
        <f t="shared" si="45"/>
        <v>0</v>
      </c>
      <c r="AF40" s="58">
        <f t="shared" si="46"/>
        <v>0</v>
      </c>
      <c r="AG40" s="56" t="str">
        <f t="shared" si="47"/>
        <v/>
      </c>
      <c r="AH40" s="41">
        <f>+Zn!V38</f>
        <v>0</v>
      </c>
      <c r="AI40" s="41">
        <f>+Zn!W38</f>
        <v>0</v>
      </c>
      <c r="AJ40" s="60"/>
      <c r="AK40" s="60"/>
      <c r="AL40" s="73">
        <f t="shared" si="48"/>
        <v>0</v>
      </c>
      <c r="AM40" s="71">
        <f t="shared" si="49"/>
        <v>0</v>
      </c>
      <c r="AN40" s="71">
        <f t="shared" si="50"/>
        <v>0</v>
      </c>
      <c r="AO40" s="56" t="str">
        <f t="shared" si="51"/>
        <v/>
      </c>
      <c r="AP40" s="41">
        <f>+Zn!AH38</f>
        <v>0</v>
      </c>
      <c r="AQ40" s="41">
        <f>+Zn!AI38</f>
        <v>0</v>
      </c>
      <c r="AR40" s="85"/>
      <c r="AS40" s="85"/>
      <c r="AT40" s="73">
        <f t="shared" si="52"/>
        <v>0</v>
      </c>
      <c r="AU40" s="71">
        <f t="shared" si="53"/>
        <v>0</v>
      </c>
      <c r="AV40" s="71">
        <f t="shared" si="54"/>
        <v>0</v>
      </c>
      <c r="AW40" s="56" t="str">
        <f t="shared" si="55"/>
        <v/>
      </c>
      <c r="AX40" s="41">
        <f>+Zn!AT38</f>
        <v>0</v>
      </c>
      <c r="AY40" s="41">
        <f>+Zn!AU38</f>
        <v>0</v>
      </c>
      <c r="AZ40" s="85"/>
      <c r="BA40" s="85"/>
      <c r="BB40" s="73">
        <f t="shared" si="56"/>
        <v>0</v>
      </c>
      <c r="BC40" s="71">
        <f t="shared" si="57"/>
        <v>0</v>
      </c>
      <c r="BD40" s="71">
        <f t="shared" si="58"/>
        <v>0</v>
      </c>
      <c r="BE40" s="56" t="str">
        <f t="shared" si="59"/>
        <v/>
      </c>
      <c r="BF40" s="41">
        <f>+Zn!AB38</f>
        <v>0</v>
      </c>
      <c r="BG40" s="61">
        <f>+Zn!AC38</f>
        <v>0</v>
      </c>
      <c r="BH40" s="85"/>
      <c r="BI40" s="85"/>
      <c r="BJ40" s="73">
        <f t="shared" si="60"/>
        <v>0</v>
      </c>
      <c r="BK40" s="71">
        <f t="shared" si="61"/>
        <v>0</v>
      </c>
      <c r="BL40" s="71">
        <f t="shared" si="62"/>
        <v>0</v>
      </c>
      <c r="BM40" s="56" t="str">
        <f t="shared" si="63"/>
        <v/>
      </c>
    </row>
    <row r="45" spans="1:65" x14ac:dyDescent="0.25">
      <c r="W45" s="89"/>
    </row>
    <row r="46" spans="1:65" x14ac:dyDescent="0.25">
      <c r="W46" s="89"/>
    </row>
    <row r="47" spans="1:65" x14ac:dyDescent="0.25">
      <c r="W47" s="89"/>
    </row>
    <row r="48" spans="1:65" x14ac:dyDescent="0.25">
      <c r="W48" s="89"/>
    </row>
    <row r="49" spans="23:23" x14ac:dyDescent="0.25">
      <c r="W49" s="89"/>
    </row>
  </sheetData>
  <mergeCells count="1">
    <mergeCell ref="T7:W7"/>
  </mergeCells>
  <conditionalFormatting sqref="E10:E12">
    <cfRule type="containsText" dxfId="15" priority="15" operator="containsText" text="P">
      <formula>NOT(ISERROR(SEARCH("P",E10)))</formula>
    </cfRule>
    <cfRule type="containsText" dxfId="14" priority="16" operator="containsText" text="T">
      <formula>NOT(ISERROR(SEARCH("T",E10)))</formula>
    </cfRule>
  </conditionalFormatting>
  <conditionalFormatting sqref="M10:M12">
    <cfRule type="containsText" dxfId="13" priority="13" operator="containsText" text="P">
      <formula>NOT(ISERROR(SEARCH("P",M10)))</formula>
    </cfRule>
    <cfRule type="containsText" dxfId="12" priority="14" operator="containsText" text="T">
      <formula>NOT(ISERROR(SEARCH("T",M10)))</formula>
    </cfRule>
  </conditionalFormatting>
  <conditionalFormatting sqref="U10:U12">
    <cfRule type="containsText" dxfId="11" priority="11" operator="containsText" text="P">
      <formula>NOT(ISERROR(SEARCH("P",U10)))</formula>
    </cfRule>
    <cfRule type="containsText" dxfId="10" priority="12" operator="containsText" text="T">
      <formula>NOT(ISERROR(SEARCH("T",U10)))</formula>
    </cfRule>
  </conditionalFormatting>
  <conditionalFormatting sqref="AC10:AC12">
    <cfRule type="containsText" dxfId="9" priority="9" operator="containsText" text="P">
      <formula>NOT(ISERROR(SEARCH("P",AC10)))</formula>
    </cfRule>
    <cfRule type="containsText" dxfId="8" priority="10" operator="containsText" text="T">
      <formula>NOT(ISERROR(SEARCH("T",AC10)))</formula>
    </cfRule>
  </conditionalFormatting>
  <conditionalFormatting sqref="AK10:AK12">
    <cfRule type="containsText" dxfId="7" priority="7" operator="containsText" text="P">
      <formula>NOT(ISERROR(SEARCH("P",AK10)))</formula>
    </cfRule>
    <cfRule type="containsText" dxfId="6" priority="8" operator="containsText" text="T">
      <formula>NOT(ISERROR(SEARCH("T",AK10)))</formula>
    </cfRule>
  </conditionalFormatting>
  <conditionalFormatting sqref="AS10:AS12">
    <cfRule type="containsText" dxfId="5" priority="5" operator="containsText" text="P">
      <formula>NOT(ISERROR(SEARCH("P",AS10)))</formula>
    </cfRule>
    <cfRule type="containsText" dxfId="4" priority="6" operator="containsText" text="T">
      <formula>NOT(ISERROR(SEARCH("T",AS10)))</formula>
    </cfRule>
  </conditionalFormatting>
  <conditionalFormatting sqref="BA10:BA12">
    <cfRule type="containsText" dxfId="3" priority="3" operator="containsText" text="P">
      <formula>NOT(ISERROR(SEARCH("P",BA10)))</formula>
    </cfRule>
    <cfRule type="containsText" dxfId="2" priority="4" operator="containsText" text="T">
      <formula>NOT(ISERROR(SEARCH("T",BA10)))</formula>
    </cfRule>
  </conditionalFormatting>
  <conditionalFormatting sqref="BI10:BI12">
    <cfRule type="containsText" dxfId="1" priority="1" operator="containsText" text="P">
      <formula>NOT(ISERROR(SEARCH("P",BI10)))</formula>
    </cfRule>
    <cfRule type="containsText" dxfId="0" priority="2" operator="containsText" text="T">
      <formula>NOT(ISERROR(SEARCH("T",BI10)))</formula>
    </cfRule>
  </conditionalFormatting>
  <printOptions horizontalCentered="1"/>
  <pageMargins left="0" right="0" top="0.98425196850393704" bottom="0" header="0" footer="0"/>
  <pageSetup paperSize="119" scale="29" orientation="landscape" horizontalDpi="30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AP77"/>
  <sheetViews>
    <sheetView showGridLines="0" showZeros="0" zoomScale="79" workbookViewId="0">
      <pane xSplit="1" ySplit="8" topLeftCell="B9" activePane="bottomRight" state="frozen"/>
      <selection activeCell="H82" sqref="H82:N94"/>
      <selection pane="topRight" activeCell="H82" sqref="H82:N94"/>
      <selection pane="bottomLeft" activeCell="H82" sqref="H82:N94"/>
      <selection pane="bottomRight" activeCell="D30" sqref="D30"/>
    </sheetView>
  </sheetViews>
  <sheetFormatPr baseColWidth="10" defaultColWidth="11.453125" defaultRowHeight="12.5" x14ac:dyDescent="0.25"/>
  <cols>
    <col min="1" max="1" width="8" customWidth="1"/>
    <col min="2" max="2" width="12.6328125" style="105" customWidth="1"/>
    <col min="3" max="6" width="12.54296875" customWidth="1"/>
    <col min="7" max="7" width="17.453125" customWidth="1"/>
    <col min="8" max="9" width="10.36328125" customWidth="1"/>
    <col min="10" max="10" width="10.90625" customWidth="1"/>
    <col min="11" max="11" width="10.36328125" customWidth="1"/>
    <col min="12" max="12" width="13.54296875" customWidth="1"/>
    <col min="13" max="16" width="8.36328125" customWidth="1"/>
    <col min="17" max="17" width="11.90625" customWidth="1"/>
    <col min="18" max="19" width="8.36328125" customWidth="1"/>
    <col min="20" max="20" width="8.90625" customWidth="1"/>
    <col min="21" max="21" width="7.6328125" customWidth="1"/>
    <col min="22" max="22" width="13.08984375" customWidth="1"/>
    <col min="23" max="24" width="8.36328125" customWidth="1"/>
    <col min="25" max="26" width="7.6328125" customWidth="1"/>
    <col min="27" max="27" width="10.36328125" customWidth="1"/>
    <col min="28" max="29" width="10.54296875" customWidth="1"/>
    <col min="30" max="31" width="7.6328125" customWidth="1"/>
    <col min="32" max="32" width="10.453125" customWidth="1"/>
  </cols>
  <sheetData>
    <row r="1" spans="1:42" ht="20" x14ac:dyDescent="0.25">
      <c r="A1" s="28" t="s">
        <v>58</v>
      </c>
      <c r="B1" s="97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</row>
    <row r="2" spans="1:42" ht="18" x14ac:dyDescent="0.25">
      <c r="A2" s="14"/>
      <c r="B2" s="98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</row>
    <row r="3" spans="1:42" ht="15.5" x14ac:dyDescent="0.25">
      <c r="A3" s="15" t="s">
        <v>38</v>
      </c>
      <c r="B3" s="99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</row>
    <row r="4" spans="1:42" ht="3.75" customHeight="1" x14ac:dyDescent="0.25">
      <c r="A4" s="15"/>
      <c r="B4" s="99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</row>
    <row r="5" spans="1:42" ht="3.75" customHeight="1" x14ac:dyDescent="0.25">
      <c r="A5" s="15"/>
      <c r="B5" s="99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</row>
    <row r="6" spans="1:42" ht="14" x14ac:dyDescent="0.25">
      <c r="A6" s="8" t="str">
        <f>+'Terc. Plomo'!A6</f>
        <v>Lotes cerrados febrero 2026.</v>
      </c>
      <c r="B6" s="100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</row>
    <row r="7" spans="1:42" s="43" customFormat="1" ht="15.75" customHeight="1" x14ac:dyDescent="0.3">
      <c r="A7" s="30" t="s">
        <v>39</v>
      </c>
      <c r="B7" s="30" t="s">
        <v>66</v>
      </c>
      <c r="C7" s="31" t="s">
        <v>40</v>
      </c>
      <c r="D7" s="32"/>
      <c r="E7" s="33"/>
      <c r="F7" s="32"/>
      <c r="G7" s="32"/>
      <c r="H7" s="31" t="s">
        <v>43</v>
      </c>
      <c r="I7" s="37"/>
      <c r="J7" s="38"/>
      <c r="K7" s="37"/>
      <c r="L7" s="32"/>
      <c r="M7" s="31" t="s">
        <v>44</v>
      </c>
      <c r="N7" s="39"/>
      <c r="O7" s="42"/>
      <c r="P7" s="39"/>
      <c r="Q7" s="32"/>
      <c r="R7" s="31" t="s">
        <v>49</v>
      </c>
      <c r="S7" s="39"/>
      <c r="T7" s="42"/>
      <c r="U7" s="39"/>
      <c r="V7" s="32"/>
      <c r="W7" s="31" t="s">
        <v>50</v>
      </c>
      <c r="X7" s="39"/>
      <c r="Y7" s="42"/>
      <c r="Z7" s="39"/>
      <c r="AA7" s="32"/>
      <c r="AB7" s="31" t="s">
        <v>56</v>
      </c>
      <c r="AC7" s="39"/>
      <c r="AD7" s="42"/>
      <c r="AE7" s="39"/>
      <c r="AF7" s="32"/>
      <c r="AG7" s="31" t="s">
        <v>69</v>
      </c>
      <c r="AH7" s="39"/>
      <c r="AI7" s="42"/>
      <c r="AJ7" s="39"/>
      <c r="AK7" s="32"/>
      <c r="AL7" s="31" t="s">
        <v>70</v>
      </c>
      <c r="AM7" s="39"/>
      <c r="AN7" s="42"/>
      <c r="AO7" s="39"/>
      <c r="AP7" s="32"/>
    </row>
    <row r="8" spans="1:42" s="52" customFormat="1" ht="14" x14ac:dyDescent="0.3">
      <c r="A8" s="44" t="s">
        <v>45</v>
      </c>
      <c r="B8" s="44" t="s">
        <v>67</v>
      </c>
      <c r="C8" s="45" t="s">
        <v>57</v>
      </c>
      <c r="D8" s="45" t="s">
        <v>59</v>
      </c>
      <c r="E8" s="45" t="s">
        <v>46</v>
      </c>
      <c r="F8" s="45" t="s">
        <v>47</v>
      </c>
      <c r="G8" s="45" t="s">
        <v>68</v>
      </c>
      <c r="H8" s="47" t="s">
        <v>57</v>
      </c>
      <c r="I8" s="48" t="s">
        <v>59</v>
      </c>
      <c r="J8" s="48" t="s">
        <v>46</v>
      </c>
      <c r="K8" s="48" t="s">
        <v>47</v>
      </c>
      <c r="L8" s="45" t="s">
        <v>68</v>
      </c>
      <c r="M8" s="49" t="s">
        <v>57</v>
      </c>
      <c r="N8" s="50" t="s">
        <v>59</v>
      </c>
      <c r="O8" s="50" t="s">
        <v>46</v>
      </c>
      <c r="P8" s="50" t="s">
        <v>47</v>
      </c>
      <c r="Q8" s="45" t="s">
        <v>68</v>
      </c>
      <c r="R8" s="51" t="s">
        <v>57</v>
      </c>
      <c r="S8" s="50" t="s">
        <v>59</v>
      </c>
      <c r="T8" s="50" t="s">
        <v>46</v>
      </c>
      <c r="U8" s="50" t="s">
        <v>47</v>
      </c>
      <c r="V8" s="45" t="s">
        <v>68</v>
      </c>
      <c r="W8" s="51" t="s">
        <v>57</v>
      </c>
      <c r="X8" s="50" t="s">
        <v>59</v>
      </c>
      <c r="Y8" s="50" t="s">
        <v>46</v>
      </c>
      <c r="Z8" s="50" t="s">
        <v>47</v>
      </c>
      <c r="AA8" s="45" t="s">
        <v>68</v>
      </c>
      <c r="AB8" s="51" t="s">
        <v>57</v>
      </c>
      <c r="AC8" s="50" t="s">
        <v>59</v>
      </c>
      <c r="AD8" s="50" t="s">
        <v>46</v>
      </c>
      <c r="AE8" s="50" t="s">
        <v>47</v>
      </c>
      <c r="AF8" s="45" t="s">
        <v>68</v>
      </c>
      <c r="AG8" s="51" t="s">
        <v>57</v>
      </c>
      <c r="AH8" s="50" t="s">
        <v>59</v>
      </c>
      <c r="AI8" s="50" t="s">
        <v>46</v>
      </c>
      <c r="AJ8" s="50" t="s">
        <v>47</v>
      </c>
      <c r="AK8" s="45" t="s">
        <v>68</v>
      </c>
      <c r="AL8" s="51" t="s">
        <v>57</v>
      </c>
      <c r="AM8" s="50" t="s">
        <v>59</v>
      </c>
      <c r="AN8" s="50" t="s">
        <v>46</v>
      </c>
      <c r="AO8" s="50" t="s">
        <v>47</v>
      </c>
      <c r="AP8" s="45" t="s">
        <v>68</v>
      </c>
    </row>
    <row r="9" spans="1:42" s="43" customFormat="1" ht="14" x14ac:dyDescent="0.3">
      <c r="A9" s="53" t="str">
        <f>Pb!B8</f>
        <v>06</v>
      </c>
      <c r="B9" s="101"/>
      <c r="C9" s="54">
        <f>Pb!C8</f>
        <v>112.64</v>
      </c>
      <c r="D9" s="54">
        <f>Pb!D8</f>
        <v>113.55</v>
      </c>
      <c r="E9" s="86">
        <f>+'Terc. Plomo'!D10</f>
        <v>0</v>
      </c>
      <c r="F9" s="58">
        <f>IF(E9=0,AVERAGE(C9,D9),IF(OR(AND(C9&lt;D9,C9&gt;E9),AND(C9&gt;D9,C9&lt;E9)),C9,IF(OR(AND(D9&lt;C9,D9&gt;E9),AND(D9&gt;C9,D9&lt;E9)),D9,E9)))</f>
        <v>113.095</v>
      </c>
      <c r="G9" s="95">
        <f>+B9*F9</f>
        <v>0</v>
      </c>
      <c r="H9" s="54">
        <f>Pb!I8</f>
        <v>14.827999999999999</v>
      </c>
      <c r="I9" s="54">
        <f>Pb!J8</f>
        <v>15.247999999999999</v>
      </c>
      <c r="J9" s="55">
        <f>+'Terc. Plomo'!L10</f>
        <v>15.233000000000001</v>
      </c>
      <c r="K9" s="58">
        <f>IF(J9=0,AVERAGE(H9,I9),IF(OR(AND(H9&lt;I9,H9&gt;J9),AND(H9&gt;I9,H9&lt;J9)),H9,IF(OR(AND(I9&lt;H9,I9&gt;J9),AND(I9&gt;H9,I9&lt;J9)),I9,J9)))</f>
        <v>15.233000000000001</v>
      </c>
      <c r="L9" s="73">
        <f>+B9*K9</f>
        <v>0</v>
      </c>
      <c r="M9" s="40">
        <f>Pb!O8</f>
        <v>20.55</v>
      </c>
      <c r="N9" s="40">
        <f>Pb!P8</f>
        <v>20.75</v>
      </c>
      <c r="O9" s="85">
        <f>+'Terc. Plomo'!T10</f>
        <v>0</v>
      </c>
      <c r="P9" s="73">
        <f>IF(O9=0,AVERAGE(M9,N9),IF(OR(AND(M9&lt;N9,M9&gt;O9),AND(M9&gt;N9,M9&lt;O9)),M9,IF(OR(AND(N9&lt;M9,N9&gt;O9),AND(N9&gt;M9,N9&lt;O9)),N9,O9)))</f>
        <v>20.65</v>
      </c>
      <c r="Q9" s="73">
        <f>+B9*P9</f>
        <v>0</v>
      </c>
      <c r="R9" s="41">
        <f>Pb!U8</f>
        <v>24.2</v>
      </c>
      <c r="S9" s="41">
        <f>Pb!V8</f>
        <v>22.2</v>
      </c>
      <c r="T9" s="85">
        <f>+'Terc. Plomo'!AB10</f>
        <v>20.934999999999999</v>
      </c>
      <c r="U9" s="73">
        <f>IF(T9=0,AVERAGE(R9,S9),IF(OR(AND(R9&lt;S9,R9&gt;T9),AND(R9&gt;S9,R9&lt;T9)),R9,IF(OR(AND(S9&lt;R9,S9&gt;T9),AND(S9&gt;R9,S9&lt;T9)),S9,T9)))</f>
        <v>22.2</v>
      </c>
      <c r="V9" s="73">
        <f>+B9*U9</f>
        <v>0</v>
      </c>
      <c r="W9" s="41">
        <f>Pb!AA8</f>
        <v>0.28999999999999998</v>
      </c>
      <c r="X9" s="41">
        <f>Pb!AB8</f>
        <v>0.23899999999999999</v>
      </c>
      <c r="Y9" s="60">
        <f>+'Terc. Plomo'!AJ10</f>
        <v>0</v>
      </c>
      <c r="Z9" s="73">
        <f>IF(Y9=0,AVERAGE(W9,X9),IF(OR(AND(W9&lt;X9,W9&gt;Y9),AND(W9&gt;X9,W9&lt;Y9)),W9,IF(OR(AND(X9&lt;W9,X9&gt;Y9),AND(X9&gt;W9,X9&lt;Y9)),X9,Y9)))</f>
        <v>0.26449999999999996</v>
      </c>
      <c r="AA9" s="71">
        <f>+B9*Z9</f>
        <v>0</v>
      </c>
      <c r="AB9" s="74">
        <f>Pb!AS8</f>
        <v>3.32E-2</v>
      </c>
      <c r="AC9" s="74">
        <f>Pb!AT8</f>
        <v>6.8999999999999999E-3</v>
      </c>
      <c r="AD9" s="60">
        <f>+'Terc. Plomo'!AR10</f>
        <v>5.3199999999999997E-2</v>
      </c>
      <c r="AE9" s="73">
        <f>IF(AD9=0,AVERAGE(AB9,AC9),IF(OR(AND(AB9&lt;AC9,AB9&gt;AD9),AND(AB9&gt;AC9,AB9&lt;AD9)),AB9,IF(OR(AND(AC9&lt;AB9,AC9&gt;AD9),AND(AC9&gt;AB9,AC9&lt;AD9)),AC9,AD9)))</f>
        <v>3.32E-2</v>
      </c>
      <c r="AF9" s="71">
        <f>+B9*AE9</f>
        <v>0</v>
      </c>
      <c r="AG9" s="74">
        <f>+Pb!AG8</f>
        <v>0.03</v>
      </c>
      <c r="AH9" s="74">
        <f>+Pb!AH8</f>
        <v>0.05</v>
      </c>
      <c r="AI9" s="60"/>
      <c r="AJ9" s="58">
        <f>IF(AI9=0,AVERAGE(AG9,AH9),IF(OR(AND(AG9&lt;AH9,AG9&gt;AI9),AND(AG9&gt;AH9,AG9&lt;AI9)),AG9,IF(OR(AND(AH9&lt;AG9,AH9&gt;AI9),AND(AH9&gt;AG9,AH9&lt;AI9)),AH9,AI9)))</f>
        <v>0.04</v>
      </c>
      <c r="AK9" s="71">
        <f>+B9*AJ9</f>
        <v>0</v>
      </c>
      <c r="AL9" s="74">
        <f>+Pb!AM8</f>
        <v>0.06</v>
      </c>
      <c r="AM9" s="74">
        <f>+Pb!AN8</f>
        <v>7.0000000000000007E-2</v>
      </c>
      <c r="AN9" s="60"/>
      <c r="AO9" s="58">
        <f>IF(AN9=0,AVERAGE(AL9,AM9),IF(OR(AND(AL9&lt;AM9,AL9&gt;AN9),AND(AL9&gt;AM9,AL9&lt;AN9)),AL9,IF(OR(AND(AM9&lt;AL9,AM9&gt;AN9),AND(AM9&gt;AL9,AM9&lt;AN9)),AM9,AN9)))</f>
        <v>6.5000000000000002E-2</v>
      </c>
      <c r="AP9" s="71">
        <f>+B9*AO9</f>
        <v>0</v>
      </c>
    </row>
    <row r="10" spans="1:42" s="43" customFormat="1" ht="14" x14ac:dyDescent="0.3">
      <c r="A10" s="53" t="str">
        <f>Pb!B9</f>
        <v>07</v>
      </c>
      <c r="B10" s="101"/>
      <c r="C10" s="54">
        <f>Pb!C9</f>
        <v>109.68</v>
      </c>
      <c r="D10" s="54">
        <f>Pb!D9</f>
        <v>113.9</v>
      </c>
      <c r="E10" s="86">
        <f>+'Terc. Plomo'!D11</f>
        <v>114.08499999999999</v>
      </c>
      <c r="F10" s="58">
        <f t="shared" ref="F10:F22" si="0">IF(E10=0,AVERAGE(C10,D10),IF(OR(AND(C10&lt;D10,C10&gt;E10),AND(C10&gt;D10,C10&lt;E10)),C10,IF(OR(AND(D10&lt;C10,D10&gt;E10),AND(D10&gt;C10,D10&lt;E10)),D10,E10)))</f>
        <v>113.9</v>
      </c>
      <c r="G10" s="95">
        <f t="shared" ref="G10:G22" si="1">+B10*F10</f>
        <v>0</v>
      </c>
      <c r="H10" s="54">
        <f>Pb!I9</f>
        <v>14.161</v>
      </c>
      <c r="I10" s="54">
        <f>Pb!J9</f>
        <v>14.532</v>
      </c>
      <c r="J10" s="55">
        <f>+'Terc. Plomo'!L11</f>
        <v>14.704000000000001</v>
      </c>
      <c r="K10" s="58">
        <f t="shared" ref="K10:K22" si="2">IF(J10=0,AVERAGE(H10,I10),IF(OR(AND(H10&lt;I10,H10&gt;J10),AND(H10&gt;I10,H10&lt;J10)),H10,IF(OR(AND(I10&lt;H10,I10&gt;J10),AND(I10&gt;H10,I10&lt;J10)),I10,J10)))</f>
        <v>14.532</v>
      </c>
      <c r="L10" s="73">
        <f t="shared" ref="L10:L22" si="3">+B10*K10</f>
        <v>0</v>
      </c>
      <c r="M10" s="40">
        <f>Pb!O9</f>
        <v>20.7</v>
      </c>
      <c r="N10" s="40">
        <f>Pb!P9</f>
        <v>21.66</v>
      </c>
      <c r="O10" s="85">
        <f>+'Terc. Plomo'!T11</f>
        <v>21.18</v>
      </c>
      <c r="P10" s="73">
        <f t="shared" ref="P10:P22" si="4">IF(O10=0,AVERAGE(M10,N10),IF(OR(AND(M10&lt;N10,M10&gt;O10),AND(M10&gt;N10,M10&lt;O10)),M10,IF(OR(AND(N10&lt;M10,N10&gt;O10),AND(N10&gt;M10,N10&lt;O10)),N10,O10)))</f>
        <v>21.18</v>
      </c>
      <c r="Q10" s="73">
        <f t="shared" ref="Q10:Q22" si="5">+B10*P10</f>
        <v>0</v>
      </c>
      <c r="R10" s="41">
        <f>Pb!U9</f>
        <v>24.38</v>
      </c>
      <c r="S10" s="41">
        <f>Pb!V9</f>
        <v>22.45</v>
      </c>
      <c r="T10" s="85">
        <f>+'Terc. Plomo'!AB11</f>
        <v>20.585000000000001</v>
      </c>
      <c r="U10" s="73">
        <f t="shared" ref="U10:U22" si="6">IF(T10=0,AVERAGE(R10,S10),IF(OR(AND(R10&lt;S10,R10&gt;T10),AND(R10&gt;S10,R10&lt;T10)),R10,IF(OR(AND(S10&lt;R10,S10&gt;T10),AND(S10&gt;R10,S10&lt;T10)),S10,T10)))</f>
        <v>22.45</v>
      </c>
      <c r="V10" s="73">
        <f t="shared" ref="V10:V22" si="7">+B10*U10</f>
        <v>0</v>
      </c>
      <c r="W10" s="41">
        <f>Pb!AA9</f>
        <v>0.28000000000000003</v>
      </c>
      <c r="X10" s="41">
        <f>Pb!AB9</f>
        <v>0.24</v>
      </c>
      <c r="Y10" s="60">
        <f>+'Terc. Plomo'!AJ11</f>
        <v>0</v>
      </c>
      <c r="Z10" s="73">
        <f t="shared" ref="Z10:Z22" si="8">IF(Y10=0,AVERAGE(W10,X10),IF(OR(AND(W10&lt;X10,W10&gt;Y10),AND(W10&gt;X10,W10&lt;Y10)),W10,IF(OR(AND(X10&lt;W10,X10&gt;Y10),AND(X10&gt;W10,X10&lt;Y10)),X10,Y10)))</f>
        <v>0.26</v>
      </c>
      <c r="AA10" s="71">
        <f t="shared" ref="AA10:AA22" si="9">+B10*Z10</f>
        <v>0</v>
      </c>
      <c r="AB10" s="74">
        <f>Pb!AS9</f>
        <v>3.09E-2</v>
      </c>
      <c r="AC10" s="74">
        <f>Pb!AT9</f>
        <v>7.0000000000000001E-3</v>
      </c>
      <c r="AD10" s="60">
        <f>+'Terc. Plomo'!AR11</f>
        <v>4.8099999999999997E-2</v>
      </c>
      <c r="AE10" s="73">
        <f>IF(AD10=0,AVERAGE(AB10,AC10),IF(OR(AND(AB10&lt;AC10,AB10&gt;AD10),AND(AB10&gt;AC10,AB10&lt;AD10)),AB10,IF(OR(AND(AC10&lt;AB10,AC10&gt;AD10),AND(AC10&gt;AB10,AC10&lt;AD10)),AC10,AD10)))</f>
        <v>3.09E-2</v>
      </c>
      <c r="AF10" s="71">
        <f t="shared" ref="AF10:AF22" si="10">+B10*AE10</f>
        <v>0</v>
      </c>
      <c r="AG10" s="74">
        <f>+Pb!AG9</f>
        <v>0.03</v>
      </c>
      <c r="AH10" s="74">
        <f>+Pb!AH9</f>
        <v>0.06</v>
      </c>
      <c r="AI10" s="60"/>
      <c r="AJ10" s="58">
        <f>IF(AI10=0,AVERAGE(AG10,AH10),IF(OR(AND(AG10&lt;AH10,AG10&gt;AI10),AND(AG10&gt;AH10,AG10&lt;AI10)),AG10,IF(OR(AND(AH10&lt;AG10,AH10&gt;AI10),AND(AH10&gt;AG10,AH10&lt;AI10)),AH10,AI10)))</f>
        <v>4.4999999999999998E-2</v>
      </c>
      <c r="AK10" s="71">
        <f t="shared" ref="AK10:AK22" si="11">+B10*AJ10</f>
        <v>0</v>
      </c>
      <c r="AL10" s="74">
        <f>+Pb!AM9</f>
        <v>7.0000000000000007E-2</v>
      </c>
      <c r="AM10" s="74">
        <f>+Pb!AN9</f>
        <v>7.0000000000000007E-2</v>
      </c>
      <c r="AN10" s="60"/>
      <c r="AO10" s="58">
        <f>IF(AN10=0,AVERAGE(AL10,AM10),IF(OR(AND(AL10&lt;AM10,AL10&gt;AN10),AND(AL10&gt;AM10,AL10&lt;AN10)),AL10,IF(OR(AND(AM10&lt;AL10,AM10&gt;AN10),AND(AM10&gt;AL10,AM10&lt;AN10)),AM10,AN10)))</f>
        <v>7.0000000000000007E-2</v>
      </c>
      <c r="AP10" s="71">
        <f t="shared" ref="AP10:AP22" si="12">+B10*AO10</f>
        <v>0</v>
      </c>
    </row>
    <row r="11" spans="1:42" s="43" customFormat="1" ht="14.25" customHeight="1" x14ac:dyDescent="0.3">
      <c r="A11" s="53" t="str">
        <f>Pb!B10</f>
        <v>08</v>
      </c>
      <c r="B11" s="101"/>
      <c r="C11" s="54">
        <f>Pb!C10</f>
        <v>180.88</v>
      </c>
      <c r="D11" s="54">
        <f>Pb!D10</f>
        <v>185.26</v>
      </c>
      <c r="E11" s="86">
        <f>+'Terc. Plomo'!D12</f>
        <v>180.81</v>
      </c>
      <c r="F11" s="58">
        <f t="shared" si="0"/>
        <v>180.88</v>
      </c>
      <c r="G11" s="95">
        <f t="shared" si="1"/>
        <v>0</v>
      </c>
      <c r="H11" s="54">
        <f>Pb!I10</f>
        <v>14.683</v>
      </c>
      <c r="I11" s="54">
        <f>Pb!J10</f>
        <v>15.101000000000001</v>
      </c>
      <c r="J11" s="55">
        <f>+'Terc. Plomo'!L12</f>
        <v>14.837999999999999</v>
      </c>
      <c r="K11" s="58">
        <f t="shared" si="2"/>
        <v>14.837999999999999</v>
      </c>
      <c r="L11" s="73">
        <f t="shared" si="3"/>
        <v>0</v>
      </c>
      <c r="M11" s="40">
        <f>Pb!O10</f>
        <v>23.56</v>
      </c>
      <c r="N11" s="40">
        <f>Pb!P10</f>
        <v>24.47</v>
      </c>
      <c r="O11" s="85">
        <f>+'Terc. Plomo'!T12</f>
        <v>24.31</v>
      </c>
      <c r="P11" s="73">
        <f t="shared" si="4"/>
        <v>24.31</v>
      </c>
      <c r="Q11" s="73">
        <f t="shared" si="5"/>
        <v>0</v>
      </c>
      <c r="R11" s="41">
        <f>Pb!U10</f>
        <v>22.71</v>
      </c>
      <c r="S11" s="41">
        <f>Pb!V10</f>
        <v>20.99</v>
      </c>
      <c r="T11" s="85">
        <f>+'Terc. Plomo'!AB12</f>
        <v>21.33</v>
      </c>
      <c r="U11" s="73">
        <f t="shared" si="6"/>
        <v>21.33</v>
      </c>
      <c r="V11" s="73">
        <f t="shared" si="7"/>
        <v>0</v>
      </c>
      <c r="W11" s="41">
        <f>Pb!AA10</f>
        <v>0.28000000000000003</v>
      </c>
      <c r="X11" s="41">
        <f>Pb!AB10</f>
        <v>0.24399999999999999</v>
      </c>
      <c r="Y11" s="60">
        <f>+'Terc. Plomo'!AJ12</f>
        <v>0</v>
      </c>
      <c r="Z11" s="73">
        <f t="shared" si="8"/>
        <v>0.26200000000000001</v>
      </c>
      <c r="AA11" s="71">
        <f t="shared" si="9"/>
        <v>0</v>
      </c>
      <c r="AB11" s="74">
        <f>Pb!AS10</f>
        <v>3.0300000000000001E-2</v>
      </c>
      <c r="AC11" s="74">
        <f>Pb!AT10</f>
        <v>6.8999999999999999E-3</v>
      </c>
      <c r="AD11" s="60">
        <f>+'Terc. Plomo'!AR12</f>
        <v>2.1100000000000001E-2</v>
      </c>
      <c r="AE11" s="73">
        <f>IF(AD11=0,AVERAGE(AB11,AC11),IF(OR(AND(AB11&lt;AC11,AB11&gt;AD11),AND(AB11&gt;AC11,AB11&lt;AD11)),AB11,IF(OR(AND(AC11&lt;AB11,AC11&gt;AD11),AND(AC11&gt;AB11,AC11&lt;AD11)),AC11,AD11)))</f>
        <v>2.1100000000000001E-2</v>
      </c>
      <c r="AF11" s="71">
        <f t="shared" si="10"/>
        <v>0</v>
      </c>
      <c r="AG11" s="74">
        <f>+Pb!AG10</f>
        <v>0.03</v>
      </c>
      <c r="AH11" s="74">
        <f>+Pb!AH10</f>
        <v>4.9000000000000002E-2</v>
      </c>
      <c r="AI11" s="60"/>
      <c r="AJ11" s="58">
        <f>IF(AI11=0,AVERAGE(AG11,AH11),IF(OR(AND(AG11&lt;AH11,AG11&gt;AI11),AND(AG11&gt;AH11,AG11&lt;AI11)),AG11,IF(OR(AND(AH11&lt;AG11,AH11&gt;AI11),AND(AH11&gt;AG11,AH11&lt;AI11)),AH11,AI11)))</f>
        <v>3.95E-2</v>
      </c>
      <c r="AK11" s="71">
        <f t="shared" si="11"/>
        <v>0</v>
      </c>
      <c r="AL11" s="74">
        <f>+Pb!AM10</f>
        <v>0.06</v>
      </c>
      <c r="AM11" s="74">
        <f>+Pb!AN10</f>
        <v>0.05</v>
      </c>
      <c r="AN11" s="60"/>
      <c r="AO11" s="58">
        <f>IF(AN11=0,AVERAGE(AL11,AM11),IF(OR(AND(AL11&lt;AM11,AL11&gt;AN11),AND(AL11&gt;AM11,AL11&lt;AN11)),AL11,IF(OR(AND(AM11&lt;AL11,AM11&gt;AN11),AND(AM11&gt;AL11,AM11&lt;AN11)),AM11,AN11)))</f>
        <v>5.5E-2</v>
      </c>
      <c r="AP11" s="71">
        <f t="shared" si="12"/>
        <v>0</v>
      </c>
    </row>
    <row r="12" spans="1:42" s="43" customFormat="1" ht="14.25" customHeight="1" x14ac:dyDescent="0.3">
      <c r="A12" s="53" t="str">
        <f>Pb!B11</f>
        <v>09</v>
      </c>
      <c r="B12" s="101"/>
      <c r="C12" s="54">
        <f>Pb!C11</f>
        <v>171.83</v>
      </c>
      <c r="D12" s="54">
        <f>Pb!D11</f>
        <v>176.07</v>
      </c>
      <c r="E12" s="86">
        <f>+'Terc. Plomo'!D13</f>
        <v>175.12</v>
      </c>
      <c r="F12" s="58">
        <f t="shared" si="0"/>
        <v>175.12</v>
      </c>
      <c r="G12" s="95">
        <f t="shared" si="1"/>
        <v>0</v>
      </c>
      <c r="H12" s="54">
        <f>Pb!I11</f>
        <v>14.602</v>
      </c>
      <c r="I12" s="54">
        <f>Pb!J11</f>
        <v>14.903</v>
      </c>
      <c r="J12" s="55">
        <f>+'Terc. Plomo'!L13</f>
        <v>14.750999999999999</v>
      </c>
      <c r="K12" s="58">
        <f t="shared" si="2"/>
        <v>14.750999999999999</v>
      </c>
      <c r="L12" s="73">
        <f t="shared" si="3"/>
        <v>0</v>
      </c>
      <c r="M12" s="40">
        <f>Pb!O11</f>
        <v>23.57</v>
      </c>
      <c r="N12" s="40">
        <f>Pb!P11</f>
        <v>23.94</v>
      </c>
      <c r="O12" s="85">
        <f>+'Terc. Plomo'!T13</f>
        <v>0</v>
      </c>
      <c r="P12" s="73">
        <f t="shared" si="4"/>
        <v>23.755000000000003</v>
      </c>
      <c r="Q12" s="73">
        <f t="shared" si="5"/>
        <v>0</v>
      </c>
      <c r="R12" s="41">
        <f>Pb!U11</f>
        <v>23.12</v>
      </c>
      <c r="S12" s="41">
        <f>Pb!V11</f>
        <v>21.8</v>
      </c>
      <c r="T12" s="85">
        <f>+'Terc. Plomo'!AB13</f>
        <v>21.74</v>
      </c>
      <c r="U12" s="73">
        <f t="shared" si="6"/>
        <v>21.8</v>
      </c>
      <c r="V12" s="73">
        <f t="shared" si="7"/>
        <v>0</v>
      </c>
      <c r="W12" s="41">
        <f>Pb!AA11</f>
        <v>0.28999999999999998</v>
      </c>
      <c r="X12" s="41">
        <f>Pb!AB11</f>
        <v>0.255</v>
      </c>
      <c r="Y12" s="60">
        <f>+'Terc. Plomo'!AJ13</f>
        <v>0</v>
      </c>
      <c r="Z12" s="73">
        <f t="shared" si="8"/>
        <v>0.27249999999999996</v>
      </c>
      <c r="AA12" s="71">
        <f t="shared" si="9"/>
        <v>0</v>
      </c>
      <c r="AB12" s="74">
        <f>Pb!AS11</f>
        <v>2.8500000000000001E-2</v>
      </c>
      <c r="AC12" s="74">
        <f>Pb!AT11</f>
        <v>7.0000000000000001E-3</v>
      </c>
      <c r="AD12" s="60">
        <f>+'Terc. Plomo'!AR13</f>
        <v>1.95E-2</v>
      </c>
      <c r="AE12" s="73">
        <f t="shared" ref="AE12:AE23" si="13">IF(AD12=0,AVERAGE(AB12,AC12),IF(OR(AND(AB12&lt;AC12,AB12&gt;AD12),AND(AB12&gt;AC12,AB12&lt;AD12)),AB12,IF(OR(AND(AC12&lt;AB12,AC12&gt;AD12),AND(AC12&gt;AB12,AC12&lt;AD12)),AC12,AD12)))</f>
        <v>1.95E-2</v>
      </c>
      <c r="AF12" s="71">
        <f t="shared" si="10"/>
        <v>0</v>
      </c>
      <c r="AG12" s="74">
        <f>+Pb!AG11</f>
        <v>0.03</v>
      </c>
      <c r="AH12" s="74">
        <f>+Pb!AH11</f>
        <v>4.4999999999999998E-2</v>
      </c>
      <c r="AI12" s="60"/>
      <c r="AJ12" s="58">
        <f t="shared" ref="AJ12:AJ23" si="14">IF(AI12=0,AVERAGE(AG12,AH12),IF(OR(AND(AG12&lt;AH12,AG12&gt;AI12),AND(AG12&gt;AH12,AG12&lt;AI12)),AG12,IF(OR(AND(AH12&lt;AG12,AH12&gt;AI12),AND(AH12&gt;AG12,AH12&lt;AI12)),AH12,AI12)))</f>
        <v>3.7499999999999999E-2</v>
      </c>
      <c r="AK12" s="71">
        <f t="shared" si="11"/>
        <v>0</v>
      </c>
      <c r="AL12" s="74">
        <f>+Pb!AM11</f>
        <v>0.06</v>
      </c>
      <c r="AM12" s="74">
        <f>+Pb!AN11</f>
        <v>0.06</v>
      </c>
      <c r="AN12" s="60"/>
      <c r="AO12" s="58">
        <f t="shared" ref="AO12:AO23" si="15">IF(AN12=0,AVERAGE(AL12,AM12),IF(OR(AND(AL12&lt;AM12,AL12&gt;AN12),AND(AL12&gt;AM12,AL12&lt;AN12)),AL12,IF(OR(AND(AM12&lt;AL12,AM12&gt;AN12),AND(AM12&gt;AL12,AM12&lt;AN12)),AM12,AN12)))</f>
        <v>0.06</v>
      </c>
      <c r="AP12" s="71">
        <f t="shared" si="12"/>
        <v>0</v>
      </c>
    </row>
    <row r="13" spans="1:42" s="43" customFormat="1" ht="14.25" customHeight="1" x14ac:dyDescent="0.3">
      <c r="A13" s="53" t="e">
        <f>Pb!#REF!</f>
        <v>#REF!</v>
      </c>
      <c r="B13" s="101"/>
      <c r="C13" s="54" t="e">
        <f>Pb!#REF!</f>
        <v>#REF!</v>
      </c>
      <c r="D13" s="54" t="e">
        <f>Pb!#REF!</f>
        <v>#REF!</v>
      </c>
      <c r="E13" s="86" t="e">
        <f>+'Terc. Plomo'!#REF!</f>
        <v>#REF!</v>
      </c>
      <c r="F13" s="58" t="e">
        <f t="shared" si="0"/>
        <v>#REF!</v>
      </c>
      <c r="G13" s="95" t="e">
        <f t="shared" si="1"/>
        <v>#REF!</v>
      </c>
      <c r="H13" s="54" t="e">
        <f>Pb!#REF!</f>
        <v>#REF!</v>
      </c>
      <c r="I13" s="54" t="e">
        <f>Pb!#REF!</f>
        <v>#REF!</v>
      </c>
      <c r="J13" s="55" t="e">
        <f>+'Terc. Plomo'!#REF!</f>
        <v>#REF!</v>
      </c>
      <c r="K13" s="58" t="e">
        <f t="shared" si="2"/>
        <v>#REF!</v>
      </c>
      <c r="L13" s="73" t="e">
        <f t="shared" si="3"/>
        <v>#REF!</v>
      </c>
      <c r="M13" s="40" t="e">
        <f>Pb!#REF!</f>
        <v>#REF!</v>
      </c>
      <c r="N13" s="40" t="e">
        <f>Pb!#REF!</f>
        <v>#REF!</v>
      </c>
      <c r="O13" s="85" t="e">
        <f>+'Terc. Plomo'!#REF!</f>
        <v>#REF!</v>
      </c>
      <c r="P13" s="73" t="e">
        <f t="shared" si="4"/>
        <v>#REF!</v>
      </c>
      <c r="Q13" s="73" t="e">
        <f t="shared" si="5"/>
        <v>#REF!</v>
      </c>
      <c r="R13" s="41" t="e">
        <f>Pb!#REF!</f>
        <v>#REF!</v>
      </c>
      <c r="S13" s="41" t="e">
        <f>Pb!#REF!</f>
        <v>#REF!</v>
      </c>
      <c r="T13" s="85" t="e">
        <f>+'Terc. Plomo'!#REF!</f>
        <v>#REF!</v>
      </c>
      <c r="U13" s="73" t="e">
        <f t="shared" si="6"/>
        <v>#REF!</v>
      </c>
      <c r="V13" s="73" t="e">
        <f t="shared" si="7"/>
        <v>#REF!</v>
      </c>
      <c r="W13" s="41" t="e">
        <f>Pb!#REF!</f>
        <v>#REF!</v>
      </c>
      <c r="X13" s="41" t="e">
        <f>Pb!#REF!</f>
        <v>#REF!</v>
      </c>
      <c r="Y13" s="60" t="e">
        <f>+'Terc. Plomo'!#REF!</f>
        <v>#REF!</v>
      </c>
      <c r="Z13" s="73" t="e">
        <f t="shared" si="8"/>
        <v>#REF!</v>
      </c>
      <c r="AA13" s="71" t="e">
        <f t="shared" si="9"/>
        <v>#REF!</v>
      </c>
      <c r="AB13" s="74" t="e">
        <f>Pb!#REF!</f>
        <v>#REF!</v>
      </c>
      <c r="AC13" s="74" t="e">
        <f>Pb!#REF!</f>
        <v>#REF!</v>
      </c>
      <c r="AD13" s="60" t="e">
        <f>+'Terc. Plomo'!#REF!</f>
        <v>#REF!</v>
      </c>
      <c r="AE13" s="73" t="e">
        <f t="shared" si="13"/>
        <v>#REF!</v>
      </c>
      <c r="AF13" s="71" t="e">
        <f t="shared" si="10"/>
        <v>#REF!</v>
      </c>
      <c r="AG13" s="74" t="e">
        <f>+Pb!#REF!</f>
        <v>#REF!</v>
      </c>
      <c r="AH13" s="74" t="e">
        <f>+Pb!#REF!</f>
        <v>#REF!</v>
      </c>
      <c r="AI13" s="60"/>
      <c r="AJ13" s="58" t="e">
        <f t="shared" si="14"/>
        <v>#REF!</v>
      </c>
      <c r="AK13" s="71" t="e">
        <f t="shared" si="11"/>
        <v>#REF!</v>
      </c>
      <c r="AL13" s="74" t="e">
        <f>+Pb!#REF!</f>
        <v>#REF!</v>
      </c>
      <c r="AM13" s="74" t="e">
        <f>+Pb!#REF!</f>
        <v>#REF!</v>
      </c>
      <c r="AN13" s="60"/>
      <c r="AO13" s="58" t="e">
        <f t="shared" si="15"/>
        <v>#REF!</v>
      </c>
      <c r="AP13" s="71" t="e">
        <f t="shared" si="12"/>
        <v>#REF!</v>
      </c>
    </row>
    <row r="14" spans="1:42" s="43" customFormat="1" ht="14.25" customHeight="1" x14ac:dyDescent="0.3">
      <c r="A14" s="53" t="e">
        <f>Pb!#REF!</f>
        <v>#REF!</v>
      </c>
      <c r="B14" s="101"/>
      <c r="C14" s="54" t="e">
        <f>Pb!#REF!</f>
        <v>#REF!</v>
      </c>
      <c r="D14" s="54" t="e">
        <f>Pb!#REF!</f>
        <v>#REF!</v>
      </c>
      <c r="E14" s="86" t="e">
        <f>+'Terc. Plomo'!#REF!</f>
        <v>#REF!</v>
      </c>
      <c r="F14" s="58" t="e">
        <f t="shared" si="0"/>
        <v>#REF!</v>
      </c>
      <c r="G14" s="95" t="e">
        <f t="shared" si="1"/>
        <v>#REF!</v>
      </c>
      <c r="H14" s="54" t="e">
        <f>Pb!#REF!</f>
        <v>#REF!</v>
      </c>
      <c r="I14" s="54" t="e">
        <f>Pb!#REF!</f>
        <v>#REF!</v>
      </c>
      <c r="J14" s="55" t="e">
        <f>+'Terc. Plomo'!#REF!</f>
        <v>#REF!</v>
      </c>
      <c r="K14" s="58" t="e">
        <f t="shared" si="2"/>
        <v>#REF!</v>
      </c>
      <c r="L14" s="73" t="e">
        <f t="shared" si="3"/>
        <v>#REF!</v>
      </c>
      <c r="M14" s="40" t="e">
        <f>Pb!#REF!</f>
        <v>#REF!</v>
      </c>
      <c r="N14" s="40" t="e">
        <f>Pb!#REF!</f>
        <v>#REF!</v>
      </c>
      <c r="O14" s="85" t="e">
        <f>+'Terc. Plomo'!#REF!</f>
        <v>#REF!</v>
      </c>
      <c r="P14" s="73" t="e">
        <f t="shared" si="4"/>
        <v>#REF!</v>
      </c>
      <c r="Q14" s="73" t="e">
        <f t="shared" si="5"/>
        <v>#REF!</v>
      </c>
      <c r="R14" s="41" t="e">
        <f>Pb!#REF!</f>
        <v>#REF!</v>
      </c>
      <c r="S14" s="41" t="e">
        <f>Pb!#REF!</f>
        <v>#REF!</v>
      </c>
      <c r="T14" s="85" t="e">
        <f>+'Terc. Plomo'!#REF!</f>
        <v>#REF!</v>
      </c>
      <c r="U14" s="73" t="e">
        <f t="shared" si="6"/>
        <v>#REF!</v>
      </c>
      <c r="V14" s="73" t="e">
        <f t="shared" si="7"/>
        <v>#REF!</v>
      </c>
      <c r="W14" s="41" t="e">
        <f>Pb!#REF!</f>
        <v>#REF!</v>
      </c>
      <c r="X14" s="41" t="e">
        <f>Pb!#REF!</f>
        <v>#REF!</v>
      </c>
      <c r="Y14" s="60" t="e">
        <f>+'Terc. Plomo'!#REF!</f>
        <v>#REF!</v>
      </c>
      <c r="Z14" s="73" t="e">
        <f t="shared" si="8"/>
        <v>#REF!</v>
      </c>
      <c r="AA14" s="71" t="e">
        <f t="shared" si="9"/>
        <v>#REF!</v>
      </c>
      <c r="AB14" s="74" t="e">
        <f>Pb!#REF!</f>
        <v>#REF!</v>
      </c>
      <c r="AC14" s="74" t="e">
        <f>Pb!#REF!</f>
        <v>#REF!</v>
      </c>
      <c r="AD14" s="60" t="e">
        <f>+'Terc. Plomo'!#REF!</f>
        <v>#REF!</v>
      </c>
      <c r="AE14" s="73" t="e">
        <f t="shared" si="13"/>
        <v>#REF!</v>
      </c>
      <c r="AF14" s="71" t="e">
        <f t="shared" si="10"/>
        <v>#REF!</v>
      </c>
      <c r="AG14" s="74" t="e">
        <f>+Pb!#REF!</f>
        <v>#REF!</v>
      </c>
      <c r="AH14" s="74" t="e">
        <f>+Pb!#REF!</f>
        <v>#REF!</v>
      </c>
      <c r="AI14" s="60"/>
      <c r="AJ14" s="58" t="e">
        <f t="shared" si="14"/>
        <v>#REF!</v>
      </c>
      <c r="AK14" s="71" t="e">
        <f t="shared" si="11"/>
        <v>#REF!</v>
      </c>
      <c r="AL14" s="74" t="e">
        <f>+Pb!#REF!</f>
        <v>#REF!</v>
      </c>
      <c r="AM14" s="74" t="e">
        <f>+Pb!#REF!</f>
        <v>#REF!</v>
      </c>
      <c r="AN14" s="60"/>
      <c r="AO14" s="58" t="e">
        <f t="shared" si="15"/>
        <v>#REF!</v>
      </c>
      <c r="AP14" s="71" t="e">
        <f t="shared" si="12"/>
        <v>#REF!</v>
      </c>
    </row>
    <row r="15" spans="1:42" s="43" customFormat="1" ht="14.25" customHeight="1" x14ac:dyDescent="0.3">
      <c r="A15" s="53" t="e">
        <f>Pb!#REF!</f>
        <v>#REF!</v>
      </c>
      <c r="B15" s="101"/>
      <c r="C15" s="54" t="e">
        <f>Pb!#REF!</f>
        <v>#REF!</v>
      </c>
      <c r="D15" s="54" t="e">
        <f>Pb!#REF!</f>
        <v>#REF!</v>
      </c>
      <c r="E15" s="86" t="e">
        <f>+'Terc. Plomo'!#REF!</f>
        <v>#REF!</v>
      </c>
      <c r="F15" s="58" t="e">
        <f t="shared" si="0"/>
        <v>#REF!</v>
      </c>
      <c r="G15" s="95" t="e">
        <f t="shared" si="1"/>
        <v>#REF!</v>
      </c>
      <c r="H15" s="54" t="e">
        <f>Pb!#REF!</f>
        <v>#REF!</v>
      </c>
      <c r="I15" s="54" t="e">
        <f>Pb!#REF!</f>
        <v>#REF!</v>
      </c>
      <c r="J15" s="55" t="e">
        <f>+'Terc. Plomo'!#REF!</f>
        <v>#REF!</v>
      </c>
      <c r="K15" s="58" t="e">
        <f t="shared" si="2"/>
        <v>#REF!</v>
      </c>
      <c r="L15" s="73" t="e">
        <f t="shared" si="3"/>
        <v>#REF!</v>
      </c>
      <c r="M15" s="40" t="e">
        <f>Pb!#REF!</f>
        <v>#REF!</v>
      </c>
      <c r="N15" s="40" t="e">
        <f>Pb!#REF!</f>
        <v>#REF!</v>
      </c>
      <c r="O15" s="85" t="e">
        <f>+'Terc. Plomo'!#REF!</f>
        <v>#REF!</v>
      </c>
      <c r="P15" s="73" t="e">
        <f t="shared" si="4"/>
        <v>#REF!</v>
      </c>
      <c r="Q15" s="73" t="e">
        <f t="shared" si="5"/>
        <v>#REF!</v>
      </c>
      <c r="R15" s="41" t="e">
        <f>Pb!#REF!</f>
        <v>#REF!</v>
      </c>
      <c r="S15" s="41" t="e">
        <f>Pb!#REF!</f>
        <v>#REF!</v>
      </c>
      <c r="T15" s="85" t="e">
        <f>+'Terc. Plomo'!#REF!</f>
        <v>#REF!</v>
      </c>
      <c r="U15" s="73" t="e">
        <f t="shared" si="6"/>
        <v>#REF!</v>
      </c>
      <c r="V15" s="73" t="e">
        <f t="shared" si="7"/>
        <v>#REF!</v>
      </c>
      <c r="W15" s="41" t="e">
        <f>Pb!#REF!</f>
        <v>#REF!</v>
      </c>
      <c r="X15" s="41" t="e">
        <f>Pb!#REF!</f>
        <v>#REF!</v>
      </c>
      <c r="Y15" s="60" t="e">
        <f>+'Terc. Plomo'!#REF!</f>
        <v>#REF!</v>
      </c>
      <c r="Z15" s="73" t="e">
        <f t="shared" si="8"/>
        <v>#REF!</v>
      </c>
      <c r="AA15" s="71" t="e">
        <f t="shared" si="9"/>
        <v>#REF!</v>
      </c>
      <c r="AB15" s="74" t="e">
        <f>Pb!#REF!</f>
        <v>#REF!</v>
      </c>
      <c r="AC15" s="74" t="e">
        <f>Pb!#REF!</f>
        <v>#REF!</v>
      </c>
      <c r="AD15" s="60" t="e">
        <f>+'Terc. Plomo'!#REF!</f>
        <v>#REF!</v>
      </c>
      <c r="AE15" s="73" t="e">
        <f t="shared" si="13"/>
        <v>#REF!</v>
      </c>
      <c r="AF15" s="71" t="e">
        <f t="shared" si="10"/>
        <v>#REF!</v>
      </c>
      <c r="AG15" s="74" t="e">
        <f>+Pb!#REF!</f>
        <v>#REF!</v>
      </c>
      <c r="AH15" s="74" t="e">
        <f>+Pb!#REF!</f>
        <v>#REF!</v>
      </c>
      <c r="AI15" s="60"/>
      <c r="AJ15" s="58" t="e">
        <f t="shared" si="14"/>
        <v>#REF!</v>
      </c>
      <c r="AK15" s="71" t="e">
        <f t="shared" si="11"/>
        <v>#REF!</v>
      </c>
      <c r="AL15" s="74" t="e">
        <f>+Pb!#REF!</f>
        <v>#REF!</v>
      </c>
      <c r="AM15" s="74" t="e">
        <f>+Pb!#REF!</f>
        <v>#REF!</v>
      </c>
      <c r="AN15" s="60"/>
      <c r="AO15" s="58" t="e">
        <f t="shared" si="15"/>
        <v>#REF!</v>
      </c>
      <c r="AP15" s="71" t="e">
        <f t="shared" si="12"/>
        <v>#REF!</v>
      </c>
    </row>
    <row r="16" spans="1:42" s="43" customFormat="1" ht="14.25" customHeight="1" x14ac:dyDescent="0.3">
      <c r="A16" s="53" t="e">
        <f>Pb!#REF!</f>
        <v>#REF!</v>
      </c>
      <c r="B16" s="101"/>
      <c r="C16" s="54" t="e">
        <f>Pb!#REF!</f>
        <v>#REF!</v>
      </c>
      <c r="D16" s="54" t="e">
        <f>Pb!#REF!</f>
        <v>#REF!</v>
      </c>
      <c r="E16" s="86">
        <f>+'Terc. Plomo'!D14</f>
        <v>0</v>
      </c>
      <c r="F16" s="58" t="e">
        <f t="shared" si="0"/>
        <v>#REF!</v>
      </c>
      <c r="G16" s="95" t="e">
        <f t="shared" si="1"/>
        <v>#REF!</v>
      </c>
      <c r="H16" s="54" t="e">
        <f>Pb!#REF!</f>
        <v>#REF!</v>
      </c>
      <c r="I16" s="54" t="e">
        <f>Pb!#REF!</f>
        <v>#REF!</v>
      </c>
      <c r="J16" s="55">
        <f>+'Terc. Plomo'!L14</f>
        <v>0</v>
      </c>
      <c r="K16" s="58" t="e">
        <f t="shared" si="2"/>
        <v>#REF!</v>
      </c>
      <c r="L16" s="73" t="e">
        <f t="shared" si="3"/>
        <v>#REF!</v>
      </c>
      <c r="M16" s="40" t="e">
        <f>Pb!#REF!</f>
        <v>#REF!</v>
      </c>
      <c r="N16" s="40" t="e">
        <f>Pb!#REF!</f>
        <v>#REF!</v>
      </c>
      <c r="O16" s="85">
        <f>+'Terc. Plomo'!T14</f>
        <v>0</v>
      </c>
      <c r="P16" s="73" t="e">
        <f t="shared" si="4"/>
        <v>#REF!</v>
      </c>
      <c r="Q16" s="73" t="e">
        <f t="shared" si="5"/>
        <v>#REF!</v>
      </c>
      <c r="R16" s="41" t="e">
        <f>Pb!#REF!</f>
        <v>#REF!</v>
      </c>
      <c r="S16" s="41" t="e">
        <f>Pb!#REF!</f>
        <v>#REF!</v>
      </c>
      <c r="T16" s="85">
        <f>+'Terc. Plomo'!AB14</f>
        <v>0</v>
      </c>
      <c r="U16" s="73" t="e">
        <f t="shared" si="6"/>
        <v>#REF!</v>
      </c>
      <c r="V16" s="73" t="e">
        <f t="shared" si="7"/>
        <v>#REF!</v>
      </c>
      <c r="W16" s="41" t="e">
        <f>Pb!#REF!</f>
        <v>#REF!</v>
      </c>
      <c r="X16" s="41" t="e">
        <f>Pb!#REF!</f>
        <v>#REF!</v>
      </c>
      <c r="Y16" s="60">
        <f>+'Terc. Plomo'!AJ14</f>
        <v>0</v>
      </c>
      <c r="Z16" s="73" t="e">
        <f t="shared" si="8"/>
        <v>#REF!</v>
      </c>
      <c r="AA16" s="71" t="e">
        <f t="shared" si="9"/>
        <v>#REF!</v>
      </c>
      <c r="AB16" s="74" t="e">
        <f>Pb!#REF!</f>
        <v>#REF!</v>
      </c>
      <c r="AC16" s="74" t="e">
        <f>Pb!#REF!</f>
        <v>#REF!</v>
      </c>
      <c r="AD16" s="60">
        <f>+'Terc. Plomo'!AR14</f>
        <v>0</v>
      </c>
      <c r="AE16" s="73" t="e">
        <f t="shared" si="13"/>
        <v>#REF!</v>
      </c>
      <c r="AF16" s="71" t="e">
        <f t="shared" si="10"/>
        <v>#REF!</v>
      </c>
      <c r="AG16" s="74" t="e">
        <f>+Pb!#REF!</f>
        <v>#REF!</v>
      </c>
      <c r="AH16" s="74" t="e">
        <f>+Pb!#REF!</f>
        <v>#REF!</v>
      </c>
      <c r="AI16" s="60"/>
      <c r="AJ16" s="58" t="e">
        <f t="shared" si="14"/>
        <v>#REF!</v>
      </c>
      <c r="AK16" s="71" t="e">
        <f t="shared" si="11"/>
        <v>#REF!</v>
      </c>
      <c r="AL16" s="74" t="e">
        <f>+Pb!#REF!</f>
        <v>#REF!</v>
      </c>
      <c r="AM16" s="74" t="e">
        <f>+Pb!#REF!</f>
        <v>#REF!</v>
      </c>
      <c r="AN16" s="60"/>
      <c r="AO16" s="58" t="e">
        <f t="shared" si="15"/>
        <v>#REF!</v>
      </c>
      <c r="AP16" s="71" t="e">
        <f t="shared" si="12"/>
        <v>#REF!</v>
      </c>
    </row>
    <row r="17" spans="1:42" s="43" customFormat="1" ht="14.25" customHeight="1" x14ac:dyDescent="0.3">
      <c r="A17" s="53" t="e">
        <f>Pb!#REF!</f>
        <v>#REF!</v>
      </c>
      <c r="B17" s="101"/>
      <c r="C17" s="54" t="e">
        <f>Pb!#REF!</f>
        <v>#REF!</v>
      </c>
      <c r="D17" s="54" t="e">
        <f>Pb!#REF!</f>
        <v>#REF!</v>
      </c>
      <c r="E17" s="86">
        <f>+'Terc. Plomo'!D15</f>
        <v>0</v>
      </c>
      <c r="F17" s="58" t="e">
        <f t="shared" si="0"/>
        <v>#REF!</v>
      </c>
      <c r="G17" s="95" t="e">
        <f t="shared" si="1"/>
        <v>#REF!</v>
      </c>
      <c r="H17" s="54" t="e">
        <f>Pb!#REF!</f>
        <v>#REF!</v>
      </c>
      <c r="I17" s="54" t="e">
        <f>Pb!#REF!</f>
        <v>#REF!</v>
      </c>
      <c r="J17" s="55">
        <f>+'Terc. Plomo'!L15</f>
        <v>0</v>
      </c>
      <c r="K17" s="58" t="e">
        <f t="shared" si="2"/>
        <v>#REF!</v>
      </c>
      <c r="L17" s="73" t="e">
        <f t="shared" si="3"/>
        <v>#REF!</v>
      </c>
      <c r="M17" s="40" t="e">
        <f>Pb!#REF!</f>
        <v>#REF!</v>
      </c>
      <c r="N17" s="40" t="e">
        <f>Pb!#REF!</f>
        <v>#REF!</v>
      </c>
      <c r="O17" s="85">
        <f>+'Terc. Plomo'!T15</f>
        <v>0</v>
      </c>
      <c r="P17" s="73" t="e">
        <f t="shared" si="4"/>
        <v>#REF!</v>
      </c>
      <c r="Q17" s="73" t="e">
        <f t="shared" si="5"/>
        <v>#REF!</v>
      </c>
      <c r="R17" s="41" t="e">
        <f>Pb!#REF!</f>
        <v>#REF!</v>
      </c>
      <c r="S17" s="41" t="e">
        <f>Pb!#REF!</f>
        <v>#REF!</v>
      </c>
      <c r="T17" s="85">
        <f>+'Terc. Plomo'!AB15</f>
        <v>0</v>
      </c>
      <c r="U17" s="73" t="e">
        <f t="shared" si="6"/>
        <v>#REF!</v>
      </c>
      <c r="V17" s="73" t="e">
        <f t="shared" si="7"/>
        <v>#REF!</v>
      </c>
      <c r="W17" s="41" t="e">
        <f>Pb!#REF!</f>
        <v>#REF!</v>
      </c>
      <c r="X17" s="41" t="e">
        <f>Pb!#REF!</f>
        <v>#REF!</v>
      </c>
      <c r="Y17" s="60">
        <f>+'Terc. Plomo'!AJ15</f>
        <v>0</v>
      </c>
      <c r="Z17" s="73" t="e">
        <f t="shared" si="8"/>
        <v>#REF!</v>
      </c>
      <c r="AA17" s="71" t="e">
        <f t="shared" si="9"/>
        <v>#REF!</v>
      </c>
      <c r="AB17" s="74" t="e">
        <f>Pb!#REF!</f>
        <v>#REF!</v>
      </c>
      <c r="AC17" s="74" t="e">
        <f>Pb!#REF!</f>
        <v>#REF!</v>
      </c>
      <c r="AD17" s="60">
        <f>+'Terc. Plomo'!AR15</f>
        <v>0</v>
      </c>
      <c r="AE17" s="73" t="e">
        <f t="shared" si="13"/>
        <v>#REF!</v>
      </c>
      <c r="AF17" s="71" t="e">
        <f t="shared" si="10"/>
        <v>#REF!</v>
      </c>
      <c r="AG17" s="74" t="e">
        <f>+Pb!#REF!</f>
        <v>#REF!</v>
      </c>
      <c r="AH17" s="74" t="e">
        <f>+Pb!#REF!</f>
        <v>#REF!</v>
      </c>
      <c r="AI17" s="60"/>
      <c r="AJ17" s="58" t="e">
        <f t="shared" si="14"/>
        <v>#REF!</v>
      </c>
      <c r="AK17" s="71" t="e">
        <f t="shared" si="11"/>
        <v>#REF!</v>
      </c>
      <c r="AL17" s="74" t="e">
        <f>+Pb!#REF!</f>
        <v>#REF!</v>
      </c>
      <c r="AM17" s="74" t="e">
        <f>+Pb!#REF!</f>
        <v>#REF!</v>
      </c>
      <c r="AN17" s="60"/>
      <c r="AO17" s="58" t="e">
        <f t="shared" si="15"/>
        <v>#REF!</v>
      </c>
      <c r="AP17" s="71" t="e">
        <f t="shared" si="12"/>
        <v>#REF!</v>
      </c>
    </row>
    <row r="18" spans="1:42" s="43" customFormat="1" ht="14.25" customHeight="1" x14ac:dyDescent="0.3">
      <c r="A18" s="53" t="e">
        <f>Pb!#REF!</f>
        <v>#REF!</v>
      </c>
      <c r="B18" s="101"/>
      <c r="C18" s="54" t="e">
        <f>Pb!#REF!</f>
        <v>#REF!</v>
      </c>
      <c r="D18" s="54" t="e">
        <f>Pb!#REF!</f>
        <v>#REF!</v>
      </c>
      <c r="E18" s="86">
        <f>+'Terc. Plomo'!D16</f>
        <v>0</v>
      </c>
      <c r="F18" s="58" t="e">
        <f t="shared" si="0"/>
        <v>#REF!</v>
      </c>
      <c r="G18" s="95" t="e">
        <f t="shared" si="1"/>
        <v>#REF!</v>
      </c>
      <c r="H18" s="54" t="e">
        <f>Pb!#REF!</f>
        <v>#REF!</v>
      </c>
      <c r="I18" s="54" t="e">
        <f>Pb!#REF!</f>
        <v>#REF!</v>
      </c>
      <c r="J18" s="55">
        <f>+'Terc. Plomo'!L16</f>
        <v>0</v>
      </c>
      <c r="K18" s="58" t="e">
        <f t="shared" si="2"/>
        <v>#REF!</v>
      </c>
      <c r="L18" s="73" t="e">
        <f t="shared" si="3"/>
        <v>#REF!</v>
      </c>
      <c r="M18" s="40" t="e">
        <f>Pb!#REF!</f>
        <v>#REF!</v>
      </c>
      <c r="N18" s="40" t="e">
        <f>Pb!#REF!</f>
        <v>#REF!</v>
      </c>
      <c r="O18" s="85">
        <f>+'Terc. Plomo'!T16</f>
        <v>0</v>
      </c>
      <c r="P18" s="73" t="e">
        <f t="shared" si="4"/>
        <v>#REF!</v>
      </c>
      <c r="Q18" s="73" t="e">
        <f t="shared" si="5"/>
        <v>#REF!</v>
      </c>
      <c r="R18" s="41" t="e">
        <f>Pb!#REF!</f>
        <v>#REF!</v>
      </c>
      <c r="S18" s="41" t="e">
        <f>Pb!#REF!</f>
        <v>#REF!</v>
      </c>
      <c r="T18" s="85">
        <f>+'Terc. Plomo'!AB16</f>
        <v>0</v>
      </c>
      <c r="U18" s="73" t="e">
        <f t="shared" si="6"/>
        <v>#REF!</v>
      </c>
      <c r="V18" s="73" t="e">
        <f t="shared" si="7"/>
        <v>#REF!</v>
      </c>
      <c r="W18" s="41" t="e">
        <f>Pb!#REF!</f>
        <v>#REF!</v>
      </c>
      <c r="X18" s="41" t="e">
        <f>Pb!#REF!</f>
        <v>#REF!</v>
      </c>
      <c r="Y18" s="60">
        <f>+'Terc. Plomo'!AJ16</f>
        <v>0</v>
      </c>
      <c r="Z18" s="73" t="e">
        <f t="shared" si="8"/>
        <v>#REF!</v>
      </c>
      <c r="AA18" s="71" t="e">
        <f t="shared" si="9"/>
        <v>#REF!</v>
      </c>
      <c r="AB18" s="74" t="e">
        <f>Pb!#REF!</f>
        <v>#REF!</v>
      </c>
      <c r="AC18" s="74" t="e">
        <f>Pb!#REF!</f>
        <v>#REF!</v>
      </c>
      <c r="AD18" s="60">
        <f>+'Terc. Plomo'!AR16</f>
        <v>0</v>
      </c>
      <c r="AE18" s="73" t="e">
        <f t="shared" si="13"/>
        <v>#REF!</v>
      </c>
      <c r="AF18" s="71" t="e">
        <f t="shared" si="10"/>
        <v>#REF!</v>
      </c>
      <c r="AG18" s="74" t="e">
        <f>+Pb!#REF!</f>
        <v>#REF!</v>
      </c>
      <c r="AH18" s="74" t="e">
        <f>+Pb!#REF!</f>
        <v>#REF!</v>
      </c>
      <c r="AI18" s="60"/>
      <c r="AJ18" s="58" t="e">
        <f t="shared" si="14"/>
        <v>#REF!</v>
      </c>
      <c r="AK18" s="71" t="e">
        <f t="shared" si="11"/>
        <v>#REF!</v>
      </c>
      <c r="AL18" s="74" t="e">
        <f>+Pb!#REF!</f>
        <v>#REF!</v>
      </c>
      <c r="AM18" s="74" t="e">
        <f>+Pb!#REF!</f>
        <v>#REF!</v>
      </c>
      <c r="AN18" s="60"/>
      <c r="AO18" s="58" t="e">
        <f t="shared" si="15"/>
        <v>#REF!</v>
      </c>
      <c r="AP18" s="71" t="e">
        <f t="shared" si="12"/>
        <v>#REF!</v>
      </c>
    </row>
    <row r="19" spans="1:42" s="43" customFormat="1" ht="14.25" customHeight="1" x14ac:dyDescent="0.3">
      <c r="A19" s="53" t="e">
        <f>Pb!#REF!</f>
        <v>#REF!</v>
      </c>
      <c r="B19" s="101"/>
      <c r="C19" s="54" t="e">
        <f>Pb!#REF!</f>
        <v>#REF!</v>
      </c>
      <c r="D19" s="54" t="e">
        <f>Pb!#REF!</f>
        <v>#REF!</v>
      </c>
      <c r="E19" s="86">
        <f>+'Terc. Plomo'!D17</f>
        <v>0</v>
      </c>
      <c r="F19" s="58" t="e">
        <f t="shared" si="0"/>
        <v>#REF!</v>
      </c>
      <c r="G19" s="95" t="e">
        <f t="shared" si="1"/>
        <v>#REF!</v>
      </c>
      <c r="H19" s="54" t="e">
        <f>Pb!#REF!</f>
        <v>#REF!</v>
      </c>
      <c r="I19" s="54" t="e">
        <f>Pb!#REF!</f>
        <v>#REF!</v>
      </c>
      <c r="J19" s="55">
        <f>+'Terc. Plomo'!L17</f>
        <v>0</v>
      </c>
      <c r="K19" s="58" t="e">
        <f t="shared" si="2"/>
        <v>#REF!</v>
      </c>
      <c r="L19" s="73" t="e">
        <f t="shared" si="3"/>
        <v>#REF!</v>
      </c>
      <c r="M19" s="40" t="e">
        <f>Pb!#REF!</f>
        <v>#REF!</v>
      </c>
      <c r="N19" s="40" t="e">
        <f>Pb!#REF!</f>
        <v>#REF!</v>
      </c>
      <c r="O19" s="85">
        <f>+'Terc. Plomo'!T17</f>
        <v>0</v>
      </c>
      <c r="P19" s="73" t="e">
        <f t="shared" si="4"/>
        <v>#REF!</v>
      </c>
      <c r="Q19" s="73" t="e">
        <f t="shared" si="5"/>
        <v>#REF!</v>
      </c>
      <c r="R19" s="41" t="e">
        <f>Pb!#REF!</f>
        <v>#REF!</v>
      </c>
      <c r="S19" s="41" t="e">
        <f>Pb!#REF!</f>
        <v>#REF!</v>
      </c>
      <c r="T19" s="85">
        <f>+'Terc. Plomo'!AB17</f>
        <v>0</v>
      </c>
      <c r="U19" s="73" t="e">
        <f t="shared" si="6"/>
        <v>#REF!</v>
      </c>
      <c r="V19" s="73" t="e">
        <f t="shared" si="7"/>
        <v>#REF!</v>
      </c>
      <c r="W19" s="41" t="e">
        <f>Pb!#REF!</f>
        <v>#REF!</v>
      </c>
      <c r="X19" s="41" t="e">
        <f>Pb!#REF!</f>
        <v>#REF!</v>
      </c>
      <c r="Y19" s="60">
        <f>+'Terc. Plomo'!AJ17</f>
        <v>0</v>
      </c>
      <c r="Z19" s="73" t="e">
        <f t="shared" si="8"/>
        <v>#REF!</v>
      </c>
      <c r="AA19" s="71" t="e">
        <f t="shared" si="9"/>
        <v>#REF!</v>
      </c>
      <c r="AB19" s="74" t="e">
        <f>Pb!#REF!</f>
        <v>#REF!</v>
      </c>
      <c r="AC19" s="74" t="e">
        <f>Pb!#REF!</f>
        <v>#REF!</v>
      </c>
      <c r="AD19" s="60">
        <f>+'Terc. Plomo'!AR17</f>
        <v>0</v>
      </c>
      <c r="AE19" s="73" t="e">
        <f t="shared" si="13"/>
        <v>#REF!</v>
      </c>
      <c r="AF19" s="71" t="e">
        <f t="shared" si="10"/>
        <v>#REF!</v>
      </c>
      <c r="AG19" s="74" t="e">
        <f>+Pb!#REF!</f>
        <v>#REF!</v>
      </c>
      <c r="AH19" s="74" t="e">
        <f>+Pb!#REF!</f>
        <v>#REF!</v>
      </c>
      <c r="AI19" s="60"/>
      <c r="AJ19" s="58" t="e">
        <f t="shared" si="14"/>
        <v>#REF!</v>
      </c>
      <c r="AK19" s="71" t="e">
        <f t="shared" si="11"/>
        <v>#REF!</v>
      </c>
      <c r="AL19" s="74" t="e">
        <f>+Pb!#REF!</f>
        <v>#REF!</v>
      </c>
      <c r="AM19" s="74" t="e">
        <f>+Pb!#REF!</f>
        <v>#REF!</v>
      </c>
      <c r="AN19" s="60"/>
      <c r="AO19" s="58" t="e">
        <f t="shared" si="15"/>
        <v>#REF!</v>
      </c>
      <c r="AP19" s="71" t="e">
        <f t="shared" si="12"/>
        <v>#REF!</v>
      </c>
    </row>
    <row r="20" spans="1:42" s="43" customFormat="1" ht="14.25" customHeight="1" x14ac:dyDescent="0.3">
      <c r="A20" s="53" t="e">
        <f>Pb!#REF!</f>
        <v>#REF!</v>
      </c>
      <c r="B20" s="101"/>
      <c r="C20" s="54" t="e">
        <f>Pb!#REF!</f>
        <v>#REF!</v>
      </c>
      <c r="D20" s="54" t="e">
        <f>Pb!#REF!</f>
        <v>#REF!</v>
      </c>
      <c r="E20" s="86">
        <f>+'Terc. Plomo'!D18</f>
        <v>0</v>
      </c>
      <c r="F20" s="58" t="e">
        <f t="shared" si="0"/>
        <v>#REF!</v>
      </c>
      <c r="G20" s="95" t="e">
        <f t="shared" si="1"/>
        <v>#REF!</v>
      </c>
      <c r="H20" s="54" t="e">
        <f>Pb!#REF!</f>
        <v>#REF!</v>
      </c>
      <c r="I20" s="54" t="e">
        <f>Pb!#REF!</f>
        <v>#REF!</v>
      </c>
      <c r="J20" s="55">
        <f>+'Terc. Plomo'!L18</f>
        <v>0</v>
      </c>
      <c r="K20" s="58" t="e">
        <f t="shared" si="2"/>
        <v>#REF!</v>
      </c>
      <c r="L20" s="73" t="e">
        <f t="shared" si="3"/>
        <v>#REF!</v>
      </c>
      <c r="M20" s="40" t="e">
        <f>Pb!#REF!</f>
        <v>#REF!</v>
      </c>
      <c r="N20" s="40" t="e">
        <f>Pb!#REF!</f>
        <v>#REF!</v>
      </c>
      <c r="O20" s="85">
        <f>+'Terc. Plomo'!T18</f>
        <v>0</v>
      </c>
      <c r="P20" s="73" t="e">
        <f t="shared" si="4"/>
        <v>#REF!</v>
      </c>
      <c r="Q20" s="73" t="e">
        <f t="shared" si="5"/>
        <v>#REF!</v>
      </c>
      <c r="R20" s="41" t="e">
        <f>Pb!#REF!</f>
        <v>#REF!</v>
      </c>
      <c r="S20" s="41" t="e">
        <f>Pb!#REF!</f>
        <v>#REF!</v>
      </c>
      <c r="T20" s="85">
        <f>+'Terc. Plomo'!AB18</f>
        <v>0</v>
      </c>
      <c r="U20" s="73" t="e">
        <f t="shared" si="6"/>
        <v>#REF!</v>
      </c>
      <c r="V20" s="73" t="e">
        <f t="shared" si="7"/>
        <v>#REF!</v>
      </c>
      <c r="W20" s="41" t="e">
        <f>Pb!#REF!</f>
        <v>#REF!</v>
      </c>
      <c r="X20" s="41" t="e">
        <f>Pb!#REF!</f>
        <v>#REF!</v>
      </c>
      <c r="Y20" s="60">
        <f>+'Terc. Plomo'!AJ18</f>
        <v>0</v>
      </c>
      <c r="Z20" s="73" t="e">
        <f t="shared" si="8"/>
        <v>#REF!</v>
      </c>
      <c r="AA20" s="71" t="e">
        <f t="shared" si="9"/>
        <v>#REF!</v>
      </c>
      <c r="AB20" s="74" t="e">
        <f>Pb!#REF!</f>
        <v>#REF!</v>
      </c>
      <c r="AC20" s="74" t="e">
        <f>Pb!#REF!</f>
        <v>#REF!</v>
      </c>
      <c r="AD20" s="60">
        <f>+'Terc. Plomo'!AR18</f>
        <v>0</v>
      </c>
      <c r="AE20" s="73" t="e">
        <f t="shared" si="13"/>
        <v>#REF!</v>
      </c>
      <c r="AF20" s="71" t="e">
        <f t="shared" si="10"/>
        <v>#REF!</v>
      </c>
      <c r="AG20" s="74" t="e">
        <f>+Pb!#REF!</f>
        <v>#REF!</v>
      </c>
      <c r="AH20" s="74" t="e">
        <f>+Pb!#REF!</f>
        <v>#REF!</v>
      </c>
      <c r="AI20" s="60"/>
      <c r="AJ20" s="58" t="e">
        <f t="shared" si="14"/>
        <v>#REF!</v>
      </c>
      <c r="AK20" s="71" t="e">
        <f t="shared" si="11"/>
        <v>#REF!</v>
      </c>
      <c r="AL20" s="74" t="e">
        <f>+Pb!#REF!</f>
        <v>#REF!</v>
      </c>
      <c r="AM20" s="74" t="e">
        <f>+Pb!#REF!</f>
        <v>#REF!</v>
      </c>
      <c r="AN20" s="60"/>
      <c r="AO20" s="58" t="e">
        <f t="shared" si="15"/>
        <v>#REF!</v>
      </c>
      <c r="AP20" s="71" t="e">
        <f t="shared" si="12"/>
        <v>#REF!</v>
      </c>
    </row>
    <row r="21" spans="1:42" s="43" customFormat="1" ht="14.25" customHeight="1" x14ac:dyDescent="0.3">
      <c r="A21" s="53" t="e">
        <f>Pb!#REF!</f>
        <v>#REF!</v>
      </c>
      <c r="B21" s="101"/>
      <c r="C21" s="54" t="e">
        <f>Pb!#REF!</f>
        <v>#REF!</v>
      </c>
      <c r="D21" s="54" t="e">
        <f>Pb!#REF!</f>
        <v>#REF!</v>
      </c>
      <c r="E21" s="86">
        <f>+'Terc. Plomo'!D23</f>
        <v>0</v>
      </c>
      <c r="F21" s="58" t="e">
        <f t="shared" si="0"/>
        <v>#REF!</v>
      </c>
      <c r="G21" s="95" t="e">
        <f t="shared" si="1"/>
        <v>#REF!</v>
      </c>
      <c r="H21" s="54" t="e">
        <f>Pb!#REF!</f>
        <v>#REF!</v>
      </c>
      <c r="I21" s="54" t="e">
        <f>Pb!#REF!</f>
        <v>#REF!</v>
      </c>
      <c r="J21" s="55">
        <f>+'Terc. Plomo'!L23</f>
        <v>0</v>
      </c>
      <c r="K21" s="58" t="e">
        <f t="shared" si="2"/>
        <v>#REF!</v>
      </c>
      <c r="L21" s="73" t="e">
        <f t="shared" si="3"/>
        <v>#REF!</v>
      </c>
      <c r="M21" s="40" t="e">
        <f>Pb!#REF!</f>
        <v>#REF!</v>
      </c>
      <c r="N21" s="40" t="e">
        <f>Pb!#REF!</f>
        <v>#REF!</v>
      </c>
      <c r="O21" s="85">
        <f>+'Terc. Plomo'!T23</f>
        <v>0</v>
      </c>
      <c r="P21" s="73" t="e">
        <f t="shared" si="4"/>
        <v>#REF!</v>
      </c>
      <c r="Q21" s="73" t="e">
        <f t="shared" si="5"/>
        <v>#REF!</v>
      </c>
      <c r="R21" s="41" t="e">
        <f>Pb!#REF!</f>
        <v>#REF!</v>
      </c>
      <c r="S21" s="41" t="e">
        <f>Pb!#REF!</f>
        <v>#REF!</v>
      </c>
      <c r="T21" s="85">
        <f>+'Terc. Plomo'!AB23</f>
        <v>0</v>
      </c>
      <c r="U21" s="73" t="e">
        <f t="shared" si="6"/>
        <v>#REF!</v>
      </c>
      <c r="V21" s="73" t="e">
        <f t="shared" si="7"/>
        <v>#REF!</v>
      </c>
      <c r="W21" s="41" t="e">
        <f>Pb!#REF!</f>
        <v>#REF!</v>
      </c>
      <c r="X21" s="41" t="e">
        <f>Pb!#REF!</f>
        <v>#REF!</v>
      </c>
      <c r="Y21" s="60">
        <f>+'Terc. Plomo'!AJ23</f>
        <v>0</v>
      </c>
      <c r="Z21" s="73" t="e">
        <f t="shared" si="8"/>
        <v>#REF!</v>
      </c>
      <c r="AA21" s="71" t="e">
        <f t="shared" si="9"/>
        <v>#REF!</v>
      </c>
      <c r="AB21" s="74" t="e">
        <f>Pb!#REF!</f>
        <v>#REF!</v>
      </c>
      <c r="AC21" s="74" t="e">
        <f>Pb!#REF!</f>
        <v>#REF!</v>
      </c>
      <c r="AD21" s="60">
        <f>+'Terc. Plomo'!AR23</f>
        <v>0</v>
      </c>
      <c r="AE21" s="73" t="e">
        <f t="shared" si="13"/>
        <v>#REF!</v>
      </c>
      <c r="AF21" s="71" t="e">
        <f t="shared" si="10"/>
        <v>#REF!</v>
      </c>
      <c r="AG21" s="74" t="e">
        <f>+Pb!#REF!</f>
        <v>#REF!</v>
      </c>
      <c r="AH21" s="74" t="e">
        <f>+Pb!#REF!</f>
        <v>#REF!</v>
      </c>
      <c r="AI21" s="60"/>
      <c r="AJ21" s="58" t="e">
        <f t="shared" si="14"/>
        <v>#REF!</v>
      </c>
      <c r="AK21" s="71" t="e">
        <f t="shared" si="11"/>
        <v>#REF!</v>
      </c>
      <c r="AL21" s="74" t="e">
        <f>+Pb!#REF!</f>
        <v>#REF!</v>
      </c>
      <c r="AM21" s="74" t="e">
        <f>+Pb!#REF!</f>
        <v>#REF!</v>
      </c>
      <c r="AN21" s="60"/>
      <c r="AO21" s="58" t="e">
        <f t="shared" si="15"/>
        <v>#REF!</v>
      </c>
      <c r="AP21" s="71" t="e">
        <f t="shared" si="12"/>
        <v>#REF!</v>
      </c>
    </row>
    <row r="22" spans="1:42" s="43" customFormat="1" ht="14.25" customHeight="1" thickBot="1" x14ac:dyDescent="0.35">
      <c r="A22" s="53" t="e">
        <f>Pb!#REF!</f>
        <v>#REF!</v>
      </c>
      <c r="B22" s="102"/>
      <c r="C22" s="54" t="e">
        <f>Pb!#REF!</f>
        <v>#REF!</v>
      </c>
      <c r="D22" s="54" t="e">
        <f>Pb!#REF!</f>
        <v>#REF!</v>
      </c>
      <c r="E22" s="86" t="e">
        <f>+'Terc. Plomo'!#REF!</f>
        <v>#REF!</v>
      </c>
      <c r="F22" s="58" t="e">
        <f t="shared" si="0"/>
        <v>#REF!</v>
      </c>
      <c r="G22" s="95" t="e">
        <f t="shared" si="1"/>
        <v>#REF!</v>
      </c>
      <c r="H22" s="54" t="e">
        <f>Pb!#REF!</f>
        <v>#REF!</v>
      </c>
      <c r="I22" s="54" t="e">
        <f>Pb!#REF!</f>
        <v>#REF!</v>
      </c>
      <c r="J22" s="55" t="e">
        <f>+'Terc. Plomo'!#REF!</f>
        <v>#REF!</v>
      </c>
      <c r="K22" s="58" t="e">
        <f t="shared" si="2"/>
        <v>#REF!</v>
      </c>
      <c r="L22" s="73" t="e">
        <f t="shared" si="3"/>
        <v>#REF!</v>
      </c>
      <c r="M22" s="40" t="e">
        <f>Pb!#REF!</f>
        <v>#REF!</v>
      </c>
      <c r="N22" s="40" t="e">
        <f>Pb!#REF!</f>
        <v>#REF!</v>
      </c>
      <c r="O22" s="85" t="e">
        <f>+'Terc. Plomo'!#REF!</f>
        <v>#REF!</v>
      </c>
      <c r="P22" s="73" t="e">
        <f t="shared" si="4"/>
        <v>#REF!</v>
      </c>
      <c r="Q22" s="73" t="e">
        <f t="shared" si="5"/>
        <v>#REF!</v>
      </c>
      <c r="R22" s="41" t="e">
        <f>Pb!#REF!</f>
        <v>#REF!</v>
      </c>
      <c r="S22" s="41" t="e">
        <f>Pb!#REF!</f>
        <v>#REF!</v>
      </c>
      <c r="T22" s="85" t="e">
        <f>+'Terc. Plomo'!#REF!</f>
        <v>#REF!</v>
      </c>
      <c r="U22" s="73" t="e">
        <f t="shared" si="6"/>
        <v>#REF!</v>
      </c>
      <c r="V22" s="73" t="e">
        <f t="shared" si="7"/>
        <v>#REF!</v>
      </c>
      <c r="W22" s="41" t="e">
        <f>Pb!#REF!</f>
        <v>#REF!</v>
      </c>
      <c r="X22" s="41" t="e">
        <f>Pb!#REF!</f>
        <v>#REF!</v>
      </c>
      <c r="Y22" s="60" t="e">
        <f>+'Terc. Plomo'!#REF!</f>
        <v>#REF!</v>
      </c>
      <c r="Z22" s="73" t="e">
        <f t="shared" si="8"/>
        <v>#REF!</v>
      </c>
      <c r="AA22" s="71" t="e">
        <f t="shared" si="9"/>
        <v>#REF!</v>
      </c>
      <c r="AB22" s="74" t="e">
        <f>Pb!#REF!</f>
        <v>#REF!</v>
      </c>
      <c r="AC22" s="74" t="e">
        <f>Pb!#REF!</f>
        <v>#REF!</v>
      </c>
      <c r="AD22" s="60" t="e">
        <f>+'Terc. Plomo'!#REF!</f>
        <v>#REF!</v>
      </c>
      <c r="AE22" s="73" t="e">
        <f t="shared" si="13"/>
        <v>#REF!</v>
      </c>
      <c r="AF22" s="71" t="e">
        <f t="shared" si="10"/>
        <v>#REF!</v>
      </c>
      <c r="AG22" s="74" t="e">
        <f>+Pb!#REF!</f>
        <v>#REF!</v>
      </c>
      <c r="AH22" s="74" t="e">
        <f>+Pb!#REF!</f>
        <v>#REF!</v>
      </c>
      <c r="AI22" s="60"/>
      <c r="AJ22" s="58" t="e">
        <f t="shared" si="14"/>
        <v>#REF!</v>
      </c>
      <c r="AK22" s="71" t="e">
        <f t="shared" si="11"/>
        <v>#REF!</v>
      </c>
      <c r="AL22" s="74" t="e">
        <f>+Pb!#REF!</f>
        <v>#REF!</v>
      </c>
      <c r="AM22" s="74" t="e">
        <f>+Pb!#REF!</f>
        <v>#REF!</v>
      </c>
      <c r="AN22" s="60"/>
      <c r="AO22" s="58" t="e">
        <f t="shared" si="15"/>
        <v>#REF!</v>
      </c>
      <c r="AP22" s="71" t="e">
        <f t="shared" si="12"/>
        <v>#REF!</v>
      </c>
    </row>
    <row r="23" spans="1:42" s="43" customFormat="1" ht="14.25" customHeight="1" thickBot="1" x14ac:dyDescent="0.35">
      <c r="A23" s="53" t="e">
        <f>Pb!#REF!</f>
        <v>#REF!</v>
      </c>
      <c r="B23" s="107">
        <f>SUM(B9:B22)</f>
        <v>0</v>
      </c>
      <c r="C23" s="59" t="e">
        <f>Pb!#REF!</f>
        <v>#REF!</v>
      </c>
      <c r="D23" s="54" t="e">
        <f>Pb!#REF!</f>
        <v>#REF!</v>
      </c>
      <c r="E23" s="86"/>
      <c r="F23" s="58" t="e">
        <f>IF(E23=0,AVERAGE(C23,D23),IF(OR(AND(C23&lt;D23,C23&gt;E23),AND(C23&gt;D23,C23&lt;E23)),C23,IF(OR(AND(D23&lt;C23,D23&gt;E23),AND(D23&gt;C23,D23&lt;E23)),D23,E23)))</f>
        <v>#REF!</v>
      </c>
      <c r="G23" s="96" t="e">
        <f>SUM(G9:G22)</f>
        <v>#REF!</v>
      </c>
      <c r="H23" s="72" t="e">
        <f>Pb!#REF!</f>
        <v>#REF!</v>
      </c>
      <c r="I23" s="54" t="e">
        <f>Pb!#REF!</f>
        <v>#REF!</v>
      </c>
      <c r="J23" s="55"/>
      <c r="K23" s="58" t="e">
        <f>IF(J23=0,AVERAGE(H23,I23),IF(OR(AND(H23&lt;I23,H23&gt;J23),AND(H23&gt;I23,H23&lt;J23)),H23,IF(OR(AND(I23&lt;H23,I23&gt;J23),AND(I23&gt;H23,I23&lt;J23)),I23,J23)))</f>
        <v>#REF!</v>
      </c>
      <c r="L23" s="96" t="e">
        <f>SUM(L9:L22)</f>
        <v>#REF!</v>
      </c>
      <c r="M23" s="40" t="e">
        <f>Pb!#REF!</f>
        <v>#REF!</v>
      </c>
      <c r="N23" s="40" t="e">
        <f>Pb!#REF!</f>
        <v>#REF!</v>
      </c>
      <c r="O23" s="85"/>
      <c r="P23" s="58" t="e">
        <f>IF(O23=0,AVERAGE(M23,N23),IF(OR(AND(M23&lt;N23,M23&gt;O23),AND(M23&gt;N23,M23&lt;O23)),M23,IF(OR(AND(N23&lt;M23,N23&gt;O23),AND(N23&gt;M23,N23&lt;O23)),N23,O23)))</f>
        <v>#REF!</v>
      </c>
      <c r="Q23" s="96" t="e">
        <f>SUM(Q9:Q22)</f>
        <v>#REF!</v>
      </c>
      <c r="R23" s="41" t="e">
        <f>Pb!#REF!</f>
        <v>#REF!</v>
      </c>
      <c r="S23" s="41" t="e">
        <f>Pb!#REF!</f>
        <v>#REF!</v>
      </c>
      <c r="T23" s="85"/>
      <c r="U23" s="73" t="e">
        <f>IF(T23=0,AVERAGE(R23,S23),IF(OR(AND(R23&lt;S23,R23&gt;T23),AND(R23&gt;S23,R23&lt;T23)),R23,IF(OR(AND(S23&lt;R23,S23&gt;T23),AND(S23&gt;R23,S23&lt;T23)),S23,T23)))</f>
        <v>#REF!</v>
      </c>
      <c r="V23" s="96" t="e">
        <f>SUM(V9:V22)</f>
        <v>#REF!</v>
      </c>
      <c r="W23" s="41" t="e">
        <f>Pb!#REF!</f>
        <v>#REF!</v>
      </c>
      <c r="X23" s="41" t="e">
        <f>Pb!#REF!</f>
        <v>#REF!</v>
      </c>
      <c r="Y23" s="60"/>
      <c r="Z23" s="73" t="e">
        <f>IF(Y23=0,AVERAGE(W23,X23),IF(OR(AND(W23&lt;X23,W23&gt;Y23),AND(W23&gt;X23,W23&lt;Y23)),W23,IF(OR(AND(X23&lt;W23,X23&gt;Y23),AND(X23&gt;W23,X23&lt;Y23)),X23,Y23)))</f>
        <v>#REF!</v>
      </c>
      <c r="AA23" s="96" t="e">
        <f>SUM(AA9:AA22)</f>
        <v>#REF!</v>
      </c>
      <c r="AB23" s="74" t="e">
        <f>Pb!#REF!</f>
        <v>#REF!</v>
      </c>
      <c r="AC23" s="74" t="e">
        <f>Pb!#REF!</f>
        <v>#REF!</v>
      </c>
      <c r="AD23" s="60"/>
      <c r="AE23" s="73" t="e">
        <f t="shared" si="13"/>
        <v>#REF!</v>
      </c>
      <c r="AF23" s="96" t="e">
        <f>SUM(AF9:AF22)</f>
        <v>#REF!</v>
      </c>
      <c r="AG23" s="74" t="e">
        <f>Pb!#REF!</f>
        <v>#REF!</v>
      </c>
      <c r="AH23" s="74" t="e">
        <f>Pb!#REF!</f>
        <v>#REF!</v>
      </c>
      <c r="AI23" s="60"/>
      <c r="AJ23" s="73" t="e">
        <f t="shared" si="14"/>
        <v>#REF!</v>
      </c>
      <c r="AK23" s="96" t="e">
        <f>SUM(AK9:AK22)</f>
        <v>#REF!</v>
      </c>
      <c r="AL23" s="74" t="e">
        <f>Pb!#REF!</f>
        <v>#REF!</v>
      </c>
      <c r="AM23" s="74" t="e">
        <f>Pb!#REF!</f>
        <v>#REF!</v>
      </c>
      <c r="AN23" s="60"/>
      <c r="AO23" s="73" t="e">
        <f t="shared" si="15"/>
        <v>#REF!</v>
      </c>
      <c r="AP23" s="96" t="e">
        <f>SUM(AP9:AP22)</f>
        <v>#REF!</v>
      </c>
    </row>
    <row r="24" spans="1:42" s="43" customFormat="1" ht="16" thickBot="1" x14ac:dyDescent="0.4">
      <c r="A24" s="53"/>
      <c r="B24" s="103"/>
      <c r="C24" s="54"/>
      <c r="D24" s="54"/>
      <c r="E24" s="55"/>
      <c r="F24" s="58"/>
      <c r="G24" s="106" t="e">
        <f>+G23/B23</f>
        <v>#REF!</v>
      </c>
      <c r="H24" s="62"/>
      <c r="I24" s="57"/>
      <c r="J24" s="63"/>
      <c r="K24" s="58"/>
      <c r="L24" s="106" t="e">
        <f>+L23/B23</f>
        <v>#REF!</v>
      </c>
      <c r="M24" s="59"/>
      <c r="N24" s="54"/>
      <c r="O24" s="60"/>
      <c r="P24" s="58"/>
      <c r="Q24" s="106" t="e">
        <f>+Q23/B23</f>
        <v>#REF!</v>
      </c>
      <c r="R24" s="61"/>
      <c r="S24" s="54"/>
      <c r="T24" s="60"/>
      <c r="U24" s="58"/>
      <c r="V24" s="106" t="e">
        <f>+V23/B23</f>
        <v>#REF!</v>
      </c>
      <c r="W24" s="61"/>
      <c r="X24" s="54"/>
      <c r="Y24" s="60"/>
      <c r="Z24" s="58"/>
      <c r="AA24" s="106" t="e">
        <f>+AA23/B23</f>
        <v>#REF!</v>
      </c>
      <c r="AB24" s="61"/>
      <c r="AC24" s="54"/>
      <c r="AD24" s="60"/>
      <c r="AE24" s="58"/>
      <c r="AF24" s="106" t="e">
        <f>+AF23/B23</f>
        <v>#REF!</v>
      </c>
      <c r="AG24" s="61"/>
      <c r="AH24" s="54"/>
      <c r="AI24" s="60"/>
      <c r="AJ24" s="58"/>
      <c r="AK24" s="106" t="e">
        <f>+AK23/B23</f>
        <v>#REF!</v>
      </c>
      <c r="AL24" s="61"/>
      <c r="AM24" s="54"/>
      <c r="AN24" s="60"/>
      <c r="AO24" s="58"/>
      <c r="AP24" s="106" t="e">
        <f>+AP23/B23</f>
        <v>#REF!</v>
      </c>
    </row>
    <row r="25" spans="1:42" s="43" customFormat="1" ht="14" x14ac:dyDescent="0.3">
      <c r="A25" s="75"/>
      <c r="B25" s="104"/>
      <c r="C25" s="76"/>
      <c r="D25" s="76"/>
      <c r="E25" s="77"/>
      <c r="F25" s="78"/>
      <c r="G25" s="54">
        <f>IF(E25=0,0,IF(D25&gt;E25,(D25-E25),(E25-D25)))</f>
        <v>0</v>
      </c>
      <c r="H25" s="80"/>
      <c r="I25" s="80"/>
      <c r="J25" s="81"/>
      <c r="K25" s="78"/>
      <c r="L25" s="80"/>
      <c r="M25" s="76"/>
      <c r="N25" s="76"/>
      <c r="O25" s="77"/>
      <c r="P25" s="78"/>
      <c r="Q25" s="76"/>
      <c r="R25" s="76"/>
      <c r="S25" s="76"/>
      <c r="T25" s="77"/>
      <c r="U25" s="78"/>
      <c r="V25" s="76"/>
      <c r="W25" s="76"/>
      <c r="X25" s="76"/>
      <c r="Y25" s="77"/>
      <c r="Z25" s="78"/>
      <c r="AA25" s="76"/>
      <c r="AB25" s="76"/>
      <c r="AC25" s="76"/>
      <c r="AD25" s="77"/>
      <c r="AE25" s="78"/>
      <c r="AF25" s="76"/>
    </row>
    <row r="26" spans="1:42" s="43" customFormat="1" ht="14" x14ac:dyDescent="0.3">
      <c r="A26" s="75"/>
      <c r="B26" s="104"/>
      <c r="C26" s="76"/>
      <c r="D26" s="76"/>
      <c r="E26" s="77"/>
      <c r="F26" s="78"/>
      <c r="G26" s="76"/>
      <c r="H26" s="80"/>
      <c r="I26" s="80"/>
      <c r="J26" s="81"/>
      <c r="K26" s="78"/>
      <c r="L26" s="80"/>
      <c r="M26" s="76"/>
      <c r="N26" s="76"/>
      <c r="O26" s="77"/>
      <c r="P26" s="78"/>
      <c r="Q26" s="76"/>
      <c r="R26" s="76"/>
      <c r="S26" s="76"/>
      <c r="T26" s="77"/>
      <c r="U26" s="78"/>
      <c r="V26" s="76"/>
      <c r="W26" s="76"/>
      <c r="X26" s="76"/>
      <c r="Y26" s="77"/>
      <c r="Z26" s="78"/>
      <c r="AA26" s="76"/>
      <c r="AB26" s="76"/>
      <c r="AC26" s="76"/>
      <c r="AD26" s="77"/>
      <c r="AE26" s="78"/>
      <c r="AF26" s="76"/>
    </row>
    <row r="27" spans="1:42" s="43" customFormat="1" ht="14" x14ac:dyDescent="0.3">
      <c r="A27" s="75"/>
      <c r="B27" s="104"/>
      <c r="C27" s="76"/>
      <c r="D27" s="76"/>
      <c r="E27" s="77"/>
      <c r="F27" s="78"/>
      <c r="G27" s="76"/>
      <c r="H27" s="80"/>
      <c r="I27" s="80"/>
      <c r="J27" s="81"/>
      <c r="K27" s="78"/>
      <c r="L27" s="80"/>
      <c r="M27" s="76"/>
      <c r="N27" s="76"/>
      <c r="O27" s="77"/>
      <c r="P27" s="78"/>
      <c r="Q27" s="76"/>
      <c r="R27" s="76"/>
      <c r="S27" s="76"/>
      <c r="T27" s="77"/>
      <c r="U27" s="78"/>
      <c r="V27" s="76"/>
      <c r="W27" s="76"/>
      <c r="X27" s="76"/>
      <c r="Y27" s="77"/>
      <c r="Z27" s="78"/>
      <c r="AA27" s="76"/>
      <c r="AB27" s="76"/>
      <c r="AC27" s="76"/>
      <c r="AD27" s="77"/>
      <c r="AE27" s="78"/>
      <c r="AF27" s="76"/>
    </row>
    <row r="29" spans="1:42" s="43" customFormat="1" ht="15.75" customHeight="1" x14ac:dyDescent="0.3">
      <c r="A29" s="30" t="s">
        <v>39</v>
      </c>
      <c r="B29" s="30" t="s">
        <v>66</v>
      </c>
      <c r="C29" s="31" t="s">
        <v>40</v>
      </c>
      <c r="D29" s="32"/>
      <c r="E29" s="33"/>
      <c r="F29" s="32"/>
      <c r="G29" s="32"/>
      <c r="H29" s="31" t="s">
        <v>43</v>
      </c>
      <c r="I29" s="37"/>
      <c r="J29" s="38"/>
      <c r="K29" s="37"/>
      <c r="L29" s="32"/>
      <c r="M29" s="31" t="s">
        <v>49</v>
      </c>
      <c r="N29" s="39"/>
      <c r="O29" s="42"/>
      <c r="P29" s="39"/>
      <c r="Q29" s="32"/>
      <c r="R29" s="31" t="s">
        <v>65</v>
      </c>
      <c r="S29" s="39"/>
      <c r="T29" s="42"/>
      <c r="U29" s="39"/>
      <c r="V29" s="32"/>
      <c r="W29" s="31" t="s">
        <v>50</v>
      </c>
      <c r="X29" s="39"/>
      <c r="Y29" s="42"/>
      <c r="Z29" s="39"/>
      <c r="AA29" s="32"/>
      <c r="AB29" s="31" t="s">
        <v>60</v>
      </c>
      <c r="AC29" s="39"/>
      <c r="AD29" s="42"/>
      <c r="AE29" s="39"/>
      <c r="AF29" s="32"/>
      <c r="AG29" s="31" t="s">
        <v>61</v>
      </c>
      <c r="AH29" s="39"/>
      <c r="AI29" s="42"/>
      <c r="AJ29" s="39"/>
      <c r="AK29" s="32"/>
      <c r="AL29" s="31" t="s">
        <v>69</v>
      </c>
      <c r="AM29" s="39"/>
      <c r="AN29" s="42"/>
      <c r="AO29" s="39"/>
      <c r="AP29" s="32"/>
    </row>
    <row r="30" spans="1:42" s="52" customFormat="1" ht="14" x14ac:dyDescent="0.3">
      <c r="A30" s="44" t="s">
        <v>45</v>
      </c>
      <c r="B30" s="44" t="s">
        <v>67</v>
      </c>
      <c r="C30" s="45" t="s">
        <v>57</v>
      </c>
      <c r="D30" s="45" t="s">
        <v>59</v>
      </c>
      <c r="E30" s="45" t="s">
        <v>46</v>
      </c>
      <c r="F30" s="45" t="s">
        <v>47</v>
      </c>
      <c r="G30" s="45" t="s">
        <v>68</v>
      </c>
      <c r="H30" s="47" t="s">
        <v>57</v>
      </c>
      <c r="I30" s="48" t="s">
        <v>59</v>
      </c>
      <c r="J30" s="48" t="s">
        <v>46</v>
      </c>
      <c r="K30" s="48" t="s">
        <v>47</v>
      </c>
      <c r="L30" s="45" t="s">
        <v>68</v>
      </c>
      <c r="M30" s="49" t="s">
        <v>57</v>
      </c>
      <c r="N30" s="50" t="s">
        <v>59</v>
      </c>
      <c r="O30" s="50" t="s">
        <v>46</v>
      </c>
      <c r="P30" s="50" t="s">
        <v>47</v>
      </c>
      <c r="Q30" s="45" t="s">
        <v>68</v>
      </c>
      <c r="R30" s="51" t="s">
        <v>57</v>
      </c>
      <c r="S30" s="50" t="s">
        <v>59</v>
      </c>
      <c r="T30" s="50" t="s">
        <v>46</v>
      </c>
      <c r="U30" s="50" t="s">
        <v>47</v>
      </c>
      <c r="V30" s="45" t="s">
        <v>68</v>
      </c>
      <c r="W30" s="51" t="s">
        <v>57</v>
      </c>
      <c r="X30" s="50" t="s">
        <v>59</v>
      </c>
      <c r="Y30" s="50" t="s">
        <v>46</v>
      </c>
      <c r="Z30" s="50" t="s">
        <v>47</v>
      </c>
      <c r="AA30" s="45" t="s">
        <v>68</v>
      </c>
      <c r="AB30" s="51" t="s">
        <v>57</v>
      </c>
      <c r="AC30" s="50" t="s">
        <v>59</v>
      </c>
      <c r="AD30" s="50" t="s">
        <v>46</v>
      </c>
      <c r="AE30" s="50" t="s">
        <v>47</v>
      </c>
      <c r="AF30" s="45" t="s">
        <v>68</v>
      </c>
      <c r="AG30" s="51" t="s">
        <v>57</v>
      </c>
      <c r="AH30" s="50" t="s">
        <v>59</v>
      </c>
      <c r="AI30" s="50" t="s">
        <v>46</v>
      </c>
      <c r="AJ30" s="50" t="s">
        <v>47</v>
      </c>
      <c r="AK30" s="45" t="s">
        <v>68</v>
      </c>
      <c r="AL30" s="51" t="s">
        <v>57</v>
      </c>
      <c r="AM30" s="50" t="s">
        <v>59</v>
      </c>
      <c r="AN30" s="50" t="s">
        <v>46</v>
      </c>
      <c r="AO30" s="50" t="s">
        <v>47</v>
      </c>
      <c r="AP30" s="45" t="s">
        <v>68</v>
      </c>
    </row>
    <row r="31" spans="1:42" s="43" customFormat="1" ht="14" x14ac:dyDescent="0.3">
      <c r="A31" s="53" t="e">
        <f>Pb!#REF!</f>
        <v>#REF!</v>
      </c>
      <c r="B31" s="101"/>
      <c r="C31" s="71" t="e">
        <f>Pb!#REF!</f>
        <v>#REF!</v>
      </c>
      <c r="D31" s="71" t="e">
        <f>Pb!#REF!</f>
        <v>#REF!</v>
      </c>
      <c r="E31" s="55" t="e">
        <f>+'Terc. Plomo'!#REF!</f>
        <v>#REF!</v>
      </c>
      <c r="F31" s="58" t="e">
        <f>IF(E31=0,AVERAGE(C31,D31),IF(OR(AND(C31&lt;D31,C31&gt;E31),AND(C31&gt;D31,C31&lt;E31)),C31,IF(OR(AND(D31&lt;C31,D31&gt;E31),AND(D31&gt;C31,D31&lt;E31)),D31,E31)))</f>
        <v>#REF!</v>
      </c>
      <c r="G31" s="95" t="e">
        <f>+B31*F31</f>
        <v>#REF!</v>
      </c>
      <c r="H31" s="72" t="e">
        <f>Pb!#REF!</f>
        <v>#REF!</v>
      </c>
      <c r="I31" s="72" t="e">
        <f>Pb!#REF!</f>
        <v>#REF!</v>
      </c>
      <c r="J31" s="55" t="e">
        <f>+'Terc. Plomo'!#REF!</f>
        <v>#REF!</v>
      </c>
      <c r="K31" s="58" t="e">
        <f>IF(J31=0,AVERAGE(H31,I31),IF(OR(AND(H31&lt;I31,H31&gt;J31),AND(H31&gt;I31,H31&lt;J31)),H31,IF(OR(AND(I31&lt;H31,I31&gt;J31),AND(I31&gt;H31,I31&lt;J31)),I31,J31)))</f>
        <v>#REF!</v>
      </c>
      <c r="L31" s="73" t="e">
        <f>+B31*K31</f>
        <v>#REF!</v>
      </c>
      <c r="M31" s="40" t="e">
        <f>Pb!#REF!</f>
        <v>#REF!</v>
      </c>
      <c r="N31" s="40" t="e">
        <f>Pb!#REF!</f>
        <v>#REF!</v>
      </c>
      <c r="O31" s="85" t="e">
        <f>+'Terc. Plomo'!#REF!</f>
        <v>#REF!</v>
      </c>
      <c r="P31" s="58" t="e">
        <f>IF(O31=0,AVERAGE(M31,N31),IF(OR(AND(M31&lt;N31,M31&gt;O31),AND(M31&gt;N31,M31&lt;O31)),M31,IF(OR(AND(N31&lt;M31,N31&gt;O31),AND(N31&gt;M31,N31&lt;O31)),N31,O31)))</f>
        <v>#REF!</v>
      </c>
      <c r="Q31" s="73" t="e">
        <f>+B31*P31</f>
        <v>#REF!</v>
      </c>
      <c r="R31" s="94" t="e">
        <f>+Pb!#REF!</f>
        <v>#REF!</v>
      </c>
      <c r="S31" s="94" t="e">
        <f>+Pb!#REF!</f>
        <v>#REF!</v>
      </c>
      <c r="T31" s="85" t="e">
        <f>+'Terc. Plomo'!#REF!</f>
        <v>#REF!</v>
      </c>
      <c r="U31" s="58" t="e">
        <f>IF(T31=0,AVERAGE(R31,S31),IF(OR(AND(R31&lt;S31,R31&gt;T31),AND(R31&gt;S31,R31&lt;T31)),R31,IF(OR(AND(S31&lt;R31,S31&gt;T31),AND(S31&gt;R31,S31&lt;T31)),S31,T31)))</f>
        <v>#REF!</v>
      </c>
      <c r="V31" s="73" t="e">
        <f>+B31*U31</f>
        <v>#REF!</v>
      </c>
      <c r="W31" s="41" t="e">
        <f>Pb!#REF!</f>
        <v>#REF!</v>
      </c>
      <c r="X31" s="41" t="e">
        <f>Pb!#REF!</f>
        <v>#REF!</v>
      </c>
      <c r="Y31" s="60" t="e">
        <f>+'Terc. Plomo'!#REF!</f>
        <v>#REF!</v>
      </c>
      <c r="Z31" s="73" t="e">
        <f>IF(Y31=0,AVERAGE(W31,X31),IF(OR(AND(W31&lt;X31,W31&gt;Y31),AND(W31&gt;X31,W31&lt;Y31)),W31,IF(OR(AND(X31&lt;W31,X31&gt;Y31),AND(X31&gt;W31,X31&lt;Y31)),X31,Y31)))</f>
        <v>#REF!</v>
      </c>
      <c r="AA31" s="71" t="e">
        <f>+B31*Z31</f>
        <v>#REF!</v>
      </c>
      <c r="AB31" s="41" t="e">
        <f>Pb!#REF!</f>
        <v>#REF!</v>
      </c>
      <c r="AC31" s="41" t="e">
        <f>Pb!#REF!</f>
        <v>#REF!</v>
      </c>
      <c r="AD31" s="85" t="e">
        <f>+'Terc. Plomo'!#REF!</f>
        <v>#REF!</v>
      </c>
      <c r="AE31" s="73" t="e">
        <f>IF(AD31=0,AVERAGE(AB31,AC31),IF(OR(AND(AB31&lt;AC31,AB31&gt;AD31),AND(AB31&gt;AC31,AB31&lt;AD31)),AB31,IF(OR(AND(AC31&lt;AB31,AC31&gt;AD31),AND(AC31&gt;AB31,AC31&lt;AD31)),AC31,AD31)))</f>
        <v>#REF!</v>
      </c>
      <c r="AF31" s="57" t="e">
        <f>+B31*AE31</f>
        <v>#REF!</v>
      </c>
      <c r="AG31" s="41" t="e">
        <f>Pb!#REF!</f>
        <v>#REF!</v>
      </c>
      <c r="AH31" s="41" t="e">
        <f>Pb!#REF!</f>
        <v>#REF!</v>
      </c>
      <c r="AI31" s="85" t="e">
        <f>+'Terc. Plomo'!#REF!</f>
        <v>#REF!</v>
      </c>
      <c r="AJ31" s="73" t="e">
        <f>IF(AI31=0,AVERAGE(AG31,AH31),IF(OR(AND(AG31&lt;AH31,AG31&gt;AI31),AND(AG31&gt;AH31,AG31&lt;AI31)),AG31,IF(OR(AND(AH31&lt;AG31,AH31&gt;AI31),AND(AH31&gt;AG31,AH31&lt;AI31)),AH31,AI31)))</f>
        <v>#REF!</v>
      </c>
      <c r="AK31" s="71" t="e">
        <f>+B31*AJ31</f>
        <v>#REF!</v>
      </c>
      <c r="AL31" s="41" t="e">
        <f>+Pb!#REF!</f>
        <v>#REF!</v>
      </c>
      <c r="AM31" s="41" t="e">
        <f>+Pb!#REF!</f>
        <v>#REF!</v>
      </c>
      <c r="AN31" s="85"/>
      <c r="AO31" s="73" t="e">
        <f>IF(AN31=0,AVERAGE(AL31,AM31),IF(OR(AND(AL31&lt;AM31,AL31&gt;AN31),AND(AL31&gt;AM31,AL31&lt;AN31)),AL31,IF(OR(AND(AM31&lt;AL31,AM31&gt;AN31),AND(AM31&gt;AL31,AM31&lt;AN31)),AM31,AN31)))</f>
        <v>#REF!</v>
      </c>
      <c r="AP31" s="71" t="e">
        <f>+B31*AO31</f>
        <v>#REF!</v>
      </c>
    </row>
    <row r="32" spans="1:42" s="43" customFormat="1" ht="14" x14ac:dyDescent="0.3">
      <c r="A32" s="53" t="e">
        <f>Pb!#REF!</f>
        <v>#REF!</v>
      </c>
      <c r="B32" s="101"/>
      <c r="C32" s="71" t="e">
        <f>Pb!#REF!</f>
        <v>#REF!</v>
      </c>
      <c r="D32" s="71" t="e">
        <f>Pb!#REF!</f>
        <v>#REF!</v>
      </c>
      <c r="E32" s="55" t="e">
        <f>+'Terc. Plomo'!#REF!</f>
        <v>#REF!</v>
      </c>
      <c r="F32" s="58" t="e">
        <f>IF(E32=0,AVERAGE(C32,D32),IF(OR(AND(C32&lt;D32,C32&gt;E32),AND(C32&gt;D32,C32&lt;E32)),C32,IF(OR(AND(D32&lt;C32,D32&gt;E32),AND(D32&gt;C32,D32&lt;E32)),D32,E32)))</f>
        <v>#REF!</v>
      </c>
      <c r="G32" s="95" t="e">
        <f>+B32*F32</f>
        <v>#REF!</v>
      </c>
      <c r="H32" s="72" t="e">
        <f>Pb!#REF!</f>
        <v>#REF!</v>
      </c>
      <c r="I32" s="72" t="e">
        <f>Pb!#REF!</f>
        <v>#REF!</v>
      </c>
      <c r="J32" s="55" t="e">
        <f>+'Terc. Plomo'!#REF!</f>
        <v>#REF!</v>
      </c>
      <c r="K32" s="58" t="e">
        <f>IF(J32=0,AVERAGE(H32,I32),IF(OR(AND(H32&lt;I32,H32&gt;J32),AND(H32&gt;I32,H32&lt;J32)),H32,IF(OR(AND(I32&lt;H32,I32&gt;J32),AND(I32&gt;H32,I32&lt;J32)),I32,J32)))</f>
        <v>#REF!</v>
      </c>
      <c r="L32" s="73" t="e">
        <f>+B32*K32</f>
        <v>#REF!</v>
      </c>
      <c r="M32" s="40" t="e">
        <f>Pb!#REF!</f>
        <v>#REF!</v>
      </c>
      <c r="N32" s="40" t="e">
        <f>Pb!#REF!</f>
        <v>#REF!</v>
      </c>
      <c r="O32" s="85" t="e">
        <f>+'Terc. Plomo'!#REF!</f>
        <v>#REF!</v>
      </c>
      <c r="P32" s="58" t="e">
        <f>IF(O32=0,AVERAGE(M32,N32),IF(OR(AND(M32&lt;N32,M32&gt;O32),AND(M32&gt;N32,M32&lt;O32)),M32,IF(OR(AND(N32&lt;M32,N32&gt;O32),AND(N32&gt;M32,N32&lt;O32)),N32,O32)))</f>
        <v>#REF!</v>
      </c>
      <c r="Q32" s="73" t="e">
        <f>+B32*P32</f>
        <v>#REF!</v>
      </c>
      <c r="R32" s="94" t="e">
        <f>+Pb!#REF!</f>
        <v>#REF!</v>
      </c>
      <c r="S32" s="94" t="e">
        <f>+Pb!#REF!</f>
        <v>#REF!</v>
      </c>
      <c r="T32" s="85" t="e">
        <f>+'Terc. Plomo'!#REF!</f>
        <v>#REF!</v>
      </c>
      <c r="U32" s="58" t="e">
        <f>IF(T32=0,AVERAGE(R32,S32),IF(OR(AND(R32&lt;S32,R32&gt;T32),AND(R32&gt;S32,R32&lt;T32)),R32,IF(OR(AND(S32&lt;R32,S32&gt;T32),AND(S32&gt;R32,S32&lt;T32)),S32,T32)))</f>
        <v>#REF!</v>
      </c>
      <c r="V32" s="73" t="e">
        <f>+B32*U32</f>
        <v>#REF!</v>
      </c>
      <c r="W32" s="41" t="e">
        <f>Pb!#REF!</f>
        <v>#REF!</v>
      </c>
      <c r="X32" s="41" t="e">
        <f>Pb!#REF!</f>
        <v>#REF!</v>
      </c>
      <c r="Y32" s="60" t="e">
        <f>+'Terc. Plomo'!#REF!</f>
        <v>#REF!</v>
      </c>
      <c r="Z32" s="73" t="e">
        <f>IF(Y32=0,AVERAGE(W32,X32),IF(OR(AND(W32&lt;X32,W32&gt;Y32),AND(W32&gt;X32,W32&lt;Y32)),W32,IF(OR(AND(X32&lt;W32,X32&gt;Y32),AND(X32&gt;W32,X32&lt;Y32)),X32,Y32)))</f>
        <v>#REF!</v>
      </c>
      <c r="AA32" s="71" t="e">
        <f>+B32*Z32</f>
        <v>#REF!</v>
      </c>
      <c r="AB32" s="41" t="e">
        <f>Pb!#REF!</f>
        <v>#REF!</v>
      </c>
      <c r="AC32" s="41" t="e">
        <f>Pb!#REF!</f>
        <v>#REF!</v>
      </c>
      <c r="AD32" s="85" t="e">
        <f>+'Terc. Plomo'!#REF!</f>
        <v>#REF!</v>
      </c>
      <c r="AE32" s="73" t="e">
        <f>IF(AD32=0,AVERAGE(AB32,AC32),IF(OR(AND(AB32&lt;AC32,AB32&gt;AD32),AND(AB32&gt;AC32,AB32&lt;AD32)),AB32,IF(OR(AND(AC32&lt;AB32,AC32&gt;AD32),AND(AC32&gt;AB32,AC32&lt;AD32)),AC32,AD32)))</f>
        <v>#REF!</v>
      </c>
      <c r="AF32" s="57" t="e">
        <f>+B32*AE32</f>
        <v>#REF!</v>
      </c>
      <c r="AG32" s="41" t="e">
        <f>Pb!#REF!</f>
        <v>#REF!</v>
      </c>
      <c r="AH32" s="41" t="e">
        <f>Pb!#REF!</f>
        <v>#REF!</v>
      </c>
      <c r="AI32" s="85" t="e">
        <f>+'Terc. Plomo'!#REF!</f>
        <v>#REF!</v>
      </c>
      <c r="AJ32" s="73" t="e">
        <f>IF(AI32=0,AVERAGE(AG32,AH32),IF(OR(AND(AG32&lt;AH32,AG32&gt;AI32),AND(AG32&gt;AH32,AG32&lt;AI32)),AG32,IF(OR(AND(AH32&lt;AG32,AH32&gt;AI32),AND(AH32&gt;AG32,AH32&lt;AI32)),AH32,AI32)))</f>
        <v>#REF!</v>
      </c>
      <c r="AK32" s="71" t="e">
        <f>+B32*AJ32</f>
        <v>#REF!</v>
      </c>
      <c r="AL32" s="41" t="e">
        <f>+Pb!#REF!</f>
        <v>#REF!</v>
      </c>
      <c r="AM32" s="41" t="e">
        <f>+Pb!#REF!</f>
        <v>#REF!</v>
      </c>
      <c r="AN32" s="85"/>
      <c r="AO32" s="73" t="e">
        <f>IF(AN32=0,AVERAGE(AL32,AM32),IF(OR(AND(AL32&lt;AM32,AL32&gt;AN32),AND(AL32&gt;AM32,AL32&lt;AN32)),AL32,IF(OR(AND(AM32&lt;AL32,AM32&gt;AN32),AND(AM32&gt;AL32,AM32&lt;AN32)),AM32,AN32)))</f>
        <v>#REF!</v>
      </c>
      <c r="AP32" s="71" t="e">
        <f>+B32*AO32</f>
        <v>#REF!</v>
      </c>
    </row>
    <row r="33" spans="1:42" s="43" customFormat="1" ht="14" x14ac:dyDescent="0.3">
      <c r="A33" s="53" t="e">
        <f>Pb!#REF!</f>
        <v>#REF!</v>
      </c>
      <c r="B33" s="101"/>
      <c r="C33" s="71" t="e">
        <f>Pb!#REF!</f>
        <v>#REF!</v>
      </c>
      <c r="D33" s="71" t="e">
        <f>Pb!#REF!</f>
        <v>#REF!</v>
      </c>
      <c r="E33" s="55" t="e">
        <f>+'Terc. Plomo'!#REF!</f>
        <v>#REF!</v>
      </c>
      <c r="F33" s="58" t="e">
        <f>IF(E33=0,AVERAGE(C33,D33),IF(OR(AND(C33&lt;D33,C33&gt;E33),AND(C33&gt;D33,C33&lt;E33)),C33,IF(OR(AND(D33&lt;C33,D33&gt;E33),AND(D33&gt;C33,D33&lt;E33)),D33,E33)))</f>
        <v>#REF!</v>
      </c>
      <c r="G33" s="95" t="e">
        <f>+B33*F33</f>
        <v>#REF!</v>
      </c>
      <c r="H33" s="72" t="e">
        <f>Pb!#REF!</f>
        <v>#REF!</v>
      </c>
      <c r="I33" s="72" t="e">
        <f>Pb!#REF!</f>
        <v>#REF!</v>
      </c>
      <c r="J33" s="55" t="e">
        <f>+'Terc. Plomo'!#REF!</f>
        <v>#REF!</v>
      </c>
      <c r="K33" s="58" t="e">
        <f>IF(J33=0,AVERAGE(H33,I33),IF(OR(AND(H33&lt;I33,H33&gt;J33),AND(H33&gt;I33,H33&lt;J33)),H33,IF(OR(AND(I33&lt;H33,I33&gt;J33),AND(I33&gt;H33,I33&lt;J33)),I33,J33)))</f>
        <v>#REF!</v>
      </c>
      <c r="L33" s="73" t="e">
        <f>+B33*K33</f>
        <v>#REF!</v>
      </c>
      <c r="M33" s="40" t="e">
        <f>Pb!#REF!</f>
        <v>#REF!</v>
      </c>
      <c r="N33" s="40" t="e">
        <f>Pb!#REF!</f>
        <v>#REF!</v>
      </c>
      <c r="O33" s="85" t="e">
        <f>+'Terc. Plomo'!#REF!</f>
        <v>#REF!</v>
      </c>
      <c r="P33" s="58" t="e">
        <f>IF(O33=0,AVERAGE(M33,N33),IF(OR(AND(M33&lt;N33,M33&gt;O33),AND(M33&gt;N33,M33&lt;O33)),M33,IF(OR(AND(N33&lt;M33,N33&gt;O33),AND(N33&gt;M33,N33&lt;O33)),N33,O33)))</f>
        <v>#REF!</v>
      </c>
      <c r="Q33" s="73" t="e">
        <f>+B33*P33</f>
        <v>#REF!</v>
      </c>
      <c r="R33" s="94" t="e">
        <f>+Pb!#REF!</f>
        <v>#REF!</v>
      </c>
      <c r="S33" s="94" t="e">
        <f>+Pb!#REF!</f>
        <v>#REF!</v>
      </c>
      <c r="T33" s="85" t="e">
        <f>+'Terc. Plomo'!#REF!</f>
        <v>#REF!</v>
      </c>
      <c r="U33" s="58" t="e">
        <f>IF(T33=0,AVERAGE(R33,S33),IF(OR(AND(R33&lt;S33,R33&gt;T33),AND(R33&gt;S33,R33&lt;T33)),R33,IF(OR(AND(S33&lt;R33,S33&gt;T33),AND(S33&gt;R33,S33&lt;T33)),S33,T33)))</f>
        <v>#REF!</v>
      </c>
      <c r="V33" s="73" t="e">
        <f>+B33*U33</f>
        <v>#REF!</v>
      </c>
      <c r="W33" s="41" t="e">
        <f>Pb!#REF!</f>
        <v>#REF!</v>
      </c>
      <c r="X33" s="41" t="e">
        <f>Pb!#REF!</f>
        <v>#REF!</v>
      </c>
      <c r="Y33" s="60" t="e">
        <f>+'Terc. Plomo'!#REF!</f>
        <v>#REF!</v>
      </c>
      <c r="Z33" s="73" t="e">
        <f>IF(Y33=0,AVERAGE(W33,X33),IF(OR(AND(W33&lt;X33,W33&gt;Y33),AND(W33&gt;X33,W33&lt;Y33)),W33,IF(OR(AND(X33&lt;W33,X33&gt;Y33),AND(X33&gt;W33,X33&lt;Y33)),X33,Y33)))</f>
        <v>#REF!</v>
      </c>
      <c r="AA33" s="71" t="e">
        <f>+B33*Z33</f>
        <v>#REF!</v>
      </c>
      <c r="AB33" s="41" t="e">
        <f>Pb!#REF!</f>
        <v>#REF!</v>
      </c>
      <c r="AC33" s="41" t="e">
        <f>Pb!#REF!</f>
        <v>#REF!</v>
      </c>
      <c r="AD33" s="85" t="e">
        <f>+'Terc. Plomo'!#REF!</f>
        <v>#REF!</v>
      </c>
      <c r="AE33" s="73" t="e">
        <f>IF(AD33=0,AVERAGE(AB33,AC33),IF(OR(AND(AB33&lt;AC33,AB33&gt;AD33),AND(AB33&gt;AC33,AB33&lt;AD33)),AB33,IF(OR(AND(AC33&lt;AB33,AC33&gt;AD33),AND(AC33&gt;AB33,AC33&lt;AD33)),AC33,AD33)))</f>
        <v>#REF!</v>
      </c>
      <c r="AF33" s="57" t="e">
        <f>+B33*AE33</f>
        <v>#REF!</v>
      </c>
      <c r="AG33" s="41" t="e">
        <f>Pb!#REF!</f>
        <v>#REF!</v>
      </c>
      <c r="AH33" s="41" t="e">
        <f>Pb!#REF!</f>
        <v>#REF!</v>
      </c>
      <c r="AI33" s="85" t="e">
        <f>+'Terc. Plomo'!#REF!</f>
        <v>#REF!</v>
      </c>
      <c r="AJ33" s="73" t="e">
        <f>IF(AI33=0,AVERAGE(AG33,AH33),IF(OR(AND(AG33&lt;AH33,AG33&gt;AI33),AND(AG33&gt;AH33,AG33&lt;AI33)),AG33,IF(OR(AND(AH33&lt;AG33,AH33&gt;AI33),AND(AH33&gt;AG33,AH33&lt;AI33)),AH33,AI33)))</f>
        <v>#REF!</v>
      </c>
      <c r="AK33" s="71" t="e">
        <f>+B33*AJ33</f>
        <v>#REF!</v>
      </c>
      <c r="AL33" s="41" t="e">
        <f>+Pb!#REF!</f>
        <v>#REF!</v>
      </c>
      <c r="AM33" s="41" t="e">
        <f>+Pb!#REF!</f>
        <v>#REF!</v>
      </c>
      <c r="AN33" s="85"/>
      <c r="AO33" s="73" t="e">
        <f>IF(AN33=0,AVERAGE(AL33,AM33),IF(OR(AND(AL33&lt;AM33,AL33&gt;AN33),AND(AL33&gt;AM33,AL33&lt;AN33)),AL33,IF(OR(AND(AM33&lt;AL33,AM33&gt;AN33),AND(AM33&gt;AL33,AM33&lt;AN33)),AM33,AN33)))</f>
        <v>#REF!</v>
      </c>
      <c r="AP33" s="71" t="e">
        <f>+B33*AO33</f>
        <v>#REF!</v>
      </c>
    </row>
    <row r="34" spans="1:42" s="43" customFormat="1" ht="14.5" thickBot="1" x14ac:dyDescent="0.35">
      <c r="A34" s="53" t="e">
        <f>Pb!#REF!</f>
        <v>#REF!</v>
      </c>
      <c r="B34" s="101"/>
      <c r="C34" s="71" t="e">
        <f>Pb!#REF!</f>
        <v>#REF!</v>
      </c>
      <c r="D34" s="71" t="e">
        <f>Pb!#REF!</f>
        <v>#REF!</v>
      </c>
      <c r="E34" s="55" t="e">
        <f>+'Terc. Plomo'!#REF!</f>
        <v>#REF!</v>
      </c>
      <c r="F34" s="58" t="e">
        <f>IF(E34=0,AVERAGE(C34,D34),IF(OR(AND(C34&lt;D34,C34&gt;E34),AND(C34&gt;D34,C34&lt;E34)),C34,IF(OR(AND(D34&lt;C34,D34&gt;E34),AND(D34&gt;C34,D34&lt;E34)),D34,E34)))</f>
        <v>#REF!</v>
      </c>
      <c r="G34" s="95" t="e">
        <f>+B34*F34</f>
        <v>#REF!</v>
      </c>
      <c r="H34" s="72" t="e">
        <f>Pb!#REF!</f>
        <v>#REF!</v>
      </c>
      <c r="I34" s="72" t="e">
        <f>Pb!#REF!</f>
        <v>#REF!</v>
      </c>
      <c r="J34" s="55" t="e">
        <f>+'Terc. Plomo'!#REF!</f>
        <v>#REF!</v>
      </c>
      <c r="K34" s="58" t="e">
        <f>IF(J34=0,AVERAGE(H34,I34),IF(OR(AND(H34&lt;I34,H34&gt;J34),AND(H34&gt;I34,H34&lt;J34)),H34,IF(OR(AND(I34&lt;H34,I34&gt;J34),AND(I34&gt;H34,I34&lt;J34)),I34,J34)))</f>
        <v>#REF!</v>
      </c>
      <c r="L34" s="73" t="e">
        <f>+B34*K34</f>
        <v>#REF!</v>
      </c>
      <c r="M34" s="40" t="e">
        <f>Pb!#REF!</f>
        <v>#REF!</v>
      </c>
      <c r="N34" s="40" t="e">
        <f>Pb!#REF!</f>
        <v>#REF!</v>
      </c>
      <c r="O34" s="85" t="e">
        <f>+'Terc. Plomo'!#REF!</f>
        <v>#REF!</v>
      </c>
      <c r="P34" s="58" t="e">
        <f>IF(O34=0,AVERAGE(M34,N34),IF(OR(AND(M34&lt;N34,M34&gt;O34),AND(M34&gt;N34,M34&lt;O34)),M34,IF(OR(AND(N34&lt;M34,N34&gt;O34),AND(N34&gt;M34,N34&lt;O34)),N34,O34)))</f>
        <v>#REF!</v>
      </c>
      <c r="Q34" s="73" t="e">
        <f>+B34*P34</f>
        <v>#REF!</v>
      </c>
      <c r="R34" s="94" t="e">
        <f>+Pb!#REF!</f>
        <v>#REF!</v>
      </c>
      <c r="S34" s="94" t="e">
        <f>+Pb!#REF!</f>
        <v>#REF!</v>
      </c>
      <c r="T34" s="85" t="e">
        <f>+'Terc. Plomo'!#REF!</f>
        <v>#REF!</v>
      </c>
      <c r="U34" s="58" t="e">
        <f>IF(T34=0,AVERAGE(R34,S34),IF(OR(AND(R34&lt;S34,R34&gt;T34),AND(R34&gt;S34,R34&lt;T34)),R34,IF(OR(AND(S34&lt;R34,S34&gt;T34),AND(S34&gt;R34,S34&lt;T34)),S34,T34)))</f>
        <v>#REF!</v>
      </c>
      <c r="V34" s="73" t="e">
        <f>+B34*U34</f>
        <v>#REF!</v>
      </c>
      <c r="W34" s="41" t="e">
        <f>Pb!#REF!</f>
        <v>#REF!</v>
      </c>
      <c r="X34" s="41" t="e">
        <f>Pb!#REF!</f>
        <v>#REF!</v>
      </c>
      <c r="Y34" s="60" t="e">
        <f>+'Terc. Plomo'!#REF!</f>
        <v>#REF!</v>
      </c>
      <c r="Z34" s="73" t="e">
        <f>IF(Y34=0,AVERAGE(W34,X34),IF(OR(AND(W34&lt;X34,W34&gt;Y34),AND(W34&gt;X34,W34&lt;Y34)),W34,IF(OR(AND(X34&lt;W34,X34&gt;Y34),AND(X34&gt;W34,X34&lt;Y34)),X34,Y34)))</f>
        <v>#REF!</v>
      </c>
      <c r="AA34" s="71" t="e">
        <f>+B34*Z34</f>
        <v>#REF!</v>
      </c>
      <c r="AB34" s="41" t="e">
        <f>Pb!#REF!</f>
        <v>#REF!</v>
      </c>
      <c r="AC34" s="41" t="e">
        <f>Pb!#REF!</f>
        <v>#REF!</v>
      </c>
      <c r="AD34" s="85" t="e">
        <f>+'Terc. Plomo'!#REF!</f>
        <v>#REF!</v>
      </c>
      <c r="AE34" s="73" t="e">
        <f>IF(AD34=0,AVERAGE(AB34,AC34),IF(OR(AND(AB34&lt;AC34,AB34&gt;AD34),AND(AB34&gt;AC34,AB34&lt;AD34)),AB34,IF(OR(AND(AC34&lt;AB34,AC34&gt;AD34),AND(AC34&gt;AB34,AC34&lt;AD34)),AC34,AD34)))</f>
        <v>#REF!</v>
      </c>
      <c r="AF34" s="57" t="e">
        <f>+B34*AE34</f>
        <v>#REF!</v>
      </c>
      <c r="AG34" s="41" t="e">
        <f>Pb!#REF!</f>
        <v>#REF!</v>
      </c>
      <c r="AH34" s="41" t="e">
        <f>Pb!#REF!</f>
        <v>#REF!</v>
      </c>
      <c r="AI34" s="85" t="e">
        <f>+'Terc. Plomo'!#REF!</f>
        <v>#REF!</v>
      </c>
      <c r="AJ34" s="73" t="e">
        <f>IF(AI34=0,AVERAGE(AG34,AH34),IF(OR(AND(AG34&lt;AH34,AG34&gt;AI34),AND(AG34&gt;AH34,AG34&lt;AI34)),AG34,IF(OR(AND(AH34&lt;AG34,AH34&gt;AI34),AND(AH34&gt;AG34,AH34&lt;AI34)),AH34,AI34)))</f>
        <v>#REF!</v>
      </c>
      <c r="AK34" s="71" t="e">
        <f>+B34*AJ34</f>
        <v>#REF!</v>
      </c>
      <c r="AL34" s="41" t="e">
        <f>+Pb!#REF!</f>
        <v>#REF!</v>
      </c>
      <c r="AM34" s="41" t="e">
        <f>+Pb!#REF!</f>
        <v>#REF!</v>
      </c>
      <c r="AN34" s="85"/>
      <c r="AO34" s="73" t="e">
        <f>IF(AN34=0,AVERAGE(AL34,AM34),IF(OR(AND(AL34&lt;AM34,AL34&gt;AN34),AND(AL34&gt;AM34,AL34&lt;AN34)),AL34,IF(OR(AND(AM34&lt;AL34,AM34&gt;AN34),AND(AM34&gt;AL34,AM34&lt;AN34)),AM34,AN34)))</f>
        <v>#REF!</v>
      </c>
      <c r="AP34" s="71" t="e">
        <f>+B34*AO34</f>
        <v>#REF!</v>
      </c>
    </row>
    <row r="35" spans="1:42" s="64" customFormat="1" ht="14.5" thickBot="1" x14ac:dyDescent="0.35">
      <c r="A35" s="53"/>
      <c r="B35" s="107">
        <f>SUM(B31:B34)</f>
        <v>0</v>
      </c>
      <c r="C35" s="54"/>
      <c r="D35" s="54"/>
      <c r="E35" s="55"/>
      <c r="F35" s="58"/>
      <c r="G35" s="96" t="e">
        <f>SUM(G31:G34)</f>
        <v>#REF!</v>
      </c>
      <c r="H35" s="72"/>
      <c r="I35" s="72"/>
      <c r="J35" s="60"/>
      <c r="K35" s="58"/>
      <c r="L35" s="96" t="e">
        <f>SUM(L31:L34)</f>
        <v>#REF!</v>
      </c>
      <c r="M35" s="40"/>
      <c r="N35" s="40"/>
      <c r="O35" s="85"/>
      <c r="P35" s="58"/>
      <c r="Q35" s="96" t="e">
        <f>SUM(Q31:Q34)</f>
        <v>#REF!</v>
      </c>
      <c r="R35" s="94"/>
      <c r="S35" s="94"/>
      <c r="T35" s="85"/>
      <c r="U35" s="58"/>
      <c r="V35" s="96" t="e">
        <f>SUM(V31:V34)</f>
        <v>#REF!</v>
      </c>
      <c r="W35" s="41"/>
      <c r="X35" s="41"/>
      <c r="Y35" s="60"/>
      <c r="Z35" s="73"/>
      <c r="AA35" s="96" t="e">
        <f>SUM(AA31:AA34)</f>
        <v>#REF!</v>
      </c>
      <c r="AB35" s="41"/>
      <c r="AC35" s="41"/>
      <c r="AD35" s="85"/>
      <c r="AE35" s="73"/>
      <c r="AF35" s="96" t="e">
        <f>SUM(AF31:AF34)</f>
        <v>#REF!</v>
      </c>
      <c r="AG35" s="41"/>
      <c r="AH35" s="41"/>
      <c r="AI35" s="85"/>
      <c r="AJ35" s="73"/>
      <c r="AK35" s="96" t="e">
        <f>SUM(AK31:AK34)</f>
        <v>#REF!</v>
      </c>
      <c r="AL35" s="41"/>
      <c r="AM35" s="41"/>
      <c r="AN35" s="85"/>
      <c r="AO35" s="73"/>
      <c r="AP35" s="96" t="e">
        <f>SUM(AP31:AP34)</f>
        <v>#REF!</v>
      </c>
    </row>
    <row r="36" spans="1:42" s="43" customFormat="1" ht="16" thickBot="1" x14ac:dyDescent="0.4">
      <c r="A36" s="53"/>
      <c r="B36" s="101"/>
      <c r="C36" s="54"/>
      <c r="D36" s="54"/>
      <c r="E36" s="55"/>
      <c r="F36" s="58"/>
      <c r="G36" s="106" t="e">
        <f>+G35/B35</f>
        <v>#REF!</v>
      </c>
      <c r="H36" s="62"/>
      <c r="I36" s="57"/>
      <c r="J36" s="63"/>
      <c r="K36" s="58"/>
      <c r="L36" s="106" t="e">
        <f>+L35/B35</f>
        <v>#REF!</v>
      </c>
      <c r="M36" s="59"/>
      <c r="N36" s="54"/>
      <c r="O36" s="60"/>
      <c r="P36" s="58"/>
      <c r="Q36" s="106" t="e">
        <f>+Q35/B35</f>
        <v>#REF!</v>
      </c>
      <c r="R36" s="61"/>
      <c r="S36" s="54"/>
      <c r="T36" s="60"/>
      <c r="U36" s="58"/>
      <c r="V36" s="106" t="e">
        <f>+V35/B35</f>
        <v>#REF!</v>
      </c>
      <c r="W36" s="61"/>
      <c r="X36" s="54"/>
      <c r="Y36" s="60"/>
      <c r="Z36" s="58"/>
      <c r="AA36" s="106" t="e">
        <f>+AA35/B35</f>
        <v>#REF!</v>
      </c>
      <c r="AB36" s="61"/>
      <c r="AC36" s="54"/>
      <c r="AD36" s="60"/>
      <c r="AE36" s="58"/>
      <c r="AF36" s="106" t="e">
        <f>+AF35/B35</f>
        <v>#REF!</v>
      </c>
      <c r="AG36" s="74"/>
      <c r="AH36" s="74"/>
      <c r="AI36" s="60"/>
      <c r="AJ36" s="73"/>
      <c r="AK36" s="106" t="e">
        <f>+AK35/B35</f>
        <v>#REF!</v>
      </c>
      <c r="AL36" s="74"/>
      <c r="AM36" s="74"/>
      <c r="AN36" s="60"/>
      <c r="AO36" s="73"/>
      <c r="AP36" s="106" t="e">
        <f>+AP35/B35</f>
        <v>#REF!</v>
      </c>
    </row>
    <row r="37" spans="1:42" s="43" customFormat="1" ht="14" x14ac:dyDescent="0.3">
      <c r="A37" s="75"/>
      <c r="B37" s="104"/>
      <c r="C37" s="76"/>
      <c r="D37" s="76"/>
      <c r="E37" s="77"/>
      <c r="F37" s="78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82"/>
      <c r="W37" s="82"/>
      <c r="X37" s="82"/>
      <c r="Y37" s="77"/>
      <c r="Z37" s="83"/>
      <c r="AA37" s="82"/>
      <c r="AB37" s="84"/>
      <c r="AC37" s="84"/>
      <c r="AD37" s="77"/>
      <c r="AE37" s="83"/>
      <c r="AF37" s="82"/>
      <c r="AG37" s="84"/>
      <c r="AH37" s="84"/>
      <c r="AI37" s="77"/>
      <c r="AJ37" s="83"/>
      <c r="AK37" s="82"/>
    </row>
    <row r="38" spans="1:42" s="43" customFormat="1" ht="14" x14ac:dyDescent="0.3">
      <c r="A38" s="75"/>
      <c r="B38" s="104"/>
      <c r="C38" s="76"/>
      <c r="D38" s="76"/>
      <c r="E38" s="77"/>
      <c r="F38" s="78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82"/>
      <c r="W38" s="82"/>
      <c r="X38" s="82"/>
      <c r="Y38" s="77"/>
      <c r="Z38" s="83"/>
      <c r="AA38" s="82"/>
      <c r="AB38" s="84"/>
      <c r="AC38" s="84"/>
      <c r="AD38" s="77"/>
      <c r="AE38" s="83"/>
      <c r="AF38" s="82"/>
      <c r="AG38" s="84"/>
      <c r="AH38" s="84"/>
      <c r="AI38" s="77"/>
      <c r="AJ38" s="83"/>
      <c r="AK38" s="82"/>
    </row>
    <row r="41" spans="1:42" s="3" customFormat="1" ht="15.75" customHeight="1" x14ac:dyDescent="0.3">
      <c r="A41" s="30" t="s">
        <v>39</v>
      </c>
      <c r="B41" s="30" t="s">
        <v>66</v>
      </c>
      <c r="C41" s="31" t="s">
        <v>40</v>
      </c>
      <c r="D41" s="32"/>
      <c r="E41" s="33"/>
      <c r="F41" s="32"/>
      <c r="G41" s="32"/>
      <c r="H41" s="31" t="s">
        <v>43</v>
      </c>
      <c r="I41" s="37"/>
      <c r="J41" s="38"/>
      <c r="K41" s="37"/>
      <c r="L41" s="32"/>
    </row>
    <row r="42" spans="1:42" s="52" customFormat="1" ht="14" x14ac:dyDescent="0.3">
      <c r="A42" s="44" t="s">
        <v>45</v>
      </c>
      <c r="B42" s="44" t="s">
        <v>67</v>
      </c>
      <c r="C42" s="45" t="s">
        <v>57</v>
      </c>
      <c r="D42" s="45" t="s">
        <v>59</v>
      </c>
      <c r="E42" s="45" t="s">
        <v>46</v>
      </c>
      <c r="F42" s="45" t="s">
        <v>47</v>
      </c>
      <c r="G42" s="45" t="s">
        <v>68</v>
      </c>
      <c r="H42" s="47" t="s">
        <v>57</v>
      </c>
      <c r="I42" s="48" t="s">
        <v>59</v>
      </c>
      <c r="J42" s="48" t="s">
        <v>46</v>
      </c>
      <c r="K42" s="48" t="s">
        <v>47</v>
      </c>
      <c r="L42" s="45" t="s">
        <v>68</v>
      </c>
    </row>
    <row r="43" spans="1:42" s="43" customFormat="1" ht="14" x14ac:dyDescent="0.3">
      <c r="A43" s="53" t="e">
        <f>Pb!#REF!</f>
        <v>#REF!</v>
      </c>
      <c r="B43" s="101"/>
      <c r="C43" s="71" t="e">
        <f>Pb!#REF!</f>
        <v>#REF!</v>
      </c>
      <c r="D43" s="71" t="e">
        <f>Pb!#REF!</f>
        <v>#REF!</v>
      </c>
      <c r="E43" s="86">
        <f>+'Terc. Plomo'!D33</f>
        <v>0</v>
      </c>
      <c r="F43" s="73" t="e">
        <f>IF(E43=0,AVERAGE(C43,D43),IF(OR(AND(C43&lt;D43,C43&gt;E43),AND(C43&gt;D43,C43&lt;E43)),C43,IF(OR(AND(D43&lt;C43,D43&gt;E43),AND(D43&gt;C43,D43&lt;E43)),D43,E43)))</f>
        <v>#REF!</v>
      </c>
      <c r="G43" s="95" t="e">
        <f>+B43*F43</f>
        <v>#REF!</v>
      </c>
      <c r="H43" s="72" t="e">
        <f>Pb!#REF!</f>
        <v>#REF!</v>
      </c>
      <c r="I43" s="54" t="e">
        <f>Pb!#REF!</f>
        <v>#REF!</v>
      </c>
      <c r="J43" s="55">
        <f>+'Terc. Plomo'!L33</f>
        <v>0</v>
      </c>
      <c r="K43" s="58" t="e">
        <f t="shared" ref="K43:K53" si="16">IF(J43=0,AVERAGE(H43,I43),IF(OR(AND(H43&lt;I43,H43&gt;J43),AND(H43&gt;I43,H43&lt;J43)),H43,IF(OR(AND(I43&lt;H43,I43&gt;J43),AND(I43&gt;H43,I43&lt;J43)),I43,J43)))</f>
        <v>#REF!</v>
      </c>
      <c r="L43" s="73" t="e">
        <f>+B43*K43</f>
        <v>#REF!</v>
      </c>
    </row>
    <row r="44" spans="1:42" s="43" customFormat="1" ht="14" x14ac:dyDescent="0.3">
      <c r="A44" s="53" t="e">
        <f>Pb!#REF!</f>
        <v>#REF!</v>
      </c>
      <c r="B44" s="101"/>
      <c r="C44" s="71" t="e">
        <f>Pb!#REF!</f>
        <v>#REF!</v>
      </c>
      <c r="D44" s="71" t="e">
        <f>Pb!#REF!</f>
        <v>#REF!</v>
      </c>
      <c r="E44" s="86">
        <f>+'Terc. Plomo'!D34</f>
        <v>0</v>
      </c>
      <c r="F44" s="73" t="e">
        <f t="shared" ref="F44:F53" si="17">IF(E44=0,AVERAGE(C44,D44),IF(OR(AND(C44&lt;D44,C44&gt;E44),AND(C44&gt;D44,C44&lt;E44)),C44,IF(OR(AND(D44&lt;C44,D44&gt;E44),AND(D44&gt;C44,D44&lt;E44)),D44,E44)))</f>
        <v>#REF!</v>
      </c>
      <c r="G44" s="95" t="e">
        <f t="shared" ref="G44:G53" si="18">+B44*F44</f>
        <v>#REF!</v>
      </c>
      <c r="H44" s="72" t="e">
        <f>Pb!#REF!</f>
        <v>#REF!</v>
      </c>
      <c r="I44" s="54" t="e">
        <f>Pb!#REF!</f>
        <v>#REF!</v>
      </c>
      <c r="J44" s="55">
        <f>+'Terc. Plomo'!L34</f>
        <v>0</v>
      </c>
      <c r="K44" s="58" t="e">
        <f t="shared" si="16"/>
        <v>#REF!</v>
      </c>
      <c r="L44" s="73" t="e">
        <f t="shared" ref="L44:L53" si="19">+B44*K44</f>
        <v>#REF!</v>
      </c>
    </row>
    <row r="45" spans="1:42" s="43" customFormat="1" ht="14" x14ac:dyDescent="0.3">
      <c r="A45" s="53" t="e">
        <f>Pb!#REF!</f>
        <v>#REF!</v>
      </c>
      <c r="B45" s="101"/>
      <c r="C45" s="71" t="e">
        <f>Pb!#REF!</f>
        <v>#REF!</v>
      </c>
      <c r="D45" s="71" t="e">
        <f>Pb!#REF!</f>
        <v>#REF!</v>
      </c>
      <c r="E45" s="86">
        <f>+'Terc. Plomo'!D35</f>
        <v>0</v>
      </c>
      <c r="F45" s="73" t="e">
        <f t="shared" si="17"/>
        <v>#REF!</v>
      </c>
      <c r="G45" s="95" t="e">
        <f t="shared" si="18"/>
        <v>#REF!</v>
      </c>
      <c r="H45" s="72" t="e">
        <f>Pb!#REF!</f>
        <v>#REF!</v>
      </c>
      <c r="I45" s="54" t="e">
        <f>Pb!#REF!</f>
        <v>#REF!</v>
      </c>
      <c r="J45" s="55">
        <f>+'Terc. Plomo'!L35</f>
        <v>0</v>
      </c>
      <c r="K45" s="58" t="e">
        <f t="shared" si="16"/>
        <v>#REF!</v>
      </c>
      <c r="L45" s="73" t="e">
        <f t="shared" si="19"/>
        <v>#REF!</v>
      </c>
    </row>
    <row r="46" spans="1:42" s="43" customFormat="1" ht="14" x14ac:dyDescent="0.3">
      <c r="A46" s="53" t="e">
        <f>Pb!#REF!</f>
        <v>#REF!</v>
      </c>
      <c r="B46" s="101"/>
      <c r="C46" s="71" t="e">
        <f>Pb!#REF!</f>
        <v>#REF!</v>
      </c>
      <c r="D46" s="71" t="e">
        <f>Pb!#REF!</f>
        <v>#REF!</v>
      </c>
      <c r="E46" s="86">
        <f>+'Terc. Plomo'!D36</f>
        <v>0</v>
      </c>
      <c r="F46" s="73" t="e">
        <f t="shared" si="17"/>
        <v>#REF!</v>
      </c>
      <c r="G46" s="95" t="e">
        <f t="shared" si="18"/>
        <v>#REF!</v>
      </c>
      <c r="H46" s="72" t="e">
        <f>Pb!#REF!</f>
        <v>#REF!</v>
      </c>
      <c r="I46" s="54" t="e">
        <f>Pb!#REF!</f>
        <v>#REF!</v>
      </c>
      <c r="J46" s="55">
        <f>+'Terc. Plomo'!L36</f>
        <v>0</v>
      </c>
      <c r="K46" s="58" t="e">
        <f t="shared" si="16"/>
        <v>#REF!</v>
      </c>
      <c r="L46" s="73" t="e">
        <f t="shared" si="19"/>
        <v>#REF!</v>
      </c>
    </row>
    <row r="47" spans="1:42" s="43" customFormat="1" ht="14" x14ac:dyDescent="0.3">
      <c r="A47" s="53" t="e">
        <f>Pb!#REF!</f>
        <v>#REF!</v>
      </c>
      <c r="B47" s="101"/>
      <c r="C47" s="71" t="e">
        <f>Pb!#REF!</f>
        <v>#REF!</v>
      </c>
      <c r="D47" s="71" t="e">
        <f>Pb!#REF!</f>
        <v>#REF!</v>
      </c>
      <c r="E47" s="86">
        <f>+'Terc. Plomo'!D37</f>
        <v>0</v>
      </c>
      <c r="F47" s="73" t="e">
        <f t="shared" si="17"/>
        <v>#REF!</v>
      </c>
      <c r="G47" s="95" t="e">
        <f t="shared" si="18"/>
        <v>#REF!</v>
      </c>
      <c r="H47" s="72" t="e">
        <f>Pb!#REF!</f>
        <v>#REF!</v>
      </c>
      <c r="I47" s="54" t="e">
        <f>Pb!#REF!</f>
        <v>#REF!</v>
      </c>
      <c r="J47" s="55">
        <f>+'Terc. Plomo'!L37</f>
        <v>0</v>
      </c>
      <c r="K47" s="58" t="e">
        <f t="shared" si="16"/>
        <v>#REF!</v>
      </c>
      <c r="L47" s="73" t="e">
        <f t="shared" si="19"/>
        <v>#REF!</v>
      </c>
    </row>
    <row r="48" spans="1:42" s="43" customFormat="1" ht="14" x14ac:dyDescent="0.3">
      <c r="A48" s="53" t="e">
        <f>Pb!#REF!</f>
        <v>#REF!</v>
      </c>
      <c r="B48" s="101"/>
      <c r="C48" s="71" t="e">
        <f>Pb!#REF!</f>
        <v>#REF!</v>
      </c>
      <c r="D48" s="71" t="e">
        <f>Pb!#REF!</f>
        <v>#REF!</v>
      </c>
      <c r="E48" s="86">
        <f>+'Terc. Plomo'!D38</f>
        <v>0</v>
      </c>
      <c r="F48" s="73" t="e">
        <f t="shared" si="17"/>
        <v>#REF!</v>
      </c>
      <c r="G48" s="95" t="e">
        <f t="shared" si="18"/>
        <v>#REF!</v>
      </c>
      <c r="H48" s="72" t="e">
        <f>Pb!#REF!</f>
        <v>#REF!</v>
      </c>
      <c r="I48" s="54" t="e">
        <f>Pb!#REF!</f>
        <v>#REF!</v>
      </c>
      <c r="J48" s="55">
        <f>+'Terc. Plomo'!L38</f>
        <v>0</v>
      </c>
      <c r="K48" s="58" t="e">
        <f t="shared" si="16"/>
        <v>#REF!</v>
      </c>
      <c r="L48" s="73" t="e">
        <f t="shared" si="19"/>
        <v>#REF!</v>
      </c>
    </row>
    <row r="49" spans="1:17" s="43" customFormat="1" ht="14" x14ac:dyDescent="0.3">
      <c r="A49" s="53" t="e">
        <f>Pb!#REF!</f>
        <v>#REF!</v>
      </c>
      <c r="B49" s="101"/>
      <c r="C49" s="71" t="e">
        <f>Pb!#REF!</f>
        <v>#REF!</v>
      </c>
      <c r="D49" s="71" t="e">
        <f>Pb!#REF!</f>
        <v>#REF!</v>
      </c>
      <c r="E49" s="86">
        <f>+'Terc. Plomo'!D39</f>
        <v>0</v>
      </c>
      <c r="F49" s="73" t="e">
        <f t="shared" si="17"/>
        <v>#REF!</v>
      </c>
      <c r="G49" s="95" t="e">
        <f t="shared" si="18"/>
        <v>#REF!</v>
      </c>
      <c r="H49" s="72" t="e">
        <f>Pb!#REF!</f>
        <v>#REF!</v>
      </c>
      <c r="I49" s="54" t="e">
        <f>Pb!#REF!</f>
        <v>#REF!</v>
      </c>
      <c r="J49" s="55">
        <f>+'Terc. Plomo'!L39</f>
        <v>0</v>
      </c>
      <c r="K49" s="58" t="e">
        <f t="shared" si="16"/>
        <v>#REF!</v>
      </c>
      <c r="L49" s="73" t="e">
        <f t="shared" si="19"/>
        <v>#REF!</v>
      </c>
    </row>
    <row r="50" spans="1:17" s="43" customFormat="1" ht="14" x14ac:dyDescent="0.3">
      <c r="A50" s="53" t="e">
        <f>Pb!#REF!</f>
        <v>#REF!</v>
      </c>
      <c r="B50" s="101"/>
      <c r="C50" s="71" t="e">
        <f>Pb!#REF!</f>
        <v>#REF!</v>
      </c>
      <c r="D50" s="71" t="e">
        <f>Pb!#REF!</f>
        <v>#REF!</v>
      </c>
      <c r="E50" s="86">
        <f>+'Terc. Plomo'!D40</f>
        <v>0</v>
      </c>
      <c r="F50" s="73" t="e">
        <f t="shared" si="17"/>
        <v>#REF!</v>
      </c>
      <c r="G50" s="95" t="e">
        <f t="shared" si="18"/>
        <v>#REF!</v>
      </c>
      <c r="H50" s="72" t="e">
        <f>Pb!#REF!</f>
        <v>#REF!</v>
      </c>
      <c r="I50" s="54" t="e">
        <f>Pb!#REF!</f>
        <v>#REF!</v>
      </c>
      <c r="J50" s="55">
        <f>+'Terc. Plomo'!L40</f>
        <v>0</v>
      </c>
      <c r="K50" s="58" t="e">
        <f t="shared" si="16"/>
        <v>#REF!</v>
      </c>
      <c r="L50" s="73" t="e">
        <f t="shared" si="19"/>
        <v>#REF!</v>
      </c>
    </row>
    <row r="51" spans="1:17" s="43" customFormat="1" ht="14" x14ac:dyDescent="0.3">
      <c r="A51" s="53" t="e">
        <f>Pb!#REF!</f>
        <v>#REF!</v>
      </c>
      <c r="B51" s="101"/>
      <c r="C51" s="71" t="e">
        <f>Pb!#REF!</f>
        <v>#REF!</v>
      </c>
      <c r="D51" s="71" t="e">
        <f>Pb!#REF!</f>
        <v>#REF!</v>
      </c>
      <c r="E51" s="86">
        <f>+'Terc. Plomo'!D41</f>
        <v>0</v>
      </c>
      <c r="F51" s="73" t="e">
        <f t="shared" si="17"/>
        <v>#REF!</v>
      </c>
      <c r="G51" s="95" t="e">
        <f t="shared" si="18"/>
        <v>#REF!</v>
      </c>
      <c r="H51" s="72" t="e">
        <f>Pb!#REF!</f>
        <v>#REF!</v>
      </c>
      <c r="I51" s="54" t="e">
        <f>Pb!#REF!</f>
        <v>#REF!</v>
      </c>
      <c r="J51" s="55">
        <f>+'Terc. Plomo'!L41</f>
        <v>0</v>
      </c>
      <c r="K51" s="58" t="e">
        <f t="shared" si="16"/>
        <v>#REF!</v>
      </c>
      <c r="L51" s="73" t="e">
        <f t="shared" si="19"/>
        <v>#REF!</v>
      </c>
    </row>
    <row r="52" spans="1:17" s="43" customFormat="1" ht="14" x14ac:dyDescent="0.3">
      <c r="A52" s="53" t="e">
        <f>Pb!#REF!</f>
        <v>#REF!</v>
      </c>
      <c r="B52" s="101"/>
      <c r="C52" s="71" t="e">
        <f>Pb!#REF!</f>
        <v>#REF!</v>
      </c>
      <c r="D52" s="71" t="e">
        <f>Pb!#REF!</f>
        <v>#REF!</v>
      </c>
      <c r="E52" s="86">
        <f>+'Terc. Plomo'!D42</f>
        <v>0</v>
      </c>
      <c r="F52" s="73" t="e">
        <f t="shared" si="17"/>
        <v>#REF!</v>
      </c>
      <c r="G52" s="95" t="e">
        <f t="shared" si="18"/>
        <v>#REF!</v>
      </c>
      <c r="H52" s="72" t="e">
        <f>Pb!#REF!</f>
        <v>#REF!</v>
      </c>
      <c r="I52" s="54" t="e">
        <f>Pb!#REF!</f>
        <v>#REF!</v>
      </c>
      <c r="J52" s="55">
        <f>+'Terc. Plomo'!L42</f>
        <v>0</v>
      </c>
      <c r="K52" s="58" t="e">
        <f t="shared" si="16"/>
        <v>#REF!</v>
      </c>
      <c r="L52" s="73" t="e">
        <f t="shared" si="19"/>
        <v>#REF!</v>
      </c>
    </row>
    <row r="53" spans="1:17" s="43" customFormat="1" ht="14" x14ac:dyDescent="0.3">
      <c r="A53" s="53" t="e">
        <f>Pb!#REF!</f>
        <v>#REF!</v>
      </c>
      <c r="B53" s="101"/>
      <c r="C53" s="71" t="e">
        <f>Pb!#REF!</f>
        <v>#REF!</v>
      </c>
      <c r="D53" s="71" t="e">
        <f>Pb!#REF!</f>
        <v>#REF!</v>
      </c>
      <c r="E53" s="86">
        <f>+'Terc. Plomo'!D43</f>
        <v>0</v>
      </c>
      <c r="F53" s="73" t="e">
        <f t="shared" si="17"/>
        <v>#REF!</v>
      </c>
      <c r="G53" s="95" t="e">
        <f t="shared" si="18"/>
        <v>#REF!</v>
      </c>
      <c r="H53" s="72" t="e">
        <f>Pb!#REF!</f>
        <v>#REF!</v>
      </c>
      <c r="I53" s="54" t="e">
        <f>Pb!#REF!</f>
        <v>#REF!</v>
      </c>
      <c r="J53" s="55">
        <f>+'Terc. Plomo'!L43</f>
        <v>0</v>
      </c>
      <c r="K53" s="58" t="e">
        <f t="shared" si="16"/>
        <v>#REF!</v>
      </c>
      <c r="L53" s="73" t="e">
        <f t="shared" si="19"/>
        <v>#REF!</v>
      </c>
    </row>
    <row r="54" spans="1:17" s="43" customFormat="1" ht="14" x14ac:dyDescent="0.3">
      <c r="A54" s="53"/>
      <c r="B54" s="104"/>
      <c r="C54" s="71" t="e">
        <f>Pb!#REF!</f>
        <v>#REF!</v>
      </c>
      <c r="D54" s="71" t="e">
        <f>Pb!#REF!</f>
        <v>#REF!</v>
      </c>
      <c r="E54" s="86">
        <f>+'Terc. Plomo'!D44</f>
        <v>0</v>
      </c>
      <c r="F54" s="73" t="e">
        <f t="shared" ref="F54:F59" si="20">IF(E54=0,AVERAGE(C54,D54),IF(OR(AND(C54&lt;D54,C54&gt;E54),AND(C54&gt;D54,C54&lt;E54)),C54,IF(OR(AND(D54&lt;C54,D54&gt;E54),AND(D54&gt;C54,D54&lt;E54)),D54,E54)))</f>
        <v>#REF!</v>
      </c>
      <c r="G54" s="95" t="e">
        <f t="shared" ref="G54:G59" si="21">+B54*F54</f>
        <v>#REF!</v>
      </c>
      <c r="H54" s="72" t="e">
        <f>Pb!#REF!</f>
        <v>#REF!</v>
      </c>
      <c r="I54" s="54" t="e">
        <f>Pb!#REF!</f>
        <v>#REF!</v>
      </c>
      <c r="J54" s="55">
        <f>+'Terc. Plomo'!L44</f>
        <v>0</v>
      </c>
      <c r="K54" s="58" t="e">
        <f t="shared" ref="K54:K59" si="22">IF(J54=0,AVERAGE(H54,I54),IF(OR(AND(H54&lt;I54,H54&gt;J54),AND(H54&gt;I54,H54&lt;J54)),H54,IF(OR(AND(I54&lt;H54,I54&gt;J54),AND(I54&gt;H54,I54&lt;J54)),I54,J54)))</f>
        <v>#REF!</v>
      </c>
      <c r="L54" s="73" t="e">
        <f t="shared" ref="L54:L59" si="23">+B54*K54</f>
        <v>#REF!</v>
      </c>
    </row>
    <row r="55" spans="1:17" s="43" customFormat="1" ht="14" x14ac:dyDescent="0.3">
      <c r="A55" s="53"/>
      <c r="B55" s="104"/>
      <c r="C55" s="71" t="e">
        <f>Pb!#REF!</f>
        <v>#REF!</v>
      </c>
      <c r="D55" s="71" t="e">
        <f>Pb!#REF!</f>
        <v>#REF!</v>
      </c>
      <c r="E55" s="86">
        <f>+'Terc. Plomo'!D45</f>
        <v>0</v>
      </c>
      <c r="F55" s="73" t="e">
        <f t="shared" si="20"/>
        <v>#REF!</v>
      </c>
      <c r="G55" s="95" t="e">
        <f t="shared" si="21"/>
        <v>#REF!</v>
      </c>
      <c r="H55" s="72" t="e">
        <f>Pb!#REF!</f>
        <v>#REF!</v>
      </c>
      <c r="I55" s="54" t="e">
        <f>Pb!#REF!</f>
        <v>#REF!</v>
      </c>
      <c r="J55" s="55">
        <f>+'Terc. Plomo'!L45</f>
        <v>0</v>
      </c>
      <c r="K55" s="58" t="e">
        <f t="shared" si="22"/>
        <v>#REF!</v>
      </c>
      <c r="L55" s="73" t="e">
        <f t="shared" si="23"/>
        <v>#REF!</v>
      </c>
    </row>
    <row r="56" spans="1:17" s="43" customFormat="1" ht="14" x14ac:dyDescent="0.3">
      <c r="A56" s="53"/>
      <c r="B56" s="104"/>
      <c r="C56" s="71" t="e">
        <f>Pb!#REF!</f>
        <v>#REF!</v>
      </c>
      <c r="D56" s="71" t="e">
        <f>Pb!#REF!</f>
        <v>#REF!</v>
      </c>
      <c r="E56" s="86">
        <f>+'Terc. Plomo'!D46</f>
        <v>0</v>
      </c>
      <c r="F56" s="73" t="e">
        <f t="shared" si="20"/>
        <v>#REF!</v>
      </c>
      <c r="G56" s="95" t="e">
        <f t="shared" si="21"/>
        <v>#REF!</v>
      </c>
      <c r="H56" s="72" t="e">
        <f>Pb!#REF!</f>
        <v>#REF!</v>
      </c>
      <c r="I56" s="54" t="e">
        <f>Pb!#REF!</f>
        <v>#REF!</v>
      </c>
      <c r="J56" s="55">
        <f>+'Terc. Plomo'!L46</f>
        <v>0</v>
      </c>
      <c r="K56" s="58" t="e">
        <f t="shared" si="22"/>
        <v>#REF!</v>
      </c>
      <c r="L56" s="73" t="e">
        <f t="shared" si="23"/>
        <v>#REF!</v>
      </c>
    </row>
    <row r="57" spans="1:17" s="43" customFormat="1" ht="14" x14ac:dyDescent="0.3">
      <c r="A57" s="53"/>
      <c r="B57" s="104"/>
      <c r="C57" s="71" t="e">
        <f>Pb!#REF!</f>
        <v>#REF!</v>
      </c>
      <c r="D57" s="71" t="e">
        <f>Pb!#REF!</f>
        <v>#REF!</v>
      </c>
      <c r="E57" s="86">
        <f>+'Terc. Plomo'!D47</f>
        <v>0</v>
      </c>
      <c r="F57" s="73" t="e">
        <f t="shared" si="20"/>
        <v>#REF!</v>
      </c>
      <c r="G57" s="95" t="e">
        <f t="shared" si="21"/>
        <v>#REF!</v>
      </c>
      <c r="H57" s="72" t="e">
        <f>Pb!#REF!</f>
        <v>#REF!</v>
      </c>
      <c r="I57" s="54" t="e">
        <f>Pb!#REF!</f>
        <v>#REF!</v>
      </c>
      <c r="J57" s="55">
        <f>+'Terc. Plomo'!L47</f>
        <v>0</v>
      </c>
      <c r="K57" s="58" t="e">
        <f t="shared" si="22"/>
        <v>#REF!</v>
      </c>
      <c r="L57" s="73" t="e">
        <f t="shared" si="23"/>
        <v>#REF!</v>
      </c>
    </row>
    <row r="58" spans="1:17" s="43" customFormat="1" ht="14" x14ac:dyDescent="0.3">
      <c r="A58" s="53"/>
      <c r="B58" s="104"/>
      <c r="C58" s="71" t="e">
        <f>Pb!#REF!</f>
        <v>#REF!</v>
      </c>
      <c r="D58" s="71" t="e">
        <f>Pb!#REF!</f>
        <v>#REF!</v>
      </c>
      <c r="E58" s="86">
        <f>+'Terc. Plomo'!D48</f>
        <v>0</v>
      </c>
      <c r="F58" s="73" t="e">
        <f t="shared" si="20"/>
        <v>#REF!</v>
      </c>
      <c r="G58" s="95" t="e">
        <f t="shared" si="21"/>
        <v>#REF!</v>
      </c>
      <c r="H58" s="72" t="e">
        <f>Pb!#REF!</f>
        <v>#REF!</v>
      </c>
      <c r="I58" s="54" t="e">
        <f>Pb!#REF!</f>
        <v>#REF!</v>
      </c>
      <c r="J58" s="55">
        <f>+'Terc. Plomo'!L48</f>
        <v>0</v>
      </c>
      <c r="K58" s="58" t="e">
        <f t="shared" si="22"/>
        <v>#REF!</v>
      </c>
      <c r="L58" s="73" t="e">
        <f t="shared" si="23"/>
        <v>#REF!</v>
      </c>
    </row>
    <row r="59" spans="1:17" s="43" customFormat="1" ht="14.5" thickBot="1" x14ac:dyDescent="0.35">
      <c r="A59" s="53"/>
      <c r="B59" s="104"/>
      <c r="C59" s="71" t="e">
        <f>Pb!#REF!</f>
        <v>#REF!</v>
      </c>
      <c r="D59" s="71" t="e">
        <f>Pb!#REF!</f>
        <v>#REF!</v>
      </c>
      <c r="E59" s="86">
        <f>+'Terc. Plomo'!D49</f>
        <v>0</v>
      </c>
      <c r="F59" s="73" t="e">
        <f t="shared" si="20"/>
        <v>#REF!</v>
      </c>
      <c r="G59" s="95" t="e">
        <f t="shared" si="21"/>
        <v>#REF!</v>
      </c>
      <c r="H59" s="72" t="e">
        <f>Pb!#REF!</f>
        <v>#REF!</v>
      </c>
      <c r="I59" s="54" t="e">
        <f>Pb!#REF!</f>
        <v>#REF!</v>
      </c>
      <c r="J59" s="55">
        <f>+'Terc. Plomo'!L49</f>
        <v>0</v>
      </c>
      <c r="K59" s="58" t="e">
        <f t="shared" si="22"/>
        <v>#REF!</v>
      </c>
      <c r="L59" s="73" t="e">
        <f t="shared" si="23"/>
        <v>#REF!</v>
      </c>
    </row>
    <row r="60" spans="1:17" s="43" customFormat="1" ht="14.5" thickBot="1" x14ac:dyDescent="0.35">
      <c r="A60" s="53"/>
      <c r="B60" s="107">
        <f>SUM(B43:B59)</f>
        <v>0</v>
      </c>
      <c r="C60" s="54"/>
      <c r="D60" s="54"/>
      <c r="E60" s="55"/>
      <c r="F60" s="58"/>
      <c r="G60" s="96" t="e">
        <f>SUM(G43:G59)</f>
        <v>#REF!</v>
      </c>
      <c r="H60" s="72"/>
      <c r="I60" s="54"/>
      <c r="J60" s="63"/>
      <c r="K60" s="58"/>
      <c r="L60" s="96" t="e">
        <f>SUM(L43:L59)</f>
        <v>#REF!</v>
      </c>
    </row>
    <row r="61" spans="1:17" s="43" customFormat="1" ht="16" thickBot="1" x14ac:dyDescent="0.4">
      <c r="A61" s="53"/>
      <c r="B61" s="101"/>
      <c r="C61" s="54"/>
      <c r="D61" s="54"/>
      <c r="E61" s="55"/>
      <c r="F61" s="58"/>
      <c r="G61" s="106" t="e">
        <f>+G60/B60</f>
        <v>#REF!</v>
      </c>
      <c r="H61" s="72"/>
      <c r="I61" s="54"/>
      <c r="J61" s="63"/>
      <c r="K61" s="58"/>
      <c r="L61" s="106" t="e">
        <f>+L60/B60</f>
        <v>#REF!</v>
      </c>
    </row>
    <row r="62" spans="1:17" s="43" customFormat="1" ht="14" x14ac:dyDescent="0.3">
      <c r="A62" s="53"/>
      <c r="B62" s="101"/>
      <c r="C62" s="54"/>
      <c r="D62" s="54"/>
      <c r="E62" s="55"/>
      <c r="F62" s="58"/>
      <c r="G62" s="54"/>
      <c r="H62" s="72"/>
      <c r="I62" s="54"/>
      <c r="J62" s="63"/>
      <c r="K62" s="58"/>
      <c r="L62" s="57"/>
    </row>
    <row r="63" spans="1:17" ht="14.5" thickBot="1" x14ac:dyDescent="0.35">
      <c r="P63" s="43"/>
      <c r="Q63" s="43"/>
    </row>
    <row r="64" spans="1:17" ht="14.5" thickBot="1" x14ac:dyDescent="0.35">
      <c r="F64" s="65"/>
      <c r="H64" s="66"/>
      <c r="P64" s="43"/>
      <c r="Q64" s="43"/>
    </row>
    <row r="65" spans="6:17" ht="14.5" thickBot="1" x14ac:dyDescent="0.35">
      <c r="F65" s="67"/>
      <c r="H65" s="68" t="s">
        <v>53</v>
      </c>
      <c r="P65" s="43"/>
      <c r="Q65" s="43"/>
    </row>
    <row r="66" spans="6:17" ht="14.5" thickBot="1" x14ac:dyDescent="0.35">
      <c r="F66" s="69"/>
      <c r="H66" s="70" t="s">
        <v>55</v>
      </c>
      <c r="P66" s="43"/>
      <c r="Q66" s="43"/>
    </row>
    <row r="73" spans="6:17" x14ac:dyDescent="0.25">
      <c r="Q73" s="89"/>
    </row>
    <row r="74" spans="6:17" x14ac:dyDescent="0.25">
      <c r="Q74" s="89"/>
    </row>
    <row r="75" spans="6:17" x14ac:dyDescent="0.25">
      <c r="Q75" s="89"/>
    </row>
    <row r="76" spans="6:17" x14ac:dyDescent="0.25">
      <c r="Q76" s="89"/>
    </row>
    <row r="77" spans="6:17" x14ac:dyDescent="0.25">
      <c r="Q77" s="89"/>
    </row>
  </sheetData>
  <printOptions horizontalCentered="1"/>
  <pageMargins left="0" right="0" top="0.98425196850393704" bottom="0" header="0" footer="0"/>
  <pageSetup paperSize="119" scale="2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Ens. Plomo</vt:lpstr>
      <vt:lpstr>Pb</vt:lpstr>
      <vt:lpstr>Terc. Plomo</vt:lpstr>
      <vt:lpstr>Ens. Zinc</vt:lpstr>
      <vt:lpstr>Zn</vt:lpstr>
      <vt:lpstr>Terc. Zinc</vt:lpstr>
      <vt:lpstr>Ensaye Ponderado</vt:lpstr>
      <vt:lpstr>'Ens. Plomo'!Área_de_impresión</vt:lpstr>
      <vt:lpstr>'Ens. Zinc'!Área_de_impresión</vt:lpstr>
    </vt:vector>
  </TitlesOfParts>
  <Company>S.I.P.S.A DE C.V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Alfonso Guevara R.</dc:creator>
  <cp:lastModifiedBy>LAURA DENISE MEDINA CARRANZA</cp:lastModifiedBy>
  <cp:lastPrinted>2025-10-13T19:24:40Z</cp:lastPrinted>
  <dcterms:created xsi:type="dcterms:W3CDTF">2001-08-15T21:33:28Z</dcterms:created>
  <dcterms:modified xsi:type="dcterms:W3CDTF">2026-08-28T12:33:01Z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c41d95-a710-41f5-bcf8-d175e20ea8ae_Enabled">
    <vt:lpwstr>true</vt:lpwstr>
  </property>
  <property fmtid="{D5CDD505-2E9C-101B-9397-08002B2CF9AE}" pid="3" name="MSIP_Label_aac41d95-a710-41f5-bcf8-d175e20ea8ae_SetDate">
    <vt:lpwstr>2025-12-01T03:12:38Z</vt:lpwstr>
  </property>
  <property fmtid="{D5CDD505-2E9C-101B-9397-08002B2CF9AE}" pid="4" name="MSIP_Label_aac41d95-a710-41f5-bcf8-d175e20ea8ae_Method">
    <vt:lpwstr>Standard</vt:lpwstr>
  </property>
  <property fmtid="{D5CDD505-2E9C-101B-9397-08002B2CF9AE}" pid="5" name="MSIP_Label_aac41d95-a710-41f5-bcf8-d175e20ea8ae_Name">
    <vt:lpwstr>Uso Interno</vt:lpwstr>
  </property>
  <property fmtid="{D5CDD505-2E9C-101B-9397-08002B2CF9AE}" pid="6" name="MSIP_Label_aac41d95-a710-41f5-bcf8-d175e20ea8ae_SiteId">
    <vt:lpwstr>683aea85-cbd0-40b8-b303-9c688cc14826</vt:lpwstr>
  </property>
  <property fmtid="{D5CDD505-2E9C-101B-9397-08002B2CF9AE}" pid="7" name="MSIP_Label_aac41d95-a710-41f5-bcf8-d175e20ea8ae_ActionId">
    <vt:lpwstr>7270f96a-9a7c-45c0-a618-f68ab9db6052</vt:lpwstr>
  </property>
  <property fmtid="{D5CDD505-2E9C-101B-9397-08002B2CF9AE}" pid="8" name="MSIP_Label_aac41d95-a710-41f5-bcf8-d175e20ea8ae_ContentBits">
    <vt:lpwstr>0</vt:lpwstr>
  </property>
  <property fmtid="{D5CDD505-2E9C-101B-9397-08002B2CF9AE}" pid="9" name="MSIP_Label_aac41d95-a710-41f5-bcf8-d175e20ea8ae_Tag">
    <vt:lpwstr>10, 3, 0, 1</vt:lpwstr>
  </property>
</Properties>
</file>