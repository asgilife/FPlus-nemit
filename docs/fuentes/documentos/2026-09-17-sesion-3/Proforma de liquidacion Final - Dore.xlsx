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olescommx-my.sharepoint.com/personal/hector_astorga_fresnilloplc_com/Documents/Documentos/PENMONT/PROFORMAS/"/>
    </mc:Choice>
  </mc:AlternateContent>
  <xr:revisionPtr revIDLastSave="22" documentId="8_{B5E70395-98B5-4F10-AB9B-238CAE1825F0}" xr6:coauthVersionLast="47" xr6:coauthVersionMax="47" xr10:uidLastSave="{FE410515-5EB8-486C-A91A-FFF919AFC7AC}"/>
  <bookViews>
    <workbookView xWindow="-108" yWindow="-108" windowWidth="23256" windowHeight="12456" xr2:uid="{C04AF801-1EB2-4808-B55F-29A1350893A3}"/>
  </bookViews>
  <sheets>
    <sheet name="Proforma d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D20" i="1"/>
  <c r="D19" i="1"/>
  <c r="D15" i="1"/>
  <c r="D7" i="1"/>
  <c r="D6" i="1"/>
  <c r="F15" i="1" l="1"/>
  <c r="G15" i="1" s="1"/>
  <c r="F16" i="1"/>
  <c r="G16" i="1" s="1"/>
  <c r="F19" i="1"/>
  <c r="G19" i="1" s="1"/>
  <c r="F20" i="1"/>
  <c r="G20" i="1" s="1"/>
  <c r="G17" i="1" l="1"/>
  <c r="F17" i="1"/>
  <c r="G21" i="1"/>
  <c r="F21" i="1"/>
  <c r="G22" i="1" l="1"/>
  <c r="F22" i="1"/>
</calcChain>
</file>

<file path=xl/sharedStrings.xml><?xml version="1.0" encoding="utf-8"?>
<sst xmlns="http://schemas.openxmlformats.org/spreadsheetml/2006/main" count="35" uniqueCount="30">
  <si>
    <t>Proforma dore</t>
  </si>
  <si>
    <t>Peso Seco Kgs</t>
  </si>
  <si>
    <t>(volumen total del año)</t>
  </si>
  <si>
    <t>Cotización Au</t>
  </si>
  <si>
    <t>dls/oz</t>
  </si>
  <si>
    <t>dls/gr</t>
  </si>
  <si>
    <t>Cotización Ag</t>
  </si>
  <si>
    <t>dls/kg</t>
  </si>
  <si>
    <t>Ensayes:</t>
  </si>
  <si>
    <t>Au:</t>
  </si>
  <si>
    <t>g/t</t>
  </si>
  <si>
    <t>Ag:</t>
  </si>
  <si>
    <t>Ensayes pagables</t>
  </si>
  <si>
    <t>dls/t</t>
  </si>
  <si>
    <t>dls/año</t>
  </si>
  <si>
    <t>Pagos</t>
  </si>
  <si>
    <t>Au</t>
  </si>
  <si>
    <t>Ag</t>
  </si>
  <si>
    <t>k/t</t>
  </si>
  <si>
    <t>Total Pagos</t>
  </si>
  <si>
    <t>Deducciones</t>
  </si>
  <si>
    <t>Ref Au</t>
  </si>
  <si>
    <t>0.9 dls/oz</t>
  </si>
  <si>
    <t>Ref Ag</t>
  </si>
  <si>
    <t>0.15 dls/oz</t>
  </si>
  <si>
    <t>Total Deducciones</t>
  </si>
  <si>
    <t>Total</t>
  </si>
  <si>
    <t>46GM-26</t>
  </si>
  <si>
    <t>Lote:</t>
  </si>
  <si>
    <t>Cotizaciones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</si>
</sst>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44" fontId="0" fillId="2" borderId="0" xfId="1" applyFont="1" applyFill="1"/>
    <xf numFmtId="44" fontId="0" fillId="0" borderId="0" xfId="1" applyFont="1"/>
    <xf numFmtId="0" fontId="2" fillId="0" borderId="0" xfId="0" applyFont="1" applyAlignment="1">
      <alignment horizontal="right"/>
    </xf>
    <xf numFmtId="0" fontId="0" fillId="0" borderId="2" xfId="0" applyBorder="1"/>
    <xf numFmtId="164" fontId="0" fillId="0" borderId="3" xfId="2" applyNumberFormat="1" applyFont="1" applyBorder="1"/>
    <xf numFmtId="44" fontId="0" fillId="0" borderId="2" xfId="1" applyFont="1" applyBorder="1"/>
    <xf numFmtId="0" fontId="0" fillId="0" borderId="0" xfId="0" applyAlignment="1">
      <alignment horizontal="center" vertical="center"/>
    </xf>
    <xf numFmtId="164" fontId="0" fillId="0" borderId="0" xfId="2" applyNumberFormat="1" applyFont="1" applyBorder="1"/>
    <xf numFmtId="44" fontId="0" fillId="0" borderId="3" xfId="1" applyFont="1" applyBorder="1"/>
    <xf numFmtId="0" fontId="0" fillId="0" borderId="2" xfId="0" applyBorder="1" applyAlignment="1">
      <alignment horizontal="right"/>
    </xf>
    <xf numFmtId="44" fontId="0" fillId="0" borderId="2" xfId="0" applyNumberFormat="1" applyBorder="1"/>
    <xf numFmtId="0" fontId="2" fillId="3" borderId="0" xfId="0" applyFont="1" applyFill="1"/>
    <xf numFmtId="44" fontId="0" fillId="0" borderId="0" xfId="0" applyNumberFormat="1"/>
    <xf numFmtId="44" fontId="2" fillId="3" borderId="0" xfId="0" applyNumberFormat="1" applyFont="1" applyFill="1"/>
    <xf numFmtId="4" fontId="0" fillId="2" borderId="0" xfId="0" applyNumberFormat="1" applyFill="1"/>
    <xf numFmtId="3" fontId="0" fillId="2" borderId="0" xfId="0" applyNumberFormat="1" applyFill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198120</xdr:colOff>
      <xdr:row>0</xdr:row>
      <xdr:rowOff>45720</xdr:rowOff>
    </xdr:from>
    <xdr:to>
      <xdr:col>13</xdr:col>
      <xdr:colOff>579120</xdr:colOff>
      <xdr:row>38</xdr:row>
      <xdr:rowOff>182808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3A454A-50B8-6055-B14A-25F0F779A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5700" y="45720"/>
          <a:ext cx="5135880" cy="71017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D64D-6710-466F-B84C-0580942894AC}">
  <dimension ref="A1:G22"/>
  <sheetViews>
    <sheetView tabSelected="1" workbookViewId="0">
      <selection activeCell="F29" sqref="F29"/>
    </sheetView>
  </sheetViews>
  <sheetFormatPr baseColWidth="10" defaultRowHeight="14.4" x14ac:dyDescent="0.3"/>
  <cols>
    <col min="1" max="1" width="12.5546875" bestFit="1" customWidth="1"/>
    <col min="3" max="3" width="12.6640625" customWidth="1"/>
    <col min="4" max="4" width="28.33203125" bestFit="1" customWidth="1"/>
    <col min="6" max="6" width="15" bestFit="1" customWidth="1"/>
    <col min="7" max="7" width="14.88671875" customWidth="1"/>
  </cols>
  <sheetData>
    <row r="1" spans="1:7" ht="15.6" x14ac:dyDescent="0.3">
      <c r="A1" s="21" t="s">
        <v>0</v>
      </c>
      <c r="C1" s="18" t="s">
        <v>28</v>
      </c>
      <c r="D1" s="19" t="s">
        <v>27</v>
      </c>
    </row>
    <row r="3" spans="1:7" x14ac:dyDescent="0.3">
      <c r="A3" t="s">
        <v>1</v>
      </c>
      <c r="B3" s="1">
        <v>342.161</v>
      </c>
      <c r="C3" t="s">
        <v>2</v>
      </c>
    </row>
    <row r="5" spans="1:7" x14ac:dyDescent="0.3">
      <c r="A5" s="20" t="s">
        <v>29</v>
      </c>
    </row>
    <row r="6" spans="1:7" x14ac:dyDescent="0.3">
      <c r="A6" t="s">
        <v>3</v>
      </c>
      <c r="B6" s="2">
        <v>4073.924</v>
      </c>
      <c r="C6" t="s">
        <v>4</v>
      </c>
      <c r="D6" s="3">
        <f>B6*32.15074/1000</f>
        <v>130.97967130376</v>
      </c>
      <c r="E6" t="s">
        <v>5</v>
      </c>
    </row>
    <row r="7" spans="1:7" x14ac:dyDescent="0.3">
      <c r="A7" t="s">
        <v>6</v>
      </c>
      <c r="B7" s="2">
        <v>58.586975000000002</v>
      </c>
      <c r="C7" t="s">
        <v>4</v>
      </c>
      <c r="D7" s="3">
        <f>B7*32.15074</f>
        <v>1883.6146006115</v>
      </c>
      <c r="E7" t="s">
        <v>7</v>
      </c>
    </row>
    <row r="9" spans="1:7" x14ac:dyDescent="0.3">
      <c r="A9" s="20" t="s">
        <v>8</v>
      </c>
    </row>
    <row r="10" spans="1:7" x14ac:dyDescent="0.3">
      <c r="A10" t="s">
        <v>9</v>
      </c>
      <c r="B10" s="16">
        <v>280875</v>
      </c>
      <c r="C10" t="s">
        <v>10</v>
      </c>
    </row>
    <row r="11" spans="1:7" x14ac:dyDescent="0.3">
      <c r="A11" t="s">
        <v>11</v>
      </c>
      <c r="B11" s="17">
        <v>591485</v>
      </c>
      <c r="C11" t="s">
        <v>10</v>
      </c>
    </row>
    <row r="14" spans="1:7" x14ac:dyDescent="0.3">
      <c r="D14" t="s">
        <v>12</v>
      </c>
      <c r="F14" s="4" t="s">
        <v>13</v>
      </c>
      <c r="G14" s="4" t="s">
        <v>14</v>
      </c>
    </row>
    <row r="15" spans="1:7" x14ac:dyDescent="0.3">
      <c r="A15" s="22" t="s">
        <v>15</v>
      </c>
      <c r="B15" s="5" t="s">
        <v>16</v>
      </c>
      <c r="C15" s="6">
        <v>0.995</v>
      </c>
      <c r="D15" s="5">
        <f>B10*C15</f>
        <v>279470.625</v>
      </c>
      <c r="E15" s="5" t="s">
        <v>10</v>
      </c>
      <c r="F15" s="7">
        <f>D15*D6</f>
        <v>36604970.601556376</v>
      </c>
      <c r="G15" s="7">
        <f>F15*(B3/1000)</f>
        <v>12524793.345999131</v>
      </c>
    </row>
    <row r="16" spans="1:7" x14ac:dyDescent="0.3">
      <c r="A16" s="22"/>
      <c r="B16" s="5" t="s">
        <v>17</v>
      </c>
      <c r="C16" s="6">
        <v>0.995</v>
      </c>
      <c r="D16" s="5">
        <f>(B11/1000)*C16</f>
        <v>588.52757499999996</v>
      </c>
      <c r="E16" s="5" t="s">
        <v>18</v>
      </c>
      <c r="F16" s="7">
        <f>D16*D7</f>
        <v>1108559.1331324796</v>
      </c>
      <c r="G16" s="7">
        <f>F16*(B3/1000)</f>
        <v>379305.70155174233</v>
      </c>
    </row>
    <row r="17" spans="1:7" x14ac:dyDescent="0.3">
      <c r="A17" s="8"/>
      <c r="C17" s="9"/>
      <c r="D17" s="5"/>
      <c r="E17" s="5" t="s">
        <v>19</v>
      </c>
      <c r="F17" s="7">
        <f>SUM(F15:F16)</f>
        <v>37713529.734688856</v>
      </c>
      <c r="G17" s="7">
        <f>SUM(G15:G16)</f>
        <v>12904099.047550874</v>
      </c>
    </row>
    <row r="18" spans="1:7" x14ac:dyDescent="0.3">
      <c r="D18" s="5"/>
      <c r="E18" s="5"/>
      <c r="F18" s="5"/>
      <c r="G18" s="5"/>
    </row>
    <row r="19" spans="1:7" x14ac:dyDescent="0.3">
      <c r="A19" s="23" t="s">
        <v>20</v>
      </c>
      <c r="B19" s="5" t="s">
        <v>21</v>
      </c>
      <c r="C19" s="10" t="s">
        <v>22</v>
      </c>
      <c r="D19" s="5">
        <f>0.9*32.15074/1000</f>
        <v>2.8935666000000002E-2</v>
      </c>
      <c r="E19" s="5" t="s">
        <v>5</v>
      </c>
      <c r="F19" s="7">
        <f>D19*D15</f>
        <v>8086.6686618112508</v>
      </c>
      <c r="G19" s="7">
        <f>F19*(B3/1000)</f>
        <v>2766.9426359939994</v>
      </c>
    </row>
    <row r="20" spans="1:7" x14ac:dyDescent="0.3">
      <c r="A20" s="23"/>
      <c r="B20" s="5" t="s">
        <v>23</v>
      </c>
      <c r="C20" s="10" t="s">
        <v>24</v>
      </c>
      <c r="D20" s="5">
        <f>0.15*32.15074</f>
        <v>4.8226109999999993</v>
      </c>
      <c r="E20" s="5" t="s">
        <v>7</v>
      </c>
      <c r="F20" s="7">
        <f>D20*D16</f>
        <v>2838.2395569983246</v>
      </c>
      <c r="G20" s="7">
        <f>F20*(B3/1000)</f>
        <v>971.13488506210376</v>
      </c>
    </row>
    <row r="21" spans="1:7" x14ac:dyDescent="0.3">
      <c r="D21" s="5"/>
      <c r="E21" s="11" t="s">
        <v>25</v>
      </c>
      <c r="F21" s="12">
        <f>SUM(F19:F20)</f>
        <v>10924.908218809574</v>
      </c>
      <c r="G21" s="12">
        <f>SUM(G19:G20)</f>
        <v>3738.0775210561033</v>
      </c>
    </row>
    <row r="22" spans="1:7" x14ac:dyDescent="0.3">
      <c r="E22" s="13" t="s">
        <v>26</v>
      </c>
      <c r="F22" s="14">
        <f>F17-F21</f>
        <v>37702604.826470047</v>
      </c>
      <c r="G22" s="15">
        <f>G17-G21</f>
        <v>12900360.970029818</v>
      </c>
    </row>
  </sheetData>
  <mergeCells count="2">
    <mergeCell ref="A15:A16"/>
    <mergeCell ref="A19:A2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87349D256D584A8859AB7414D38CF3" ma:contentTypeVersion="8" ma:contentTypeDescription="Crear nuevo documento." ma:contentTypeScope="" ma:versionID="a0876716b52af2d11f23eed5e85dc777">
  <xsd:schema xmlns:xsd="http://www.w3.org/2001/XMLSchema" xmlns:xs="http://www.w3.org/2001/XMLSchema" xmlns:p="http://schemas.microsoft.com/office/2006/metadata/properties" xmlns:ns2="9542a5e6-5c59-4cd0-a533-4ed315844aa8" targetNamespace="http://schemas.microsoft.com/office/2006/metadata/properties" ma:root="true" ma:fieldsID="9a667eb32f75f4875772896aeac95384" ns2:_="">
    <xsd:import namespace="9542a5e6-5c59-4cd0-a533-4ed315844a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2a5e6-5c59-4cd0-a533-4ed315844a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e02593c-419b-40f6-97f2-c4d0cb8096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42a5e6-5c59-4cd0-a533-4ed315844a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5F72A8-43AC-4D93-B224-A0FEF4B8B9DB}"/>
</file>

<file path=customXml/itemProps2.xml><?xml version="1.0" encoding="utf-8"?>
<ds:datastoreItem xmlns:ds="http://schemas.openxmlformats.org/officeDocument/2006/customXml" ds:itemID="{2E9BDB15-DE9A-416D-9E83-B44759DC9B77}"/>
</file>

<file path=customXml/itemProps3.xml><?xml version="1.0" encoding="utf-8"?>
<ds:datastoreItem xmlns:ds="http://schemas.openxmlformats.org/officeDocument/2006/customXml" ds:itemID="{7DED1B4B-2608-43ED-8B4B-6E63CC5EE2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Proforma dore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IVAN ASTORGA ALVARADO</dc:creator>
  <cp:lastModifiedBy>HECTOR IVAN ASTORGA ALVARADO</cp:lastModifiedBy>
  <dcterms:created xsi:type="dcterms:W3CDTF">2026-09-17T22:40:18Z</dcterms:created>
  <dcterms:modified xsi:type="dcterms:W3CDTF">2026-09-18T00:48:36Z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c41d95-a710-41f5-bcf8-d175e20ea8ae_Enabled">
    <vt:lpwstr>true</vt:lpwstr>
  </property>
  <property fmtid="{D5CDD505-2E9C-101B-9397-08002B2CF9AE}" pid="3" name="MSIP_Label_aac41d95-a710-41f5-bcf8-d175e20ea8ae_SetDate">
    <vt:lpwstr>2026-09-17T23:00:10Z</vt:lpwstr>
  </property>
  <property fmtid="{D5CDD505-2E9C-101B-9397-08002B2CF9AE}" pid="4" name="MSIP_Label_aac41d95-a710-41f5-bcf8-d175e20ea8ae_Method">
    <vt:lpwstr>Standard</vt:lpwstr>
  </property>
  <property fmtid="{D5CDD505-2E9C-101B-9397-08002B2CF9AE}" pid="5" name="MSIP_Label_aac41d95-a710-41f5-bcf8-d175e20ea8ae_Name">
    <vt:lpwstr>Uso Interno</vt:lpwstr>
  </property>
  <property fmtid="{D5CDD505-2E9C-101B-9397-08002B2CF9AE}" pid="6" name="MSIP_Label_aac41d95-a710-41f5-bcf8-d175e20ea8ae_SiteId">
    <vt:lpwstr>683aea85-cbd0-40b8-b303-9c688cc14826</vt:lpwstr>
  </property>
  <property fmtid="{D5CDD505-2E9C-101B-9397-08002B2CF9AE}" pid="7" name="MSIP_Label_aac41d95-a710-41f5-bcf8-d175e20ea8ae_ActionId">
    <vt:lpwstr>123e2fd4-bebf-4f09-8f75-d0d366f5ec12</vt:lpwstr>
  </property>
  <property fmtid="{D5CDD505-2E9C-101B-9397-08002B2CF9AE}" pid="8" name="MSIP_Label_aac41d95-a710-41f5-bcf8-d175e20ea8ae_ContentBits">
    <vt:lpwstr>0</vt:lpwstr>
  </property>
  <property fmtid="{D5CDD505-2E9C-101B-9397-08002B2CF9AE}" pid="9" name="MSIP_Label_aac41d95-a710-41f5-bcf8-d175e20ea8ae_Tag">
    <vt:lpwstr>10, 3, 0, 1</vt:lpwstr>
  </property>
  <property fmtid="{D5CDD505-2E9C-101B-9397-08002B2CF9AE}" pid="10" name="ContentTypeId">
    <vt:lpwstr>0x0101002A87349D256D584A8859AB7414D38CF3</vt:lpwstr>
  </property>
</Properties>
</file>