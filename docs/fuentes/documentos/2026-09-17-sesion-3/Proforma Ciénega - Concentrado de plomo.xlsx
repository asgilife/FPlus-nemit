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M011155\Desktop\"/>
    </mc:Choice>
  </mc:AlternateContent>
  <xr:revisionPtr revIDLastSave="0" documentId="8_{9F7075E3-7F2E-498A-B005-CA309E73EDD8}" xr6:coauthVersionLast="47" xr6:coauthVersionMax="47" xr10:uidLastSave="{00000000-0000-0000-0000-000000000000}"/>
  <bookViews>
    <workbookView xWindow="28680" yWindow="-120" windowWidth="29040" windowHeight="15720" xr2:uid="{30A26A79-BF21-4E6D-AF63-2B832ED2A9FC}"/>
  </bookViews>
  <sheets>
    <sheet name="Plomo términos 2025 (lote 4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3" i="1" l="1"/>
  <c r="F36" i="1"/>
  <c r="F35" i="1"/>
  <c r="D35" i="1"/>
  <c r="D34" i="1"/>
  <c r="F34" i="1" s="1"/>
  <c r="D33" i="1"/>
  <c r="D32" i="1"/>
  <c r="F32" i="1" s="1"/>
  <c r="F31" i="1"/>
  <c r="D31" i="1"/>
  <c r="B26" i="1"/>
  <c r="F26" i="1" s="1"/>
  <c r="C25" i="1"/>
  <c r="B25" i="1"/>
  <c r="F25" i="1" s="1"/>
  <c r="F24" i="1"/>
  <c r="D18" i="1"/>
  <c r="F18" i="1" s="1"/>
  <c r="F17" i="1"/>
  <c r="D17" i="1"/>
  <c r="C26" i="1" s="1"/>
  <c r="D16" i="1"/>
  <c r="F16" i="1" s="1"/>
  <c r="D9" i="1"/>
  <c r="D8" i="1" s="1"/>
  <c r="D7" i="1"/>
  <c r="D6" i="1"/>
  <c r="F20" i="1" l="1"/>
  <c r="F38" i="1" s="1"/>
  <c r="F40" i="1" s="1"/>
</calcChain>
</file>

<file path=xl/sharedStrings.xml><?xml version="1.0" encoding="utf-8"?>
<sst xmlns="http://schemas.openxmlformats.org/spreadsheetml/2006/main" count="54" uniqueCount="48">
  <si>
    <t>TÉRMINOS 2025 PEÑOLES</t>
  </si>
  <si>
    <t>CIÉNEGA - CONCENTRADO DE PLOMO</t>
  </si>
  <si>
    <t>COTIZACIONES</t>
  </si>
  <si>
    <t>Au Dls/Oz PM:</t>
  </si>
  <si>
    <t>Dls/Gr</t>
  </si>
  <si>
    <t>Ag Dls/Oz Comex 1st -Londo Spot:</t>
  </si>
  <si>
    <t>Dls/Kg</t>
  </si>
  <si>
    <t>Pb Dls/Ton:</t>
  </si>
  <si>
    <t>Dls/Ton</t>
  </si>
  <si>
    <t>* menos 1 cv dl/lb</t>
  </si>
  <si>
    <t>1cv dl/lb=</t>
  </si>
  <si>
    <t>dls/ton</t>
  </si>
  <si>
    <t>TMS:</t>
  </si>
  <si>
    <t>PAGOS:</t>
  </si>
  <si>
    <t>Ensaye</t>
  </si>
  <si>
    <t>Condición de pago:</t>
  </si>
  <si>
    <t>Ensaye Pagable:</t>
  </si>
  <si>
    <t>Au G/T:</t>
  </si>
  <si>
    <t>95% D.M. 1 G/T</t>
  </si>
  <si>
    <t>G/T</t>
  </si>
  <si>
    <t>Ag G/T:</t>
  </si>
  <si>
    <t>95% D.M. 50 G/T</t>
  </si>
  <si>
    <t>K/T</t>
  </si>
  <si>
    <t>Pb %:</t>
  </si>
  <si>
    <t>95% D.M. 3%</t>
  </si>
  <si>
    <t>Total pagos</t>
  </si>
  <si>
    <t>DEDUCCIONES:</t>
  </si>
  <si>
    <t>Cuota</t>
  </si>
  <si>
    <t>Ens. Pagables</t>
  </si>
  <si>
    <t>T.C. dls/ton</t>
  </si>
  <si>
    <t>Ref Au dls/g</t>
  </si>
  <si>
    <t>Ref Ag dls/k</t>
  </si>
  <si>
    <t>CASTIGOS:</t>
  </si>
  <si>
    <t>Condición</t>
  </si>
  <si>
    <t>Castigo</t>
  </si>
  <si>
    <t>As%:</t>
  </si>
  <si>
    <t>&gt; 0.3%, $3/0.1%</t>
  </si>
  <si>
    <t>Sb%:</t>
  </si>
  <si>
    <t>&gt; 0.3%, $2/0.1%</t>
  </si>
  <si>
    <t>Zn%:</t>
  </si>
  <si>
    <t>&gt; 5%,$2.50/1%, &gt;8,$3.5/1%</t>
  </si>
  <si>
    <t>Cd%:</t>
  </si>
  <si>
    <t>&gt;=0.02%, todo a $3/0.1%</t>
  </si>
  <si>
    <t>Hg%:</t>
  </si>
  <si>
    <t>&gt; 50 ppm, $2/10 ppm</t>
  </si>
  <si>
    <t>Total deducciones</t>
  </si>
  <si>
    <t>Total dls/ton</t>
  </si>
  <si>
    <t>Total Embarque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</si>
</sst>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_-&quot;$&quot;* #,##0.000_-;\-&quot;$&quot;* #,##0.000_-;_-&quot;$&quot;* &quot;-&quot;??_-;_-@_-"/>
    <numFmt numFmtId="166" formatCode="_-&quot;$&quot;* #,##0.00000_-;\-&quot;$&quot;* #,##0.00000_-;_-&quot;$&quot;* &quot;-&quot;??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165" fontId="0" fillId="3" borderId="1" xfId="1" applyNumberFormat="1" applyFont="1" applyFill="1" applyBorder="1"/>
    <xf numFmtId="164" fontId="0" fillId="0" borderId="1" xfId="0" applyNumberFormat="1" applyBorder="1"/>
    <xf numFmtId="165" fontId="0" fillId="0" borderId="0" xfId="1" applyNumberFormat="1" applyFont="1" applyBorder="1"/>
    <xf numFmtId="0" fontId="0" fillId="4" borderId="0" xfId="0" applyFill="1"/>
    <xf numFmtId="0" fontId="0" fillId="3" borderId="0" xfId="0" applyFill="1"/>
    <xf numFmtId="0" fontId="0" fillId="3" borderId="1" xfId="0" applyFill="1" applyBorder="1"/>
    <xf numFmtId="0" fontId="0" fillId="0" borderId="1" xfId="0" quotePrefix="1" applyBorder="1"/>
    <xf numFmtId="164" fontId="0" fillId="0" borderId="0" xfId="0" applyNumberFormat="1"/>
    <xf numFmtId="3" fontId="0" fillId="3" borderId="1" xfId="0" applyNumberFormat="1" applyFill="1" applyBorder="1"/>
    <xf numFmtId="1" fontId="0" fillId="0" borderId="1" xfId="0" applyNumberFormat="1" applyBorder="1"/>
    <xf numFmtId="164" fontId="2" fillId="5" borderId="1" xfId="0" applyNumberFormat="1" applyFont="1" applyFill="1" applyBorder="1"/>
    <xf numFmtId="164" fontId="2" fillId="0" borderId="0" xfId="0" applyNumberFormat="1" applyFont="1"/>
    <xf numFmtId="0" fontId="2" fillId="6" borderId="1" xfId="0" applyFont="1" applyFill="1" applyBorder="1"/>
    <xf numFmtId="164" fontId="0" fillId="6" borderId="1" xfId="1" applyFont="1" applyFill="1" applyBorder="1"/>
    <xf numFmtId="164" fontId="0" fillId="0" borderId="1" xfId="1" applyFont="1" applyBorder="1"/>
    <xf numFmtId="164" fontId="0" fillId="0" borderId="0" xfId="1" applyFont="1" applyFill="1" applyBorder="1"/>
    <xf numFmtId="166" fontId="0" fillId="0" borderId="1" xfId="1" applyNumberFormat="1" applyFont="1" applyBorder="1"/>
    <xf numFmtId="166" fontId="0" fillId="6" borderId="1" xfId="1" applyNumberFormat="1" applyFont="1" applyFill="1" applyBorder="1"/>
    <xf numFmtId="164" fontId="2" fillId="7" borderId="1" xfId="0" applyNumberFormat="1" applyFont="1" applyFill="1" applyBorder="1"/>
    <xf numFmtId="0" fontId="0" fillId="0" borderId="0" xfId="0" applyAlignment="1">
      <alignment horizontal="center"/>
    </xf>
    <xf numFmtId="164" fontId="0" fillId="0" borderId="0" xfId="1" applyFont="1"/>
    <xf numFmtId="0" fontId="3" fillId="0" borderId="0" xfId="0" applyFont="1"/>
    <xf numFmtId="2" fontId="3" fillId="0" borderId="0" xfId="0" applyNumberFormat="1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25400</xdr:colOff>
      <xdr:row>0</xdr:row>
      <xdr:rowOff>95250</xdr:rowOff>
    </xdr:from>
    <xdr:to>
      <xdr:col>10</xdr:col>
      <xdr:colOff>638175</xdr:colOff>
      <xdr:row>40</xdr:row>
      <xdr:rowOff>84455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43E178-7C15-8137-2ACC-ECADF64C0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26525" y="95250"/>
          <a:ext cx="5156200" cy="7218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5B402-8FBA-445F-A4B3-C07B6FFBEF2A}">
  <dimension ref="A1:I49"/>
  <sheetViews>
    <sheetView tabSelected="1" zoomScaleNormal="100" workbookViewId="0">
      <selection activeCell="D43" sqref="D43"/>
    </sheetView>
  </sheetViews>
  <sheetFormatPr defaultColWidth="11.42578125" defaultRowHeight="14.45"/>
  <cols>
    <col min="1" max="1" width="33.140625" bestFit="1" customWidth="1"/>
    <col min="2" max="2" width="11.140625" bestFit="1" customWidth="1"/>
    <col min="3" max="3" width="24.85546875" bestFit="1" customWidth="1"/>
    <col min="4" max="4" width="33.5703125" bestFit="1" customWidth="1"/>
    <col min="5" max="5" width="7.42578125" bestFit="1" customWidth="1"/>
    <col min="6" max="6" width="14" customWidth="1"/>
    <col min="7" max="7" width="4.5703125" customWidth="1"/>
    <col min="8" max="8" width="43.140625" bestFit="1" customWidth="1"/>
  </cols>
  <sheetData>
    <row r="1" spans="1:7">
      <c r="A1" s="1" t="s">
        <v>0</v>
      </c>
      <c r="B1" s="1"/>
      <c r="C1" s="1"/>
    </row>
    <row r="3" spans="1:7">
      <c r="A3" s="2" t="s">
        <v>1</v>
      </c>
      <c r="B3" s="2"/>
      <c r="C3" s="2"/>
    </row>
    <row r="5" spans="1:7">
      <c r="A5" s="3" t="s">
        <v>2</v>
      </c>
      <c r="B5" s="4"/>
      <c r="C5" s="4"/>
      <c r="D5" s="4"/>
      <c r="E5" s="4"/>
    </row>
    <row r="6" spans="1:7">
      <c r="A6" s="4" t="s">
        <v>3</v>
      </c>
      <c r="B6" s="5">
        <v>4289.4840000000004</v>
      </c>
      <c r="C6" s="4"/>
      <c r="D6" s="6">
        <f>(B6*32.15074/1000)</f>
        <v>137.91008481816002</v>
      </c>
      <c r="E6" s="4" t="s">
        <v>4</v>
      </c>
    </row>
    <row r="7" spans="1:7">
      <c r="A7" s="4" t="s">
        <v>5</v>
      </c>
      <c r="B7" s="5">
        <v>64.437067999999996</v>
      </c>
      <c r="C7" s="4"/>
      <c r="D7" s="6">
        <f>B7*32.15074</f>
        <v>2071.6994196303199</v>
      </c>
      <c r="E7" s="4" t="s">
        <v>6</v>
      </c>
    </row>
    <row r="8" spans="1:7">
      <c r="A8" s="4" t="s">
        <v>7</v>
      </c>
      <c r="B8" s="5">
        <v>1942.31</v>
      </c>
      <c r="C8" s="4"/>
      <c r="D8" s="6">
        <f>B8-D9</f>
        <v>1920.2637999999999</v>
      </c>
      <c r="E8" s="4" t="s">
        <v>8</v>
      </c>
      <c r="F8" t="s">
        <v>9</v>
      </c>
    </row>
    <row r="9" spans="1:7">
      <c r="B9" s="7"/>
      <c r="C9" s="8" t="s">
        <v>10</v>
      </c>
      <c r="D9" s="8">
        <f>(1/100)*2204.62</f>
        <v>22.046199999999999</v>
      </c>
      <c r="E9" s="8" t="s">
        <v>11</v>
      </c>
    </row>
    <row r="10" spans="1:7">
      <c r="A10" s="2"/>
      <c r="E10" s="7"/>
    </row>
    <row r="11" spans="1:7">
      <c r="A11" s="2" t="s">
        <v>12</v>
      </c>
      <c r="B11" s="9">
        <v>95.311000000000007</v>
      </c>
    </row>
    <row r="12" spans="1:7">
      <c r="A12" s="2"/>
    </row>
    <row r="13" spans="1:7">
      <c r="A13" s="2" t="s">
        <v>13</v>
      </c>
    </row>
    <row r="14" spans="1:7">
      <c r="A14" s="2"/>
    </row>
    <row r="15" spans="1:7">
      <c r="A15" s="3"/>
      <c r="B15" s="3" t="s">
        <v>14</v>
      </c>
      <c r="C15" s="3" t="s">
        <v>15</v>
      </c>
      <c r="D15" s="29" t="s">
        <v>16</v>
      </c>
      <c r="E15" s="29"/>
      <c r="F15" s="3" t="s">
        <v>11</v>
      </c>
      <c r="G15" s="2"/>
    </row>
    <row r="16" spans="1:7">
      <c r="A16" s="3" t="s">
        <v>17</v>
      </c>
      <c r="B16" s="10">
        <v>120.56</v>
      </c>
      <c r="C16" s="11" t="s">
        <v>18</v>
      </c>
      <c r="D16" s="4">
        <f>ROUND(IF((B16*0.05)&gt;1,B16*0.95,B16-1),3)</f>
        <v>114.532</v>
      </c>
      <c r="E16" s="4" t="s">
        <v>19</v>
      </c>
      <c r="F16" s="6">
        <f>D16*D6</f>
        <v>15795.117834393503</v>
      </c>
      <c r="G16" s="12"/>
    </row>
    <row r="17" spans="1:9">
      <c r="A17" s="3" t="s">
        <v>20</v>
      </c>
      <c r="B17" s="13">
        <v>9828</v>
      </c>
      <c r="C17" s="11" t="s">
        <v>21</v>
      </c>
      <c r="D17" s="4">
        <f>ROUND((IF((B17*0.05)&gt;50,B17*0.95,B17-50))/1000,6)</f>
        <v>9.3366000000000007</v>
      </c>
      <c r="E17" s="4" t="s">
        <v>22</v>
      </c>
      <c r="F17" s="6">
        <f>TRUNC(D17*D7,2)</f>
        <v>19342.62</v>
      </c>
      <c r="G17" s="12"/>
    </row>
    <row r="18" spans="1:9">
      <c r="A18" s="3" t="s">
        <v>23</v>
      </c>
      <c r="B18" s="10">
        <v>17.27</v>
      </c>
      <c r="C18" s="4" t="s">
        <v>24</v>
      </c>
      <c r="D18" s="14">
        <f>ROUND((IF((B18*0.05)&gt;3,B18*0.95,B18-3))*10,6)</f>
        <v>142.69999999999999</v>
      </c>
      <c r="E18" s="4" t="s">
        <v>22</v>
      </c>
      <c r="F18" s="6">
        <f>D18*(D8/1000)</f>
        <v>274.02164425999996</v>
      </c>
      <c r="G18" s="12"/>
    </row>
    <row r="19" spans="1:9">
      <c r="A19" s="3"/>
      <c r="B19" s="4"/>
      <c r="C19" s="4"/>
      <c r="D19" s="4"/>
      <c r="E19" s="4"/>
      <c r="F19" s="4"/>
    </row>
    <row r="20" spans="1:9">
      <c r="A20" s="3"/>
      <c r="B20" s="4"/>
      <c r="C20" s="4"/>
      <c r="D20" s="30" t="s">
        <v>25</v>
      </c>
      <c r="E20" s="31"/>
      <c r="F20" s="15">
        <f>SUM(F16:F19)</f>
        <v>35411.759478653497</v>
      </c>
      <c r="G20" s="16"/>
    </row>
    <row r="21" spans="1:9">
      <c r="A21" s="2"/>
    </row>
    <row r="22" spans="1:9">
      <c r="A22" s="2" t="s">
        <v>26</v>
      </c>
    </row>
    <row r="23" spans="1:9">
      <c r="A23" s="3"/>
      <c r="B23" s="3" t="s">
        <v>27</v>
      </c>
      <c r="C23" s="3" t="s">
        <v>28</v>
      </c>
      <c r="D23" s="4"/>
      <c r="E23" s="4"/>
      <c r="F23" s="4"/>
    </row>
    <row r="24" spans="1:9">
      <c r="A24" s="17" t="s">
        <v>29</v>
      </c>
      <c r="B24" s="18">
        <v>95.34</v>
      </c>
      <c r="C24" s="4"/>
      <c r="D24" s="4"/>
      <c r="E24" s="4"/>
      <c r="F24" s="19">
        <f>B24</f>
        <v>95.34</v>
      </c>
      <c r="G24" s="20"/>
      <c r="I24" s="12"/>
    </row>
    <row r="25" spans="1:9">
      <c r="A25" s="3" t="s">
        <v>30</v>
      </c>
      <c r="B25" s="21">
        <f>17*32.15074/1000</f>
        <v>0.54656258000000002</v>
      </c>
      <c r="C25" s="4">
        <f>D16</f>
        <v>114.532</v>
      </c>
      <c r="D25" s="4" t="s">
        <v>19</v>
      </c>
      <c r="E25" s="4"/>
      <c r="F25" s="19">
        <f>B25*C25</f>
        <v>62.598905412560001</v>
      </c>
      <c r="G25" s="20"/>
    </row>
    <row r="26" spans="1:9">
      <c r="A26" s="17" t="s">
        <v>31</v>
      </c>
      <c r="B26" s="22">
        <f>0.45*32.15074</f>
        <v>14.467833000000001</v>
      </c>
      <c r="C26" s="4">
        <f>D17</f>
        <v>9.3366000000000007</v>
      </c>
      <c r="D26" s="4" t="s">
        <v>22</v>
      </c>
      <c r="E26" s="4"/>
      <c r="F26" s="19">
        <f>B26*C26</f>
        <v>135.08036958780002</v>
      </c>
      <c r="G26" s="20"/>
    </row>
    <row r="27" spans="1:9">
      <c r="A27" s="2"/>
    </row>
    <row r="28" spans="1:9">
      <c r="A28" s="2"/>
    </row>
    <row r="29" spans="1:9">
      <c r="A29" s="2" t="s">
        <v>32</v>
      </c>
    </row>
    <row r="30" spans="1:9">
      <c r="A30" s="3"/>
      <c r="B30" s="3" t="s">
        <v>14</v>
      </c>
      <c r="C30" s="3" t="s">
        <v>33</v>
      </c>
      <c r="D30" s="29" t="s">
        <v>34</v>
      </c>
      <c r="E30" s="29"/>
      <c r="F30" s="3" t="s">
        <v>11</v>
      </c>
      <c r="G30" s="2"/>
    </row>
    <row r="31" spans="1:9">
      <c r="A31" s="3" t="s">
        <v>35</v>
      </c>
      <c r="B31" s="10">
        <v>3.5000000000000003E-2</v>
      </c>
      <c r="C31" s="4" t="s">
        <v>36</v>
      </c>
      <c r="D31" s="19">
        <f>IF(B31&gt;0.3,(((B31-0.3)*3)/0.1),0)</f>
        <v>0</v>
      </c>
      <c r="E31" s="4"/>
      <c r="F31" s="19">
        <f>D31</f>
        <v>0</v>
      </c>
      <c r="G31" s="20"/>
    </row>
    <row r="32" spans="1:9">
      <c r="A32" s="3" t="s">
        <v>37</v>
      </c>
      <c r="B32" s="10">
        <v>3.5000000000000003E-2</v>
      </c>
      <c r="C32" s="4" t="s">
        <v>38</v>
      </c>
      <c r="D32" s="19">
        <f>IF(B32&gt;0.3,(((B32-0.3)*2)/0.1),0)</f>
        <v>0</v>
      </c>
      <c r="E32" s="4"/>
      <c r="F32" s="19">
        <f t="shared" ref="F32:F34" si="0">D32</f>
        <v>0</v>
      </c>
      <c r="G32" s="20"/>
    </row>
    <row r="33" spans="1:7">
      <c r="A33" s="3" t="s">
        <v>39</v>
      </c>
      <c r="B33" s="10">
        <v>20.309999999999999</v>
      </c>
      <c r="C33" s="4" t="s">
        <v>40</v>
      </c>
      <c r="D33" s="19">
        <f>ROUND(IF(B33&gt;8,7.5+((B33-8)*3.5),IF(B33&gt;5,(B33-5)*2.5,0)),2)</f>
        <v>50.59</v>
      </c>
      <c r="E33" s="4"/>
      <c r="F33" s="19">
        <f>D33</f>
        <v>50.59</v>
      </c>
      <c r="G33" s="20"/>
    </row>
    <row r="34" spans="1:7" ht="13.7" customHeight="1">
      <c r="A34" s="3" t="s">
        <v>41</v>
      </c>
      <c r="B34" s="10">
        <v>0.23849999999999999</v>
      </c>
      <c r="C34" s="4" t="s">
        <v>42</v>
      </c>
      <c r="D34" s="19">
        <f>IF(B34&gt;=0.02,((B34*3)/0.1),0)</f>
        <v>7.1550000000000002</v>
      </c>
      <c r="E34" s="4"/>
      <c r="F34" s="19">
        <f>D34</f>
        <v>7.1550000000000002</v>
      </c>
      <c r="G34" s="20"/>
    </row>
    <row r="35" spans="1:7">
      <c r="A35" s="3" t="s">
        <v>43</v>
      </c>
      <c r="B35" s="10">
        <v>2.07E-2</v>
      </c>
      <c r="C35" s="4" t="s">
        <v>44</v>
      </c>
      <c r="D35" s="19">
        <f>IF(B35&gt;0.005,(B35-0.005)*2,0)*1000</f>
        <v>31.4</v>
      </c>
      <c r="E35" s="4"/>
      <c r="F35" s="6">
        <f>D35</f>
        <v>31.4</v>
      </c>
    </row>
    <row r="36" spans="1:7">
      <c r="A36" s="4"/>
      <c r="B36" s="4"/>
      <c r="C36" s="4"/>
      <c r="D36" s="32" t="s">
        <v>45</v>
      </c>
      <c r="E36" s="32"/>
      <c r="F36" s="15">
        <f>F24+F25+F26+F31+F32+F33+F34+F35</f>
        <v>382.16427500036002</v>
      </c>
      <c r="G36" s="16"/>
    </row>
    <row r="38" spans="1:7">
      <c r="D38" s="33" t="s">
        <v>46</v>
      </c>
      <c r="E38" s="33"/>
      <c r="F38" s="23">
        <f>F20-F36</f>
        <v>35029.595203653138</v>
      </c>
      <c r="G38" s="16"/>
    </row>
    <row r="40" spans="1:7">
      <c r="D40" s="33" t="s">
        <v>47</v>
      </c>
      <c r="E40" s="33"/>
      <c r="F40" s="23">
        <f>F38*B11</f>
        <v>3338705.7484553843</v>
      </c>
      <c r="G40" s="16"/>
    </row>
    <row r="43" spans="1:7">
      <c r="B43" s="24"/>
    </row>
    <row r="44" spans="1:7">
      <c r="B44" s="25"/>
      <c r="C44" s="25"/>
    </row>
    <row r="45" spans="1:7">
      <c r="B45" s="25"/>
      <c r="C45" s="20"/>
    </row>
    <row r="46" spans="1:7">
      <c r="B46" s="25"/>
      <c r="C46" s="20"/>
    </row>
    <row r="47" spans="1:7">
      <c r="B47" s="12"/>
      <c r="C47" s="12"/>
    </row>
    <row r="48" spans="1:7">
      <c r="D48" s="28"/>
      <c r="E48" s="28"/>
      <c r="F48" s="16"/>
    </row>
    <row r="49" spans="1:6">
      <c r="A49" s="26"/>
      <c r="B49" s="27"/>
      <c r="F49" s="12"/>
    </row>
  </sheetData>
  <mergeCells count="7">
    <mergeCell ref="D48:E48"/>
    <mergeCell ref="D15:E15"/>
    <mergeCell ref="D20:E20"/>
    <mergeCell ref="D30:E30"/>
    <mergeCell ref="D36:E36"/>
    <mergeCell ref="D38:E38"/>
    <mergeCell ref="D40:E4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87349D256D584A8859AB7414D38CF3" ma:contentTypeVersion="8" ma:contentTypeDescription="Crear nuevo documento." ma:contentTypeScope="" ma:versionID="a0876716b52af2d11f23eed5e85dc777">
  <xsd:schema xmlns:xsd="http://www.w3.org/2001/XMLSchema" xmlns:xs="http://www.w3.org/2001/XMLSchema" xmlns:p="http://schemas.microsoft.com/office/2006/metadata/properties" xmlns:ns2="9542a5e6-5c59-4cd0-a533-4ed315844aa8" targetNamespace="http://schemas.microsoft.com/office/2006/metadata/properties" ma:root="true" ma:fieldsID="9a667eb32f75f4875772896aeac95384" ns2:_="">
    <xsd:import namespace="9542a5e6-5c59-4cd0-a533-4ed315844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42a5e6-5c59-4cd0-a533-4ed315844a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ae02593c-419b-40f6-97f2-c4d0cb8096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42a5e6-5c59-4cd0-a533-4ed315844aa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773945-71BD-46F3-B32C-E96368375EE4}"/>
</file>

<file path=customXml/itemProps2.xml><?xml version="1.0" encoding="utf-8"?>
<ds:datastoreItem xmlns:ds="http://schemas.openxmlformats.org/officeDocument/2006/customXml" ds:itemID="{4413B75F-EAAB-4A4F-B2C5-57E7CD1DA8F5}"/>
</file>

<file path=customXml/itemProps3.xml><?xml version="1.0" encoding="utf-8"?>
<ds:datastoreItem xmlns:ds="http://schemas.openxmlformats.org/officeDocument/2006/customXml" ds:itemID="{5FA2AA93-F9D6-4AF8-9D05-9A919F6E6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DENISE MEDINA CARRANZA</dc:creator>
  <cp:keywords/>
  <dc:description/>
  <cp:lastModifiedBy>LAURA DENISE MEDINA CARRANZA</cp:lastModifiedBy>
  <cp:revision/>
  <dcterms:created xsi:type="dcterms:W3CDTF">2026-09-18T00:35:52Z</dcterms:created>
  <dcterms:modified xsi:type="dcterms:W3CDTF">2026-09-18T00:44:38Z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ac41d95-a710-41f5-bcf8-d175e20ea8ae_Enabled">
    <vt:lpwstr>true</vt:lpwstr>
  </property>
  <property fmtid="{D5CDD505-2E9C-101B-9397-08002B2CF9AE}" pid="3" name="MSIP_Label_aac41d95-a710-41f5-bcf8-d175e20ea8ae_SetDate">
    <vt:lpwstr>2026-09-18T00:37:36Z</vt:lpwstr>
  </property>
  <property fmtid="{D5CDD505-2E9C-101B-9397-08002B2CF9AE}" pid="4" name="MSIP_Label_aac41d95-a710-41f5-bcf8-d175e20ea8ae_Method">
    <vt:lpwstr>Standard</vt:lpwstr>
  </property>
  <property fmtid="{D5CDD505-2E9C-101B-9397-08002B2CF9AE}" pid="5" name="MSIP_Label_aac41d95-a710-41f5-bcf8-d175e20ea8ae_Name">
    <vt:lpwstr>Uso Interno</vt:lpwstr>
  </property>
  <property fmtid="{D5CDD505-2E9C-101B-9397-08002B2CF9AE}" pid="6" name="MSIP_Label_aac41d95-a710-41f5-bcf8-d175e20ea8ae_SiteId">
    <vt:lpwstr>683aea85-cbd0-40b8-b303-9c688cc14826</vt:lpwstr>
  </property>
  <property fmtid="{D5CDD505-2E9C-101B-9397-08002B2CF9AE}" pid="7" name="MSIP_Label_aac41d95-a710-41f5-bcf8-d175e20ea8ae_ActionId">
    <vt:lpwstr>d4b07dda-98c1-40a9-9a28-5d3af5b0458e</vt:lpwstr>
  </property>
  <property fmtid="{D5CDD505-2E9C-101B-9397-08002B2CF9AE}" pid="8" name="MSIP_Label_aac41d95-a710-41f5-bcf8-d175e20ea8ae_ContentBits">
    <vt:lpwstr>0</vt:lpwstr>
  </property>
  <property fmtid="{D5CDD505-2E9C-101B-9397-08002B2CF9AE}" pid="9" name="MSIP_Label_aac41d95-a710-41f5-bcf8-d175e20ea8ae_Tag">
    <vt:lpwstr>10, 3, 0, 1</vt:lpwstr>
  </property>
  <property fmtid="{D5CDD505-2E9C-101B-9397-08002B2CF9AE}" pid="10" name="ContentTypeId">
    <vt:lpwstr>0x0101002A87349D256D584A8859AB7414D38CF3</vt:lpwstr>
  </property>
  <property fmtid="{D5CDD505-2E9C-101B-9397-08002B2CF9AE}" pid="11" name="MediaServiceImageTags">
    <vt:lpwstr/>
  </property>
</Properties>
</file>